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signment 6\"/>
    </mc:Choice>
  </mc:AlternateContent>
  <bookViews>
    <workbookView xWindow="0" yWindow="0" windowWidth="16320" windowHeight="5448" firstSheet="7" activeTab="8"/>
  </bookViews>
  <sheets>
    <sheet name="appointment outcome" sheetId="2" r:id="rId1"/>
    <sheet name="no show reate by age group" sheetId="3" r:id="rId2"/>
    <sheet name="no show rate by reminder send" sheetId="4" r:id="rId3"/>
    <sheet name="prevous no show" sheetId="5" r:id="rId4"/>
    <sheet name="booking lead group" sheetId="6" r:id="rId5"/>
    <sheet name="no show by age group and remind" sheetId="7" r:id="rId6"/>
    <sheet name="no show by bookig leadgroup" sheetId="8" r:id="rId7"/>
    <sheet name="booking lead tme,rs,ao" sheetId="9" r:id="rId8"/>
    <sheet name="previous no show " sheetId="10" r:id="rId9"/>
    <sheet name="HealthConnect_Appointment_Data" sheetId="1" r:id="rId10"/>
  </sheets>
  <definedNames>
    <definedName name="_xlnm._FilterDatabase" localSheetId="9" hidden="1">HealthConnect_Appointment_Data!$J$1:$J$5001</definedName>
  </definedNames>
  <calcPr calcId="162913"/>
  <pivotCaches>
    <pivotCache cacheId="0" r:id="rId11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</calcChain>
</file>

<file path=xl/sharedStrings.xml><?xml version="1.0" encoding="utf-8"?>
<sst xmlns="http://schemas.openxmlformats.org/spreadsheetml/2006/main" count="50208" uniqueCount="6788">
  <si>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</si>
  <si>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</si>
  <si>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</si>
  <si>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</si>
  <si>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</si>
  <si>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</si>
  <si>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</si>
  <si>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</si>
  <si>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</si>
  <si>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</si>
  <si>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</si>
  <si>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</si>
  <si>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</si>
  <si>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</si>
  <si>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</si>
  <si>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</si>
  <si>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</si>
  <si>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</si>
  <si>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</si>
  <si>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</si>
  <si>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</si>
  <si>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</si>
  <si>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</si>
  <si>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</si>
  <si>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</si>
  <si>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</si>
  <si>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</si>
  <si>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</si>
  <si>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</si>
  <si>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</si>
  <si>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</si>
  <si>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</si>
  <si>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</si>
  <si>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</si>
  <si>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</si>
  <si>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</si>
  <si>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</si>
  <si>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</si>
  <si>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</si>
  <si>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</si>
  <si>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</si>
  <si>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</si>
  <si>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</si>
  <si>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</si>
  <si>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</si>
  <si>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</si>
  <si>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</si>
  <si>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</si>
  <si>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</si>
  <si>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</si>
  <si>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</si>
  <si>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</si>
  <si>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</si>
  <si>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</si>
  <si>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</si>
  <si>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</si>
  <si>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</si>
  <si>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</si>
  <si>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</si>
  <si>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</si>
  <si>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</si>
  <si>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</si>
  <si>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</si>
  <si>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</si>
  <si>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</si>
  <si>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</si>
  <si>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</si>
  <si>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</si>
  <si>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</si>
  <si>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</si>
  <si>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</si>
  <si>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</si>
  <si>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</si>
  <si>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</si>
  <si>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</si>
  <si>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</si>
  <si>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</si>
  <si>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</si>
  <si>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</si>
  <si>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</si>
  <si>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</si>
  <si>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</si>
  <si>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</si>
  <si>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</si>
  <si>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</si>
  <si>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</si>
  <si>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</si>
  <si>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</si>
  <si>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</si>
  <si>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</si>
  <si>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</si>
  <si>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</si>
  <si>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</si>
  <si>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</si>
  <si>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</si>
  <si>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</si>
  <si>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</si>
  <si>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</si>
  <si>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</si>
  <si>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</si>
  <si>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</si>
  <si>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</si>
  <si>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</si>
  <si>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</si>
  <si>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</si>
  <si>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</si>
  <si>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</si>
  <si>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</si>
  <si>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</si>
  <si>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</si>
  <si>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</si>
  <si>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</si>
  <si>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</si>
  <si>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</si>
  <si>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</si>
  <si>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</si>
  <si>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</si>
  <si>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</si>
  <si>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</si>
  <si>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</si>
  <si>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</si>
  <si>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</si>
  <si>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</si>
  <si>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</si>
  <si>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</si>
  <si>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</si>
  <si>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</si>
  <si>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</si>
  <si>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</si>
  <si>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</si>
  <si>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</si>
  <si>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</si>
  <si>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</si>
  <si>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</si>
  <si>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</si>
  <si>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</si>
  <si>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</si>
  <si>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</si>
  <si>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</si>
  <si>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</si>
  <si>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</si>
  <si>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</si>
  <si>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</si>
  <si>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</si>
  <si>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</si>
  <si>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</si>
  <si>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</si>
  <si>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</si>
  <si>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</si>
  <si>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</si>
  <si>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</si>
  <si>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</si>
  <si>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</si>
  <si>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</si>
  <si>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</si>
  <si>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</si>
  <si>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</si>
  <si>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</si>
  <si>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</si>
  <si>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</si>
  <si>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</si>
  <si>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</si>
  <si>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</si>
  <si>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</si>
  <si>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</si>
  <si>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</si>
  <si>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</si>
  <si>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</si>
  <si>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</si>
  <si>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</si>
  <si>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</si>
  <si>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</si>
  <si>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</si>
  <si>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</si>
  <si>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</si>
  <si>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</si>
  <si>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</si>
  <si>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</si>
  <si>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</si>
  <si>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</si>
  <si>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</si>
  <si>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</si>
  <si>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</si>
  <si>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</si>
  <si>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</si>
  <si>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</si>
  <si>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</si>
  <si>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</si>
  <si>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</si>
  <si>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</si>
  <si>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</si>
  <si>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</si>
  <si>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</si>
  <si>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</si>
  <si>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</si>
  <si>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</si>
  <si>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</si>
  <si>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</si>
  <si>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</si>
  <si>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</si>
  <si>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</si>
  <si>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</si>
  <si>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</si>
  <si>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</si>
  <si>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</si>
  <si>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</si>
  <si>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</si>
  <si>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</si>
  <si>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</si>
  <si>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</si>
  <si>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</si>
  <si>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</si>
  <si>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</si>
  <si>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</si>
  <si>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</si>
  <si>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</si>
  <si>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</si>
  <si>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</si>
  <si>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</si>
  <si>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</si>
  <si>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</si>
  <si>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</si>
  <si>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</si>
  <si>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</si>
  <si>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</si>
  <si>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</si>
  <si>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</si>
  <si>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</si>
  <si>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</si>
  <si>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</si>
  <si>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</si>
  <si>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</si>
  <si>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</si>
  <si>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</si>
  <si>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</si>
  <si>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</si>
  <si>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</si>
  <si>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</si>
  <si>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</si>
  <si>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</si>
  <si>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</si>
  <si>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</si>
  <si>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</si>
  <si>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</si>
  <si>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</si>
  <si>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</si>
  <si>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</si>
  <si>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</si>
  <si>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</si>
  <si>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</si>
  <si>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</si>
  <si>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</si>
  <si>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</si>
  <si>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</si>
  <si>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</si>
  <si>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</si>
  <si>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</si>
  <si>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</si>
  <si>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</si>
  <si>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</si>
  <si>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</si>
  <si>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</si>
  <si>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</si>
  <si>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</si>
  <si>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</si>
  <si>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</si>
  <si>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</si>
  <si>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</si>
  <si>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</si>
  <si>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</si>
  <si>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</si>
  <si>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</si>
  <si>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</si>
  <si>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</si>
  <si>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</si>
  <si>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</si>
  <si>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</si>
  <si>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</si>
  <si>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</si>
  <si>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</si>
  <si>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</si>
  <si>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</si>
  <si>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</si>
  <si>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</si>
  <si>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</si>
  <si>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</si>
  <si>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</si>
  <si>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</si>
  <si>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</si>
  <si>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</si>
  <si>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</si>
  <si>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</si>
  <si>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</si>
  <si>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</si>
  <si>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</si>
  <si>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</si>
  <si>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</si>
  <si>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</si>
  <si>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</si>
  <si>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</si>
  <si>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</si>
  <si>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</si>
  <si>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</si>
  <si>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</si>
  <si>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</si>
  <si>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</si>
  <si>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</si>
  <si>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</si>
  <si>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</si>
  <si>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</si>
  <si>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</si>
  <si>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</si>
  <si>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</si>
  <si>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</si>
  <si>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</si>
  <si>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</si>
  <si>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</si>
  <si>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</si>
  <si>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</si>
  <si>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</si>
  <si>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</si>
  <si>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</si>
  <si>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</si>
  <si>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</si>
  <si>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</si>
  <si>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</si>
  <si>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</si>
  <si>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</si>
  <si>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</si>
  <si>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</si>
  <si>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</si>
  <si>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</si>
  <si>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</si>
  <si>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</si>
  <si>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</si>
  <si>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</si>
  <si>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</si>
  <si>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</si>
  <si>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</si>
  <si>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</si>
  <si>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</si>
  <si>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</si>
  <si>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</si>
  <si>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</si>
  <si>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</si>
  <si>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</si>
  <si>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</si>
  <si>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</si>
  <si>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</si>
  <si>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</si>
  <si>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</si>
  <si>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</si>
  <si>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</si>
  <si>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</si>
  <si>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</si>
  <si>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</si>
  <si>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</si>
  <si>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</si>
  <si>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</si>
  <si>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</si>
  <si>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</si>
  <si>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</si>
  <si>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</si>
  <si>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</si>
  <si>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</si>
  <si>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</si>
  <si>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</si>
  <si>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</si>
  <si>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</si>
  <si>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</si>
  <si>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</si>
  <si>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</si>
  <si>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</si>
  <si>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</si>
  <si>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</si>
  <si>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</si>
  <si>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</si>
  <si>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</si>
  <si>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</si>
  <si>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</si>
  <si>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</si>
  <si>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</si>
  <si>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</si>
  <si>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</si>
  <si>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</si>
  <si>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</si>
  <si>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</si>
  <si>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</si>
  <si>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</si>
  <si>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</si>
  <si>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</si>
  <si>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</si>
  <si>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</si>
  <si>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</si>
  <si>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</si>
  <si>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</si>
  <si>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</si>
  <si>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</si>
  <si>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</si>
  <si>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</si>
  <si>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</si>
  <si>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</si>
  <si>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</si>
  <si>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</si>
  <si>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</si>
  <si>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</si>
  <si>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</si>
  <si>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</si>
  <si>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</si>
  <si>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</si>
  <si>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</si>
  <si>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</si>
  <si>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</si>
  <si>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</si>
  <si>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</si>
  <si>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</si>
  <si>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</si>
  <si>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</si>
  <si>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</si>
  <si>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</si>
  <si>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</si>
  <si>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</si>
  <si>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</si>
  <si>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</si>
  <si>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</si>
  <si>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</si>
  <si>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</si>
  <si>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</si>
  <si>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</si>
  <si>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</si>
  <si>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</si>
  <si>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</si>
  <si>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</si>
  <si>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</si>
  <si>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</si>
  <si>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</si>
  <si>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</si>
  <si>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</si>
  <si>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</si>
  <si>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</si>
  <si>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</si>
  <si>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</si>
  <si>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</si>
  <si>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</si>
  <si>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</si>
  <si>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</si>
  <si>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</si>
  <si>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</si>
  <si>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</si>
  <si>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</si>
  <si>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</si>
  <si>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</si>
  <si>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</si>
  <si>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</si>
  <si>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</si>
  <si>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</si>
  <si>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</si>
  <si>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</si>
  <si>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</si>
  <si>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</si>
  <si>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</si>
  <si>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</si>
  <si>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</si>
  <si>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</si>
  <si>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</si>
  <si>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</si>
  <si>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</si>
  <si>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</si>
  <si>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</si>
  <si>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</si>
  <si>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</si>
  <si>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</si>
  <si>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</si>
  <si>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</si>
  <si>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</si>
  <si>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</si>
  <si>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</si>
  <si>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</si>
  <si>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</si>
  <si>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</si>
  <si>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</si>
  <si>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</si>
  <si>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</si>
  <si>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</si>
  <si>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</si>
  <si>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</si>
  <si>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</si>
  <si>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</si>
  <si>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</si>
  <si>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</si>
  <si>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</si>
  <si>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</si>
  <si>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</si>
  <si>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</si>
  <si>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</si>
  <si>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</si>
  <si>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</si>
  <si>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</si>
  <si>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</si>
  <si>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</si>
  <si>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</si>
  <si>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</si>
  <si>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</si>
  <si>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</si>
  <si>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</si>
  <si>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</si>
  <si>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</si>
  <si>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</si>
  <si>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</si>
  <si>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</si>
  <si>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</si>
  <si>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</si>
  <si>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</si>
  <si>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</si>
  <si>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</si>
  <si>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</si>
  <si>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</si>
  <si>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</si>
  <si>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</si>
  <si>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</si>
  <si>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</si>
  <si>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</si>
  <si>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</si>
  <si>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</si>
  <si>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</si>
  <si>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</si>
  <si>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</si>
  <si>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</si>
  <si>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</si>
  <si>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</si>
  <si>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</si>
  <si>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</si>
  <si>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</si>
  <si>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</si>
  <si>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</si>
  <si>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</si>
  <si>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</si>
  <si>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</si>
  <si>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</si>
  <si>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</si>
  <si>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</si>
  <si>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</si>
  <si>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</si>
  <si>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</si>
  <si>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</si>
  <si>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</si>
  <si>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</si>
  <si>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</si>
  <si>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</si>
  <si>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</si>
  <si>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</si>
  <si>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</si>
  <si>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</si>
  <si>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</si>
  <si>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</si>
  <si>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</si>
  <si>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</si>
  <si>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</si>
  <si>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</si>
  <si>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</si>
  <si>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</si>
  <si>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</si>
  <si>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</si>
  <si>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</si>
  <si>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</si>
  <si>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</si>
  <si>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</si>
  <si>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</si>
  <si>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</si>
  <si>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</si>
  <si>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</si>
  <si>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</si>
  <si>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</si>
  <si>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</si>
  <si>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</si>
  <si>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</si>
  <si>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</si>
  <si>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</si>
  <si>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</si>
  <si>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</si>
  <si>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</si>
  <si>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</si>
  <si>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</si>
  <si>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</si>
  <si>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</si>
  <si>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</si>
  <si>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</si>
  <si>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</si>
  <si>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</si>
  <si>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</si>
  <si>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</si>
  <si>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</si>
  <si>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</si>
  <si>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</si>
  <si>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</si>
  <si>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</si>
  <si>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</si>
  <si>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</si>
  <si>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</si>
  <si>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</si>
  <si>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</si>
  <si>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</si>
  <si>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</si>
  <si>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</si>
  <si>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</si>
  <si>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</si>
  <si>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</si>
  <si>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</si>
  <si>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</si>
  <si>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</si>
  <si>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</si>
  <si>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</si>
  <si>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</si>
  <si>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</si>
  <si>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</si>
  <si>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</si>
  <si>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</si>
  <si>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</si>
  <si>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</si>
  <si>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</si>
  <si>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</si>
  <si>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</si>
  <si>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</si>
  <si>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</si>
  <si>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</si>
  <si>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</si>
  <si>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</si>
  <si>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</si>
  <si>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</si>
  <si>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</si>
  <si>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</si>
  <si>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</si>
  <si>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</si>
  <si>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</si>
  <si>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</si>
  <si>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</si>
  <si>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</si>
  <si>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</si>
  <si>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</si>
  <si>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</si>
  <si>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</si>
  <si>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</si>
  <si>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</si>
  <si>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</si>
  <si>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</si>
  <si>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</si>
  <si>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</si>
  <si>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</si>
  <si>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</si>
  <si>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</si>
  <si>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</si>
  <si>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</si>
  <si>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</si>
  <si>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</si>
  <si>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</si>
  <si>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</si>
  <si>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</si>
  <si>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</si>
  <si>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</si>
  <si>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</si>
  <si>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</si>
  <si>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</si>
  <si>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</si>
  <si>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</si>
  <si>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</si>
  <si>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</si>
  <si>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</si>
  <si>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</si>
  <si>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</si>
  <si>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</si>
  <si>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</si>
  <si>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</si>
  <si>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</si>
  <si>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</si>
  <si>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</si>
  <si>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</si>
  <si>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</si>
  <si>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</si>
  <si>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</si>
  <si>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</si>
  <si>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</si>
  <si>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</si>
  <si>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</si>
  <si>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</si>
  <si>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</si>
  <si>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</si>
  <si>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</si>
  <si>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</si>
  <si>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</si>
  <si>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</si>
  <si>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</si>
  <si>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</si>
  <si>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</si>
  <si>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</si>
  <si>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</si>
  <si>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</si>
  <si>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</si>
  <si>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</si>
  <si>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</si>
  <si>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</si>
  <si>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</si>
  <si>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</si>
  <si>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</si>
  <si>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</si>
  <si>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</si>
  <si>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</si>
  <si>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</si>
  <si>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</si>
  <si>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</si>
  <si>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</si>
  <si>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</si>
  <si>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</si>
  <si>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</si>
  <si>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</si>
  <si>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</si>
  <si>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</si>
  <si>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</si>
  <si>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</si>
  <si>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</si>
  <si>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</si>
  <si>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</si>
  <si>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</si>
  <si>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</si>
  <si>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</si>
  <si>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</si>
  <si>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</si>
  <si>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</si>
  <si>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</si>
  <si>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</si>
  <si>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</si>
  <si>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</si>
  <si>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</si>
  <si>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</si>
  <si>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</si>
  <si>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</si>
  <si>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</si>
  <si>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</si>
  <si>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</si>
  <si>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</si>
  <si>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</si>
  <si>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</si>
  <si>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</si>
  <si>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</si>
  <si>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</si>
  <si>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</si>
  <si>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</si>
  <si>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</si>
  <si>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</si>
  <si>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</si>
  <si>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</si>
  <si>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</si>
  <si>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</si>
  <si>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</si>
  <si>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</si>
  <si>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</si>
  <si>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</si>
  <si>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</si>
  <si>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</si>
  <si>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</si>
  <si>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</si>
  <si>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</si>
  <si>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</si>
  <si>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</si>
  <si>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</si>
  <si>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</si>
  <si>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</si>
  <si>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</si>
  <si>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</si>
  <si>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</si>
  <si>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</si>
  <si>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</si>
  <si>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</si>
  <si>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</si>
  <si>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</si>
  <si>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</si>
  <si>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</si>
  <si>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</si>
  <si>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</si>
  <si>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</si>
  <si>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</si>
  <si>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</si>
  <si>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</si>
  <si>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</si>
  <si>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</si>
  <si>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</si>
  <si>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</si>
  <si>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</si>
  <si>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</si>
  <si>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</si>
  <si>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</si>
  <si>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</si>
  <si>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</si>
  <si>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</si>
  <si>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</si>
  <si>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</si>
  <si>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</si>
  <si>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</si>
  <si>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</si>
  <si>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</si>
  <si>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</si>
  <si>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</si>
  <si>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</si>
  <si>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</si>
  <si>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</si>
  <si>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</si>
  <si>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</si>
  <si>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</si>
  <si>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</si>
  <si>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</si>
  <si>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</si>
  <si>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</si>
  <si>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</si>
  <si>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</si>
  <si>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</si>
  <si>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</si>
  <si>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</si>
  <si>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</si>
  <si>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</si>
  <si>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</si>
  <si>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</si>
  <si>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</si>
  <si>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</si>
  <si>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</si>
  <si>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</si>
  <si>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</si>
  <si>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</si>
  <si>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</si>
  <si>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</si>
  <si>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</si>
  <si>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</si>
  <si>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</si>
  <si>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</si>
  <si>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</si>
  <si>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</si>
  <si>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</si>
  <si>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</si>
  <si>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</si>
  <si>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</si>
  <si>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</si>
  <si>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</si>
  <si>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</si>
  <si>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</si>
  <si>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</si>
  <si>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</si>
  <si>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</si>
  <si>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</si>
  <si>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</si>
  <si>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</si>
  <si>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</si>
  <si>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</si>
  <si>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</si>
  <si>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</si>
  <si>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</si>
  <si>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</si>
  <si>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</si>
  <si>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</si>
  <si>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</si>
  <si>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</si>
  <si>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</si>
  <si>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</si>
  <si>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</si>
  <si>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</si>
  <si>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</si>
  <si>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</si>
  <si>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</si>
  <si>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</si>
  <si>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</si>
  <si>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</si>
  <si>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</si>
  <si>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</si>
  <si>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</si>
  <si>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</si>
  <si>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</si>
  <si>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</si>
  <si>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</si>
  <si>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</si>
  <si>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</si>
  <si>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</si>
  <si>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</si>
  <si>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</si>
  <si>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</si>
  <si>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</si>
  <si>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</si>
  <si>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</si>
  <si>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</si>
  <si>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</si>
  <si>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</si>
  <si>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</si>
  <si>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</si>
  <si>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</si>
  <si>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</si>
  <si>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</si>
  <si>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</si>
  <si>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</si>
  <si>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</si>
  <si>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</si>
  <si>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</si>
  <si>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</si>
  <si>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</si>
  <si>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</si>
  <si>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</si>
  <si>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</si>
  <si>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</si>
  <si>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</si>
  <si>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</si>
  <si>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</si>
  <si>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</si>
  <si>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</si>
  <si>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</si>
  <si>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</si>
  <si>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</si>
  <si>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</si>
  <si>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</si>
  <si>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</si>
  <si>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</si>
  <si>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</si>
  <si>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</si>
  <si>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</si>
  <si>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</si>
  <si>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</si>
  <si>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</si>
  <si>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</si>
  <si>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</si>
  <si>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</si>
  <si>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</si>
  <si>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</si>
  <si>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</si>
  <si>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</si>
  <si>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</si>
  <si>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</si>
  <si>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</si>
  <si>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</si>
  <si>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</si>
  <si>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</si>
  <si>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</si>
  <si>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</si>
  <si>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</si>
  <si>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</si>
  <si>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</si>
  <si>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</si>
  <si>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</si>
  <si>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</si>
  <si>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</si>
  <si>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</si>
  <si>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</si>
  <si>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</si>
  <si>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</si>
  <si>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</si>
  <si>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</si>
  <si>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</si>
  <si>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</si>
  <si>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</si>
  <si>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</si>
  <si>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</si>
  <si>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</si>
  <si>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</si>
  <si>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</si>
  <si>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</si>
  <si>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</si>
  <si>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</si>
  <si>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</si>
  <si>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</si>
  <si>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</si>
  <si>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</si>
  <si>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</si>
  <si>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</si>
  <si>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</si>
  <si>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</si>
  <si>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</si>
  <si>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</si>
  <si>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</si>
  <si>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</si>
  <si>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</si>
  <si>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</si>
  <si>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</si>
  <si>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</si>
  <si>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</si>
  <si>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</si>
  <si>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</si>
  <si>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</si>
  <si>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</si>
  <si>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</si>
  <si>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</si>
  <si>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</si>
  <si>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</si>
  <si>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</si>
  <si>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</si>
  <si>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</si>
  <si>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</si>
  <si>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</si>
  <si>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</si>
  <si>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</si>
  <si>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</si>
  <si>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</si>
  <si>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</si>
  <si>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</si>
  <si>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</si>
  <si>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</si>
  <si>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</si>
  <si>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</si>
  <si>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</si>
  <si>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</si>
  <si>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</si>
  <si>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</si>
  <si>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</si>
  <si>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</si>
  <si>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</si>
  <si>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</si>
  <si>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</si>
  <si>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</si>
  <si>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</si>
  <si>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</si>
  <si>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</si>
  <si>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</si>
  <si>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</si>
  <si>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</si>
  <si>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</si>
  <si>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</si>
  <si>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</si>
  <si>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</si>
  <si>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</si>
  <si>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</si>
  <si>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</si>
  <si>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</si>
  <si>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</si>
  <si>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</si>
  <si>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</si>
  <si>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</si>
  <si>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</si>
  <si>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</si>
  <si>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</si>
  <si>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</si>
  <si>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</si>
  <si>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</si>
  <si>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</si>
  <si>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</si>
  <si>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</si>
  <si>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</si>
  <si>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</si>
  <si>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</si>
  <si>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</si>
  <si>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</si>
  <si>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</si>
  <si>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</si>
  <si>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</si>
  <si>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</si>
  <si>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</si>
  <si>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</si>
  <si>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</si>
  <si>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</si>
  <si>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</si>
  <si>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</si>
  <si>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</si>
  <si>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</si>
  <si>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</si>
  <si>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</si>
  <si>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</si>
  <si>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</si>
  <si>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</si>
  <si>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</si>
  <si>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</si>
  <si>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</si>
  <si>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</si>
  <si>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</si>
  <si>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</si>
  <si>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</si>
  <si>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</si>
  <si>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</si>
  <si>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</si>
  <si>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</si>
  <si>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</si>
  <si>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</si>
  <si>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</si>
  <si>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</si>
  <si>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</si>
  <si>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</si>
  <si>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</si>
  <si>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</si>
  <si>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</si>
  <si>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</si>
  <si>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</si>
  <si>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</si>
  <si>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</si>
  <si>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</si>
  <si>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</si>
  <si>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</si>
  <si>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</si>
  <si>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</si>
  <si>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</si>
  <si>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</si>
  <si>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</si>
  <si>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</si>
  <si>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</si>
  <si>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</si>
  <si>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</si>
  <si>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</si>
  <si>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</si>
  <si>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</si>
  <si>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</si>
  <si>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</si>
  <si>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</si>
  <si>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</si>
  <si>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</si>
  <si>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</si>
  <si>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</si>
  <si>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</si>
  <si>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</si>
  <si>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</si>
  <si>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</si>
  <si>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</si>
  <si>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</si>
  <si>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</si>
  <si>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</si>
  <si>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</si>
  <si>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</si>
  <si>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</si>
  <si>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</si>
  <si>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</si>
  <si>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</si>
  <si>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</si>
  <si>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</si>
  <si>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</si>
  <si>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</si>
  <si>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</si>
  <si>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</si>
  <si>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</si>
  <si>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</si>
  <si>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</si>
  <si>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</si>
  <si>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</si>
  <si>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</si>
  <si>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</si>
  <si>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</si>
  <si>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</si>
  <si>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</si>
  <si>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</si>
  <si>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</si>
  <si>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</si>
  <si>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</si>
  <si>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</si>
  <si>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</si>
  <si>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</si>
  <si>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</si>
  <si>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</si>
  <si>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</si>
  <si>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</si>
  <si>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</si>
  <si>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</si>
  <si>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</si>
  <si>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</si>
  <si>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</si>
  <si>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</si>
  <si>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</si>
  <si>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</si>
  <si>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</si>
  <si>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</si>
  <si>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</si>
  <si>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</si>
  <si>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</si>
  <si>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</si>
  <si>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</si>
  <si>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</si>
  <si>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</si>
  <si>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</si>
  <si>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</si>
  <si>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</si>
  <si>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</si>
  <si>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</si>
  <si>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</si>
  <si>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</si>
  <si>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</si>
  <si>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</si>
  <si>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</si>
  <si>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</si>
  <si>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</si>
  <si>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</si>
  <si>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</si>
  <si>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</si>
  <si>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</si>
  <si>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</si>
  <si>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</si>
  <si>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</si>
  <si>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</si>
  <si>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</si>
  <si>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</si>
  <si>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</si>
  <si>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</si>
  <si>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</si>
  <si>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</si>
  <si>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</si>
  <si>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</si>
  <si>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</si>
  <si>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</si>
  <si>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</si>
  <si>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</si>
  <si>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</si>
  <si>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</si>
  <si>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</si>
  <si>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</si>
  <si>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</si>
  <si>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</si>
  <si>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</si>
  <si>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</si>
  <si>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</si>
  <si>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</si>
  <si>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</si>
  <si>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</si>
  <si>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</si>
  <si>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</si>
  <si>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</si>
  <si>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</si>
  <si>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</si>
  <si>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</si>
  <si>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</si>
  <si>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</si>
  <si>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</si>
  <si>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</si>
  <si>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</si>
  <si>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</si>
  <si>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</si>
  <si>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</si>
  <si>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</si>
  <si>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</si>
  <si>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</si>
  <si>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</si>
  <si>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</si>
  <si>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</si>
  <si>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</si>
  <si>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</si>
  <si>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</si>
  <si>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</si>
  <si>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</si>
  <si>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</si>
  <si>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</si>
  <si>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</si>
  <si>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</si>
  <si>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</si>
  <si>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</si>
  <si>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</si>
  <si>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</si>
  <si>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</si>
  <si>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</si>
  <si>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</si>
  <si>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</si>
  <si>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</si>
  <si>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</si>
  <si>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</si>
  <si>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</si>
  <si>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</si>
  <si>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</si>
  <si>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</si>
  <si>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</si>
  <si>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</si>
  <si>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</si>
  <si>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</si>
  <si>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</si>
  <si>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</si>
  <si>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</si>
  <si>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</si>
  <si>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</si>
  <si>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</si>
  <si>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</si>
  <si>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</si>
  <si>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</si>
  <si>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</si>
  <si>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</si>
  <si>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</si>
  <si>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</si>
  <si>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</si>
  <si>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</si>
  <si>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</si>
  <si>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</si>
  <si>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</si>
  <si>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</si>
  <si>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</si>
  <si>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</si>
  <si>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</si>
  <si>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</si>
  <si>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</si>
  <si>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</si>
  <si>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</si>
  <si>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</si>
  <si>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</si>
  <si>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</si>
  <si>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</si>
  <si>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</si>
  <si>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</si>
  <si>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</si>
  <si>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</si>
  <si>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</si>
  <si>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</si>
  <si>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</si>
  <si>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</si>
  <si>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</si>
  <si>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</si>
  <si>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</si>
  <si>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</si>
  <si>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</si>
  <si>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</si>
  <si>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</si>
  <si>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</si>
  <si>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</si>
  <si>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</si>
  <si>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</si>
  <si>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</si>
  <si>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</si>
  <si>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</si>
  <si>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</si>
  <si>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</si>
  <si>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</si>
  <si>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</si>
  <si>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</si>
  <si>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</si>
  <si>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</si>
  <si>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</si>
  <si>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</si>
  <si>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</si>
  <si>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</si>
  <si>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</si>
  <si>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</si>
  <si>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</si>
  <si>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</si>
  <si>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</si>
  <si>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</si>
  <si>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</si>
  <si>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</si>
  <si>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</si>
  <si>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</si>
  <si>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</si>
  <si>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</si>
  <si>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</si>
  <si>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</si>
  <si>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</si>
  <si>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</si>
  <si>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</si>
  <si>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</si>
  <si>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</si>
  <si>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</si>
  <si>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</si>
  <si>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</si>
  <si>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</si>
  <si>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</si>
  <si>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</si>
  <si>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</si>
  <si>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</si>
  <si>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</si>
  <si>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</si>
  <si>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</si>
  <si>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</si>
  <si>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</si>
  <si>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</si>
  <si>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</si>
  <si>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</si>
  <si>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</si>
  <si>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</si>
  <si>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</si>
  <si>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</si>
  <si>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</si>
  <si>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</si>
  <si>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</si>
  <si>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</si>
  <si>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</si>
  <si>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</si>
  <si>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</si>
  <si>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</si>
  <si>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</si>
  <si>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</si>
  <si>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</si>
  <si>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</si>
  <si>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</si>
  <si>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</si>
  <si>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</si>
  <si>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</si>
  <si>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</si>
  <si>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</si>
  <si>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</si>
  <si>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</si>
  <si>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</si>
  <si>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</si>
  <si>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</si>
  <si>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</si>
  <si>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</si>
  <si>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</si>
  <si>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</si>
  <si>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</si>
  <si>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</si>
  <si>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</si>
  <si>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</si>
  <si>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</si>
  <si>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</si>
  <si>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</si>
  <si>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</si>
  <si>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</si>
  <si>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</si>
  <si>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</si>
  <si>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</si>
  <si>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</si>
  <si>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</si>
  <si>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</si>
  <si>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</si>
  <si>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</si>
  <si>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</si>
  <si>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</si>
  <si>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</si>
  <si>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</si>
  <si>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</si>
  <si>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</si>
  <si>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</si>
  <si>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</si>
  <si>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</si>
  <si>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</si>
  <si>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</si>
  <si>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</si>
  <si>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</si>
  <si>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</si>
  <si>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</si>
  <si>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</si>
  <si>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</si>
  <si>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</si>
  <si>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</si>
  <si>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</si>
  <si>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</si>
  <si>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</si>
  <si>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</si>
  <si>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</si>
  <si>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</si>
  <si>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</si>
  <si>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</si>
  <si>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</si>
  <si>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</si>
  <si>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</si>
  <si>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</si>
  <si>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</si>
  <si>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</si>
  <si>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</si>
  <si>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</si>
  <si>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</si>
  <si>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</si>
  <si>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</si>
  <si>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</si>
  <si>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</si>
  <si>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</si>
  <si>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</si>
  <si>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</si>
  <si>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</si>
  <si>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</si>
  <si>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</si>
  <si>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</si>
  <si>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</si>
  <si>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</si>
  <si>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</si>
  <si>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</si>
  <si>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</si>
  <si>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</si>
  <si>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</si>
  <si>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</si>
  <si>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</si>
  <si>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</si>
  <si>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</si>
  <si>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</si>
  <si>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</si>
  <si>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</si>
  <si>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</si>
  <si>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</si>
  <si>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</si>
  <si>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</si>
  <si>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</si>
  <si>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</si>
  <si>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</si>
  <si>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</si>
  <si>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</si>
  <si>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</si>
  <si>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</si>
  <si>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</si>
  <si>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</si>
  <si>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</si>
  <si>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</si>
  <si>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</si>
  <si>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</si>
  <si>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</si>
  <si>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</si>
  <si>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</si>
  <si>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</si>
  <si>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</si>
  <si>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</si>
  <si>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</si>
  <si>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</si>
  <si>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</si>
  <si>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</si>
  <si>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</si>
  <si>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</si>
  <si>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</si>
  <si>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</si>
  <si>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</si>
  <si>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</si>
  <si>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</si>
  <si>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</si>
  <si>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</si>
  <si>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</si>
  <si>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</si>
  <si>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</si>
  <si>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</si>
  <si>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</si>
  <si>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</si>
  <si>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</si>
  <si>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</si>
  <si>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</si>
  <si>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</si>
  <si>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</si>
  <si>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</si>
  <si>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</si>
  <si>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</si>
  <si>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</si>
  <si>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</si>
  <si>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</si>
  <si>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</si>
  <si>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</si>
  <si>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</si>
  <si>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</si>
  <si>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</si>
  <si>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</si>
  <si>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</si>
  <si>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</si>
  <si>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</si>
  <si>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</si>
  <si>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</si>
  <si>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</si>
  <si>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</si>
  <si>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</si>
  <si>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</si>
  <si>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</si>
  <si>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</si>
  <si>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</si>
  <si>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</si>
  <si>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</si>
  <si>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</si>
  <si>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</si>
  <si>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</si>
  <si>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</si>
  <si>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</si>
  <si>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</si>
  <si>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</si>
  <si>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</si>
  <si>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</si>
  <si>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</si>
  <si>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</si>
  <si>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</si>
  <si>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</si>
  <si>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</si>
  <si>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</si>
  <si>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</si>
  <si>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</si>
  <si>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</si>
  <si>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</si>
  <si>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</si>
  <si>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</si>
  <si>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</si>
  <si>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</si>
  <si>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</si>
  <si>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</si>
  <si>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</si>
  <si>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</si>
  <si>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</si>
  <si>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</si>
  <si>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</si>
  <si>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</si>
  <si>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</si>
  <si>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</si>
  <si>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</si>
  <si>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</si>
  <si>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</si>
  <si>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</si>
  <si>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</si>
  <si>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</si>
  <si>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</si>
  <si>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</si>
  <si>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</si>
  <si>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</si>
  <si>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</si>
  <si>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</si>
  <si>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</si>
  <si>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</si>
  <si>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</si>
  <si>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</si>
  <si>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</si>
  <si>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</si>
  <si>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</si>
  <si>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</si>
  <si>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</si>
  <si>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</si>
  <si>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</si>
  <si>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</si>
  <si>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</si>
  <si>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</si>
  <si>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</si>
  <si>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</si>
  <si>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</si>
  <si>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</si>
  <si>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</si>
  <si>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</si>
  <si>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</si>
  <si>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</si>
  <si>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</si>
  <si>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</si>
  <si>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</si>
  <si>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</si>
  <si>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</si>
  <si>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</si>
  <si>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</si>
  <si>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</si>
  <si>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</si>
  <si>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</si>
  <si>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</si>
  <si>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</si>
  <si>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</si>
  <si>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</si>
  <si>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</si>
  <si>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</si>
  <si>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</si>
  <si>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</si>
  <si>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</si>
  <si>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</si>
  <si>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</si>
  <si>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</si>
  <si>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</si>
  <si>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</si>
  <si>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</si>
  <si>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</si>
  <si>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</si>
  <si>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</si>
  <si>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</si>
  <si>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</si>
  <si>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</si>
  <si>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</si>
  <si>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</si>
  <si>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</si>
  <si>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</si>
  <si>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</si>
  <si>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</si>
  <si>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</si>
  <si>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</si>
  <si>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</si>
  <si>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</si>
  <si>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</si>
  <si>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</si>
  <si>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</si>
  <si>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</si>
  <si>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</si>
  <si>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</si>
  <si>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</si>
  <si>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</si>
  <si>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</si>
  <si>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</si>
  <si>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</si>
  <si>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</si>
  <si>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</si>
  <si>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</si>
  <si>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</si>
  <si>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</si>
  <si>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</si>
  <si>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</si>
  <si>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</si>
  <si>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</si>
  <si>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</si>
  <si>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</si>
  <si>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</si>
  <si>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</si>
  <si>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</si>
  <si>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</si>
  <si>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</si>
  <si>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</si>
  <si>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</si>
  <si>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</si>
  <si>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</si>
  <si>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</si>
  <si>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</si>
  <si>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</si>
  <si>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</si>
  <si>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</si>
  <si>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</si>
  <si>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</si>
  <si>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</si>
  <si>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</si>
  <si>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</si>
  <si>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</si>
  <si>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</si>
  <si>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</si>
  <si>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</si>
  <si>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</si>
  <si>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</si>
  <si>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</si>
  <si>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</si>
  <si>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</si>
  <si>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</si>
  <si>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</si>
  <si>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</si>
  <si>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</si>
  <si>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</si>
  <si>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</si>
  <si>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</si>
  <si>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</si>
  <si>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</si>
  <si>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</si>
  <si>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</si>
  <si>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</si>
  <si>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</si>
  <si>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</si>
  <si>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</si>
  <si>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</si>
  <si>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</si>
  <si>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</si>
  <si>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</si>
  <si>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</si>
  <si>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</si>
  <si>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</si>
  <si>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</si>
  <si>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</si>
  <si>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</si>
  <si>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</si>
  <si>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</si>
  <si>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</si>
  <si>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</si>
  <si>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</si>
  <si>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</si>
  <si>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</si>
  <si>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</si>
  <si>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</si>
  <si>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</si>
  <si>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</si>
  <si>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</si>
  <si>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</si>
  <si>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</si>
  <si>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</si>
  <si>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</si>
  <si>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</si>
  <si>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</si>
  <si>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</si>
  <si>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</si>
  <si>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</si>
  <si>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</si>
  <si>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</si>
  <si>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</si>
  <si>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</si>
  <si>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</si>
  <si>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</si>
  <si>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</si>
  <si>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</si>
  <si>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</si>
  <si>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</si>
  <si>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</si>
  <si>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</si>
  <si>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</si>
  <si>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</si>
  <si>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</si>
  <si>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</si>
  <si>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</si>
  <si>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</si>
  <si>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</si>
  <si>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</si>
  <si>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</si>
  <si>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</si>
  <si>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</si>
  <si>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</si>
  <si>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</si>
  <si>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</si>
  <si>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</si>
  <si>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</si>
  <si>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</si>
  <si>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</si>
  <si>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</si>
  <si>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</si>
  <si>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</si>
  <si>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</si>
  <si>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</si>
  <si>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</si>
  <si>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</si>
  <si>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</si>
  <si>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</si>
  <si>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</si>
  <si>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</si>
  <si>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</si>
  <si>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</si>
  <si>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</si>
  <si>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</si>
  <si>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</si>
  <si>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</si>
  <si>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</si>
  <si>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</si>
  <si>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</si>
  <si>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</si>
  <si>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</si>
  <si>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</si>
  <si>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</si>
  <si>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</si>
  <si>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</si>
  <si>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</si>
  <si>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</si>
  <si>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</si>
  <si>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</si>
  <si>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</si>
  <si>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</si>
  <si>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</si>
  <si>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</si>
  <si>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</si>
  <si>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</si>
  <si>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</si>
  <si>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</si>
  <si>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</si>
  <si>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</si>
  <si>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</si>
  <si>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</si>
  <si>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</si>
  <si>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</si>
  <si>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</si>
  <si>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</si>
  <si>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</si>
  <si>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</si>
  <si>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</si>
  <si>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</si>
  <si>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</si>
  <si>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</si>
  <si>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</si>
  <si>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</si>
  <si>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</si>
  <si>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</si>
  <si>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</si>
  <si>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</si>
  <si>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</si>
  <si>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</si>
  <si>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</si>
  <si>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</si>
  <si>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</si>
  <si>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</si>
  <si>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</si>
  <si>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</si>
  <si>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</si>
  <si>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</si>
  <si>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</si>
  <si>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</si>
  <si>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</si>
  <si>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</si>
  <si>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</si>
  <si>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</si>
  <si>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</si>
  <si>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</si>
  <si>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</si>
  <si>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</si>
  <si>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</si>
  <si>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</si>
  <si>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</si>
  <si>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</si>
  <si>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</si>
  <si>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</si>
  <si>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</si>
  <si>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</si>
  <si>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</si>
  <si>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</si>
  <si>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</si>
  <si>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</si>
  <si>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</si>
  <si>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</si>
  <si>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</si>
  <si>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</si>
  <si>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</si>
  <si>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</si>
  <si>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</si>
  <si>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</si>
  <si>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</si>
  <si>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</si>
  <si>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</si>
  <si>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</si>
  <si>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</si>
  <si>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</si>
  <si>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</si>
  <si>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</si>
  <si>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</si>
  <si>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</si>
  <si>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</si>
  <si>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</si>
  <si>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</si>
  <si>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</si>
  <si>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</si>
  <si>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</si>
  <si>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</si>
  <si>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</si>
  <si>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</si>
  <si>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</si>
  <si>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</si>
  <si>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</si>
  <si>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</si>
  <si>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</si>
  <si>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</si>
  <si>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</si>
  <si>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</si>
  <si>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</si>
  <si>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</si>
  <si>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</si>
  <si>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</si>
  <si>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</si>
  <si>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</si>
  <si>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</si>
  <si>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</si>
  <si>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</si>
  <si>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</si>
  <si>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</si>
  <si>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</si>
  <si>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</si>
  <si>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</si>
  <si>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</si>
  <si>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</si>
  <si>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</si>
  <si>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</si>
  <si>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</si>
  <si>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</si>
  <si>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</si>
  <si>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</si>
  <si>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</si>
  <si>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</si>
  <si>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</si>
  <si>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</si>
  <si>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</si>
  <si>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</si>
  <si>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</si>
  <si>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</si>
  <si>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</si>
  <si>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</si>
  <si>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</si>
  <si>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</si>
  <si>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</si>
  <si>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</si>
  <si>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</si>
  <si>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</si>
  <si>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</si>
  <si>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</si>
  <si>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</si>
  <si>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</si>
  <si>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</si>
  <si>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</si>
  <si>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</si>
  <si>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</si>
  <si>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</si>
  <si>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</si>
  <si>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</si>
  <si>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</si>
  <si>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</si>
  <si>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</si>
  <si>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</si>
  <si>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</si>
  <si>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</si>
  <si>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</si>
  <si>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</si>
  <si>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</si>
  <si>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</si>
  <si>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</si>
  <si>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</si>
  <si>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</si>
  <si>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</si>
  <si>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</si>
  <si>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</si>
  <si>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</si>
  <si>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</si>
  <si>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</si>
  <si>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</si>
  <si>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</si>
  <si>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</si>
  <si>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</si>
  <si>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</si>
  <si>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</si>
  <si>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</si>
  <si>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</si>
  <si>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</si>
  <si>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</si>
  <si>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</si>
  <si>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</si>
  <si>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</si>
  <si>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</si>
  <si>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</si>
  <si>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</si>
  <si>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</si>
  <si>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</si>
  <si>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</si>
  <si>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</si>
  <si>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</si>
  <si>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</si>
  <si>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</si>
  <si>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</si>
  <si>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</si>
  <si>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</si>
  <si>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</si>
  <si>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</si>
  <si>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</si>
  <si>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</si>
  <si>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</si>
  <si>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</si>
  <si>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</si>
  <si>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</si>
  <si>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</si>
  <si>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</si>
  <si>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</si>
  <si>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</si>
  <si>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</si>
  <si>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</si>
  <si>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</si>
  <si>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</si>
  <si>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</si>
  <si>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</si>
  <si>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</si>
  <si>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</si>
  <si>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</si>
  <si>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</si>
  <si>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</si>
  <si>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</si>
  <si>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</si>
  <si>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</si>
  <si>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</si>
  <si>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</si>
  <si>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</si>
  <si>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</si>
  <si>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</si>
  <si>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</si>
  <si>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</si>
  <si>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</si>
  <si>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</si>
  <si>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</si>
  <si>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</si>
  <si>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</si>
  <si>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</si>
  <si>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</si>
  <si>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</si>
  <si>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</si>
  <si>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</si>
  <si>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</si>
  <si>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</si>
  <si>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</si>
  <si>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</si>
  <si>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</si>
  <si>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</si>
  <si>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</si>
  <si>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</si>
  <si>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</si>
  <si>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</si>
  <si>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</si>
  <si>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</si>
  <si>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</si>
  <si>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</si>
  <si>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</si>
  <si>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</si>
  <si>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</si>
  <si>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</si>
  <si>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</si>
  <si>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</si>
  <si>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</si>
  <si>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</si>
  <si>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</si>
  <si>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</si>
  <si>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</si>
  <si>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</si>
  <si>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</si>
  <si>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</si>
  <si>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</si>
  <si>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</si>
  <si>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</si>
  <si>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</si>
  <si>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</si>
  <si>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</si>
  <si>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</si>
  <si>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</si>
  <si>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</si>
  <si>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</si>
  <si>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</si>
  <si>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</si>
  <si>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</si>
  <si>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</si>
  <si>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</si>
  <si>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</si>
  <si>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</si>
  <si>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</si>
  <si>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</si>
  <si>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</si>
  <si>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</si>
  <si>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</si>
  <si>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</si>
  <si>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</si>
  <si>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</si>
  <si>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</si>
  <si>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</si>
  <si>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</si>
  <si>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</si>
  <si>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</si>
  <si>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</si>
  <si>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</si>
  <si>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</si>
  <si>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</si>
  <si>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</si>
  <si>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</si>
  <si>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</si>
  <si>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</si>
  <si>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</si>
  <si>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</si>
  <si>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</si>
  <si>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</si>
  <si>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</si>
  <si>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</si>
  <si>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</si>
  <si>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</si>
  <si>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</si>
  <si>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</si>
  <si>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</si>
  <si>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</si>
  <si>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</si>
  <si>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</si>
  <si>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</si>
  <si>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</si>
  <si>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</si>
  <si>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</si>
  <si>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</si>
  <si>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</si>
  <si>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</si>
  <si>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</si>
  <si>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</si>
  <si>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</si>
  <si>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</si>
  <si>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</si>
  <si>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</si>
  <si>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</si>
  <si>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</si>
  <si>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</si>
  <si>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</si>
  <si>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</si>
  <si>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</si>
  <si>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</si>
  <si>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</si>
  <si>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</si>
  <si>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</si>
  <si>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</si>
  <si>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</si>
  <si>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</si>
  <si>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</si>
  <si>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</si>
  <si>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</si>
  <si>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</si>
  <si>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</si>
  <si>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</si>
  <si>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</si>
  <si>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</si>
  <si>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</si>
  <si>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</si>
  <si>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</si>
  <si>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</si>
  <si>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</si>
  <si>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</si>
  <si>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</si>
  <si>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</si>
  <si>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</si>
  <si>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</si>
  <si>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</si>
  <si>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</si>
  <si>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</si>
  <si>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</si>
  <si>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</si>
  <si>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</si>
  <si>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</si>
  <si>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</si>
  <si>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</si>
  <si>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</si>
  <si>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</si>
  <si>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</si>
  <si>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</si>
  <si>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</si>
  <si>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</si>
  <si>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</si>
  <si>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</si>
  <si>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</si>
  <si>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</si>
  <si>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</si>
  <si>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</si>
  <si>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</si>
  <si>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</si>
  <si>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</si>
  <si>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</si>
  <si>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</si>
  <si>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</si>
  <si>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</si>
  <si>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</si>
  <si>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</si>
  <si>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</si>
  <si>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</si>
  <si>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</si>
  <si>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</si>
  <si>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</si>
  <si>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</si>
  <si>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</si>
  <si>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</si>
  <si>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</si>
  <si>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</si>
  <si>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</si>
  <si>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</si>
  <si>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</si>
  <si>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</si>
  <si>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</si>
  <si>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</si>
  <si>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</si>
  <si>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</si>
  <si>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</si>
  <si>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</si>
  <si>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</si>
  <si>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</si>
  <si>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</si>
  <si>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</si>
  <si>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</si>
  <si>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</si>
  <si>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</si>
  <si>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</si>
  <si>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</si>
  <si>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</si>
  <si>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</si>
  <si>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</si>
  <si>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</si>
  <si>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</si>
  <si>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</si>
  <si>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</si>
  <si>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</si>
  <si>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</si>
  <si>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</si>
  <si>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</si>
  <si>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</si>
  <si>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</si>
  <si>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</si>
  <si>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</si>
  <si>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</si>
  <si>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</si>
  <si>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</si>
  <si>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</si>
  <si>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</si>
  <si>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</si>
  <si>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</si>
  <si>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</si>
  <si>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</si>
  <si>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</si>
  <si>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</si>
  <si>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</si>
  <si>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</si>
  <si>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</si>
  <si>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</si>
  <si>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</si>
  <si>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</si>
  <si>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</si>
  <si>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</si>
  <si>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</si>
  <si>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</si>
  <si>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</si>
  <si>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</si>
  <si>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</si>
  <si>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</si>
  <si>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</si>
  <si>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</si>
  <si>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</si>
  <si>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</si>
  <si>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</si>
  <si>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</si>
  <si>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</si>
  <si>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</si>
  <si>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</si>
  <si>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</si>
  <si>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</si>
  <si>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</si>
  <si>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</si>
  <si>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</si>
  <si>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</si>
  <si>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</si>
  <si>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</si>
  <si>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</si>
  <si>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</si>
  <si>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</si>
  <si>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</si>
  <si>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</si>
  <si>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</si>
  <si>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</si>
  <si>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</si>
  <si>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</si>
  <si>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</si>
  <si>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</si>
  <si>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</si>
  <si>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</si>
  <si>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</si>
  <si>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</si>
  <si>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</si>
  <si>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</si>
  <si>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</si>
  <si>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</si>
  <si>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</si>
  <si>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</si>
  <si>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</si>
  <si>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</si>
  <si>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</si>
  <si>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</si>
  <si>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</si>
  <si>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</si>
  <si>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</si>
  <si>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</si>
  <si>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</si>
  <si>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</si>
  <si>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</si>
  <si>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</si>
  <si>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</si>
  <si>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</si>
  <si>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</si>
  <si>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</si>
  <si>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</si>
  <si>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</si>
  <si>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</si>
  <si>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</si>
  <si>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</si>
  <si>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</si>
  <si>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</si>
  <si>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</si>
  <si>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</si>
  <si>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</si>
  <si>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</si>
  <si>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</si>
  <si>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</si>
  <si>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</si>
  <si>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</si>
  <si>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</si>
  <si>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</si>
  <si>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</si>
  <si>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</si>
  <si>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</si>
  <si>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</si>
  <si>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</si>
  <si>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</si>
  <si>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</si>
  <si>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</si>
  <si>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</si>
  <si>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</si>
  <si>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</si>
  <si>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</si>
  <si>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</si>
  <si>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</si>
  <si>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</si>
  <si>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</si>
  <si>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</si>
  <si>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</si>
  <si>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</si>
  <si>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</si>
  <si>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</si>
  <si>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</si>
  <si>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</si>
  <si>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</si>
  <si>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</si>
  <si>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</si>
  <si>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</si>
  <si>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</si>
  <si>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</si>
  <si>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</si>
  <si>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</si>
  <si>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</si>
  <si>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</si>
  <si>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</si>
  <si>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</si>
  <si>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</si>
  <si>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</si>
  <si>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</si>
  <si>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</si>
  <si>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</si>
  <si>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</si>
  <si>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</si>
  <si>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</si>
  <si>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</si>
  <si>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</si>
  <si>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</si>
  <si>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</si>
  <si>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</si>
  <si>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</si>
  <si>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</si>
  <si>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</si>
  <si>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</si>
  <si>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</si>
  <si>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</si>
  <si>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</si>
  <si>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</si>
  <si>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</si>
  <si>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</si>
  <si>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</si>
  <si>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</si>
  <si>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</si>
  <si>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</si>
  <si>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</si>
  <si>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</si>
  <si>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</si>
  <si>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</si>
  <si>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</si>
  <si>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</si>
  <si>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</si>
  <si>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</si>
  <si>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</si>
  <si>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</si>
  <si>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</si>
  <si>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</si>
  <si>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</si>
  <si>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</si>
  <si>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</si>
  <si>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</si>
  <si>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</si>
  <si>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</si>
  <si>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</si>
  <si>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</si>
  <si>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</si>
  <si>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</si>
  <si>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</si>
  <si>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</si>
  <si>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</si>
  <si>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</si>
  <si>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</si>
  <si>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</si>
  <si>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</si>
  <si>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</si>
  <si>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</si>
  <si>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</si>
  <si>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</si>
  <si>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</si>
  <si>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</si>
  <si>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</si>
  <si>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</si>
  <si>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</si>
  <si>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</si>
  <si>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</si>
  <si>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</si>
  <si>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</si>
  <si>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</si>
  <si>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</si>
  <si>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</si>
  <si>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</si>
  <si>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</si>
  <si>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</si>
  <si>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</si>
  <si>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</si>
  <si>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</si>
  <si>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</si>
  <si>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</si>
  <si>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</si>
  <si>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</si>
  <si>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</si>
  <si>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</si>
  <si>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</si>
  <si>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</si>
  <si>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</si>
  <si>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</si>
  <si>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</si>
  <si>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</si>
  <si>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</si>
  <si>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</si>
  <si>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</si>
  <si>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</si>
  <si>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</si>
  <si>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</si>
  <si>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</si>
  <si>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</si>
  <si>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</si>
  <si>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</si>
  <si>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</si>
  <si>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</si>
  <si>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</si>
  <si>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</si>
  <si>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</si>
  <si>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</si>
  <si>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</si>
  <si>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</si>
  <si>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</si>
  <si>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</si>
  <si>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</si>
  <si>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</si>
  <si>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</si>
  <si>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</si>
  <si>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</si>
  <si>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</si>
  <si>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</si>
  <si>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</si>
  <si>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</si>
  <si>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</si>
  <si>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</si>
  <si>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</si>
  <si>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</si>
  <si>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</si>
  <si>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</si>
  <si>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</si>
  <si>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</si>
  <si>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</si>
  <si>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</si>
  <si>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</si>
  <si>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</si>
  <si>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</si>
  <si>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</si>
  <si>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</si>
  <si>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</si>
  <si>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</si>
  <si>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</si>
  <si>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</si>
  <si>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</si>
  <si>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</si>
  <si>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</si>
  <si>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</si>
  <si>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</si>
  <si>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</si>
  <si>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</si>
  <si>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</si>
  <si>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</si>
  <si>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</si>
  <si>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</si>
  <si>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</si>
  <si>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</si>
  <si>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</si>
  <si>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</si>
  <si>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</si>
  <si>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</si>
  <si>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</si>
  <si>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</si>
  <si>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</si>
  <si>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</si>
  <si>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</si>
  <si>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</si>
  <si>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</si>
  <si>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</si>
  <si>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</si>
  <si>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</si>
  <si>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</si>
  <si>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</si>
  <si>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</si>
  <si>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</si>
  <si>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</si>
  <si>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</si>
  <si>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</si>
  <si>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</si>
  <si>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</si>
  <si>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</si>
  <si>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</si>
  <si>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</si>
  <si>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</si>
  <si>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</si>
  <si>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</si>
  <si>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</si>
  <si>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</si>
  <si>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</si>
  <si>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</si>
  <si>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</si>
  <si>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</si>
  <si>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</si>
  <si>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</si>
  <si>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</si>
  <si>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</si>
  <si>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</si>
  <si>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</si>
  <si>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</si>
  <si>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</si>
  <si>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</si>
  <si>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</si>
  <si>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</si>
  <si>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</si>
  <si>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</si>
  <si>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</si>
  <si>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</si>
  <si>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</si>
  <si>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</si>
  <si>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</si>
  <si>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</si>
  <si>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</si>
  <si>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</si>
  <si>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</si>
  <si>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</si>
  <si>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</si>
  <si>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</si>
  <si>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</si>
  <si>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</si>
  <si>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</si>
  <si>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</si>
  <si>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</si>
  <si>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</si>
  <si>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</si>
  <si>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</si>
  <si>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</si>
  <si>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</si>
  <si>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</si>
  <si>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</si>
  <si>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</si>
  <si>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</si>
  <si>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</si>
  <si>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</si>
  <si>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</si>
  <si>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</si>
  <si>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</si>
  <si>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</si>
  <si>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</si>
  <si>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</si>
  <si>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</si>
  <si>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</si>
  <si>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</si>
  <si>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</si>
  <si>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</si>
  <si>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</si>
  <si>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</si>
  <si>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</si>
  <si>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</si>
  <si>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</si>
  <si>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</si>
  <si>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</si>
  <si>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</si>
  <si>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</si>
  <si>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</si>
  <si>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</si>
  <si>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</si>
  <si>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</si>
  <si>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</si>
  <si>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</si>
  <si>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</si>
  <si>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</si>
  <si>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</si>
  <si>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</si>
  <si>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</si>
  <si>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</si>
  <si>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</si>
  <si>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</si>
  <si>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</si>
  <si>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</si>
  <si>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</si>
  <si>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</si>
  <si>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</si>
  <si>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</si>
  <si>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</si>
  <si>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</si>
  <si>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</si>
  <si>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</si>
  <si>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</si>
  <si>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</si>
  <si>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</si>
  <si>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</si>
  <si>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</si>
  <si>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</si>
  <si>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</si>
  <si>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</si>
  <si>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</si>
  <si>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</si>
  <si>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</si>
  <si>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</si>
  <si>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</si>
  <si>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</si>
  <si>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</si>
  <si>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</si>
  <si>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</si>
  <si>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</si>
  <si>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</si>
  <si>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</si>
  <si>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</si>
  <si>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</si>
  <si>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</si>
  <si>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</si>
  <si>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</si>
  <si>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</si>
  <si>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</si>
  <si>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</si>
  <si>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</si>
  <si>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</si>
  <si>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</si>
  <si>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</si>
  <si>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</si>
  <si>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</si>
  <si>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</si>
  <si>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</si>
  <si>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</si>
  <si>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</si>
  <si>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</si>
  <si>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</si>
  <si>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</si>
  <si>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</si>
  <si>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</si>
  <si>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</si>
  <si>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</si>
  <si>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</si>
  <si>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</si>
  <si>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</si>
  <si>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</si>
  <si>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</si>
  <si>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</si>
  <si>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</si>
  <si>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</si>
  <si>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</si>
  <si>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</si>
  <si>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</si>
  <si>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</si>
  <si>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</si>
  <si>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</si>
  <si>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</si>
  <si>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</si>
  <si>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</si>
  <si>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</si>
  <si>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</si>
  <si>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</si>
  <si>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</si>
  <si>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</si>
  <si>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</si>
  <si>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</si>
  <si>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</si>
  <si>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</si>
  <si>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</si>
  <si>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</si>
  <si>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</si>
  <si>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</si>
  <si>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</si>
  <si>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</si>
  <si>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</si>
  <si>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</si>
  <si>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</si>
  <si>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</si>
  <si>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</si>
  <si>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</si>
  <si>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</si>
  <si>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</si>
  <si>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</si>
  <si>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</si>
  <si>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</si>
  <si>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</si>
  <si>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</si>
  <si>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</si>
  <si>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</si>
  <si>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</si>
  <si>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</si>
  <si>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</si>
  <si>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</si>
  <si>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</si>
  <si>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</si>
  <si>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</si>
  <si>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</si>
  <si>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</si>
  <si>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</si>
  <si>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</si>
  <si>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</si>
  <si>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</si>
  <si>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</si>
  <si>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</si>
  <si>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</si>
  <si>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</si>
  <si>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</si>
  <si>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</si>
  <si>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</si>
  <si>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</si>
  <si>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</si>
  <si>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</si>
  <si>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</si>
  <si>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</si>
  <si>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</si>
  <si>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</si>
  <si>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</si>
  <si>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</si>
  <si>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</si>
  <si>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</si>
  <si>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</si>
  <si>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</si>
  <si>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</si>
  <si>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</si>
  <si>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</si>
  <si>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</si>
  <si>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</si>
  <si>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</si>
  <si>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</si>
  <si>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</si>
  <si>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</si>
  <si>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</si>
  <si>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</si>
  <si>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</si>
  <si>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</si>
  <si>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</si>
  <si>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</si>
  <si>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</si>
  <si>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</si>
  <si>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</si>
  <si>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</si>
  <si>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</si>
  <si>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</si>
  <si>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</si>
  <si>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</si>
  <si>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</si>
  <si>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</si>
  <si>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</si>
  <si>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</si>
  <si>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</si>
  <si>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</si>
  <si>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</si>
  <si>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</si>
  <si>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</si>
  <si>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</si>
  <si>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</si>
  <si>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</si>
  <si>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</si>
  <si>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</si>
  <si>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</si>
  <si>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</si>
  <si>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</si>
  <si>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</si>
  <si>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</si>
  <si>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</si>
  <si>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</si>
  <si>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</si>
  <si>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</si>
  <si>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</si>
  <si>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</si>
  <si>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</si>
  <si>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</si>
  <si>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</si>
  <si>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</si>
  <si>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</si>
  <si>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</si>
  <si>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</si>
  <si>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</si>
  <si>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</si>
  <si>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</si>
  <si>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</si>
  <si>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</si>
  <si>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</si>
  <si>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</si>
  <si>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</si>
  <si>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</si>
  <si>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</si>
  <si>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</si>
  <si>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</si>
  <si>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</si>
  <si>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</si>
  <si>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</si>
  <si>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</si>
  <si>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</si>
  <si>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</si>
  <si>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</si>
  <si>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</si>
  <si>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</si>
  <si>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</si>
  <si>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</si>
  <si>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</si>
  <si>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</si>
  <si>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</si>
  <si>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</si>
  <si>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</si>
  <si>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</si>
  <si>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</si>
  <si>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</si>
  <si>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</si>
  <si>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</si>
  <si>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</si>
  <si>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</si>
  <si>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</si>
  <si>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</si>
  <si>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</si>
  <si>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</si>
  <si>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</si>
  <si>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</si>
  <si>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</si>
  <si>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</si>
  <si>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</si>
  <si>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</si>
  <si>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</si>
  <si>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</si>
  <si>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</si>
  <si>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</si>
  <si>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</si>
  <si>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</si>
  <si>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</si>
  <si>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</si>
  <si>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</si>
  <si>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</si>
  <si>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</si>
  <si>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</si>
  <si>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</si>
  <si>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</si>
  <si>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</si>
  <si>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</si>
  <si>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</si>
  <si>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</si>
  <si>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</si>
  <si>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</si>
  <si>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</si>
  <si>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</si>
  <si>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</si>
  <si>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</si>
  <si>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</si>
  <si>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</si>
  <si>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</si>
  <si>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</si>
  <si>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</si>
  <si>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</si>
  <si>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</si>
  <si>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</si>
  <si>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</si>
  <si>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</si>
  <si>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</si>
  <si>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</si>
  <si>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</si>
  <si>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</si>
  <si>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</si>
  <si>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</si>
  <si>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</si>
  <si>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</si>
  <si>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</si>
  <si>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</si>
  <si>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</si>
  <si>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</si>
  <si>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</si>
  <si>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</si>
  <si>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</si>
  <si>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</si>
  <si>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</si>
  <si>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</si>
  <si>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</si>
  <si>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</si>
  <si>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</si>
  <si>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</si>
  <si>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</si>
  <si>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</si>
  <si>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</si>
  <si>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</si>
  <si>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</si>
  <si>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</si>
  <si>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</si>
  <si>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</si>
  <si>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</si>
  <si>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</si>
  <si>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</si>
  <si>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</si>
  <si>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</si>
  <si>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</si>
  <si>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</si>
  <si>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</si>
  <si>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</si>
  <si>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</si>
  <si>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</si>
  <si>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</si>
  <si>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</si>
  <si>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</si>
  <si>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</si>
  <si>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</si>
  <si>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</si>
  <si>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</si>
  <si>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</si>
  <si>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</si>
  <si>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</si>
  <si>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</si>
  <si>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</si>
  <si>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</si>
  <si>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</si>
  <si>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</si>
  <si>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</si>
  <si>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</si>
  <si>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</si>
  <si>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</si>
  <si>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</si>
  <si>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</si>
  <si>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</si>
  <si>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</si>
  <si>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</si>
  <si>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</si>
  <si>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</si>
  <si>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</si>
  <si>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</si>
  <si>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</si>
  <si>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</si>
  <si>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</si>
  <si>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</si>
  <si>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</si>
  <si>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</si>
  <si>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</si>
  <si>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</si>
  <si>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</si>
  <si>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</si>
  <si>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</si>
  <si>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</si>
  <si>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</si>
  <si>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</si>
  <si>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</si>
  <si>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</si>
  <si>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</si>
  <si>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</si>
  <si>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</si>
  <si>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</si>
  <si>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</si>
  <si>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</si>
  <si>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</si>
  <si>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</si>
  <si>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</si>
  <si>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</si>
  <si>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</si>
  <si>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</si>
  <si>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</si>
  <si>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</si>
  <si>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</si>
  <si>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</si>
  <si>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</si>
  <si>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</si>
  <si>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</si>
  <si>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</si>
  <si>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</si>
  <si>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</si>
  <si>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</si>
  <si>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</si>
  <si>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</si>
  <si>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</si>
  <si>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</si>
  <si>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</si>
  <si>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</si>
  <si>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</si>
  <si>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</si>
  <si>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</si>
  <si>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</si>
  <si>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</si>
  <si>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</si>
  <si>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</si>
  <si>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</si>
  <si>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</si>
  <si>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</si>
  <si>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</si>
  <si>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</si>
  <si>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</si>
  <si>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</si>
  <si>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</si>
  <si>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</si>
  <si>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</si>
  <si>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</si>
  <si>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</si>
  <si>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</si>
  <si>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</si>
  <si>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</si>
  <si>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</si>
  <si>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</si>
  <si>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</si>
  <si>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</si>
  <si>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</si>
  <si>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</si>
  <si>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</si>
  <si>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</si>
  <si>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</si>
  <si>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</si>
  <si>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</si>
  <si>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</si>
  <si>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</si>
  <si>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</si>
  <si>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</si>
  <si>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</si>
  <si>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</si>
  <si>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</si>
  <si>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</si>
  <si>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</si>
  <si>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</si>
  <si>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</si>
  <si>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</si>
  <si>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</si>
  <si>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</si>
  <si>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</si>
  <si>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</si>
  <si>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</si>
  <si>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</si>
  <si>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</si>
  <si>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</si>
  <si>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</si>
  <si>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</si>
  <si>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</si>
  <si>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</si>
  <si>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</si>
  <si>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</si>
  <si>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</si>
  <si>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</si>
  <si>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</si>
  <si>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</si>
  <si>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</si>
  <si>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</si>
  <si>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</si>
  <si>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</si>
  <si>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</si>
  <si>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</si>
  <si>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</si>
  <si>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</si>
  <si>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</si>
  <si>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</si>
  <si>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</si>
  <si>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</si>
  <si>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</si>
  <si>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</si>
  <si>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</si>
  <si>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</si>
  <si>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</si>
  <si>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</si>
  <si>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</si>
  <si>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</si>
  <si>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</si>
  <si>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</si>
  <si>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</si>
  <si>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</si>
  <si>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</si>
  <si>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</si>
  <si>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</si>
  <si>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</si>
  <si>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</si>
  <si>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</si>
  <si>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</si>
  <si>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</si>
  <si>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</si>
  <si>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</si>
  <si>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</si>
  <si>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</si>
  <si>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</si>
  <si>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</si>
  <si>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</si>
  <si>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</si>
  <si>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</si>
  <si>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</si>
  <si>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</si>
  <si>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</si>
  <si>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</si>
  <si>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</si>
  <si>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</si>
  <si>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</si>
  <si>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</si>
  <si>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</si>
  <si>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</si>
  <si>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</si>
  <si>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</si>
  <si>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</si>
  <si>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</si>
  <si>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</si>
  <si>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</si>
  <si>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</si>
  <si>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</si>
  <si>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</si>
  <si>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</si>
  <si>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</si>
  <si>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</si>
  <si>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</si>
  <si>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</si>
  <si>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</si>
  <si>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</si>
  <si>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</si>
  <si>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</si>
  <si>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</si>
  <si>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</si>
  <si>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</si>
  <si>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</si>
  <si>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</si>
  <si>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</si>
  <si>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</si>
  <si>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</si>
  <si>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</si>
  <si>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</si>
  <si>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</si>
  <si>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</si>
  <si>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</si>
  <si>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</si>
  <si>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</si>
  <si>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</si>
  <si>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</si>
  <si>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</si>
  <si>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</si>
  <si>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</si>
  <si>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</si>
  <si>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</si>
  <si>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</si>
  <si>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</si>
  <si>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</si>
  <si>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</si>
  <si>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</si>
  <si>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</si>
  <si>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</si>
  <si>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</si>
  <si>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</si>
  <si>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</si>
  <si>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</si>
  <si>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</si>
  <si>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</si>
  <si>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</si>
  <si>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</si>
  <si>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</si>
  <si>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</si>
  <si>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</si>
  <si>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</si>
  <si>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</si>
  <si>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</si>
  <si>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</si>
  <si>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</si>
  <si>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</si>
  <si>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</si>
  <si>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</si>
  <si>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</si>
  <si>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</si>
  <si>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</si>
  <si>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</si>
  <si>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</si>
  <si>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</si>
  <si>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</si>
  <si>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</si>
  <si>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</si>
  <si>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</si>
  <si>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</si>
  <si>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</si>
  <si>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</si>
  <si>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</si>
  <si>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</si>
  <si>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</si>
  <si>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</si>
  <si>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</si>
  <si>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</si>
  <si>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</si>
  <si>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</si>
  <si>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</si>
  <si>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</si>
  <si>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</si>
  <si>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</si>
  <si>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</si>
  <si>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</si>
  <si>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</si>
  <si>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</si>
  <si>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</si>
  <si>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</si>
  <si>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</si>
  <si>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</si>
  <si>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</si>
  <si>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</si>
  <si>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</si>
  <si>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</si>
  <si>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</si>
  <si>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</si>
  <si>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</si>
  <si>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</si>
  <si>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</si>
  <si>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</si>
  <si>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</si>
  <si>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</si>
  <si>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</si>
  <si>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</si>
  <si>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</si>
  <si>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</si>
  <si>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</si>
  <si>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</si>
  <si>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</si>
  <si>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</si>
  <si>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</si>
  <si>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</si>
  <si>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</si>
  <si>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</si>
  <si>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</si>
  <si>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</si>
  <si>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</si>
  <si>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</si>
  <si>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</si>
  <si>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</si>
  <si>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</si>
  <si>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</si>
  <si>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</si>
  <si>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</si>
  <si>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</si>
  <si>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</si>
  <si>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</si>
  <si>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</si>
  <si>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</si>
  <si>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</si>
  <si>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</si>
  <si>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</si>
  <si>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</si>
  <si>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</si>
  <si>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</si>
  <si>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</si>
  <si>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</si>
  <si>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</si>
  <si>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</si>
  <si>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</si>
  <si>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</si>
  <si>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</si>
  <si>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</si>
  <si>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</si>
  <si>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</si>
  <si>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</si>
  <si>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</si>
  <si>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</si>
  <si>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</si>
  <si>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</si>
  <si>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</si>
  <si>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</si>
  <si>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</si>
  <si>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</si>
  <si>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</si>
  <si>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</si>
  <si>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</si>
  <si>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</si>
  <si>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</si>
  <si>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</si>
  <si>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</si>
  <si>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</si>
  <si>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</si>
  <si>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</si>
  <si>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</si>
  <si>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</si>
  <si>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</si>
  <si>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</si>
  <si>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</si>
  <si>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</si>
  <si>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</si>
  <si>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</si>
  <si>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</si>
  <si>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</si>
  <si>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</si>
  <si>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</si>
  <si>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</si>
  <si>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</si>
  <si>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</si>
  <si>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</si>
  <si>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</si>
  <si>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</si>
  <si>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</si>
  <si>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</si>
  <si>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</si>
  <si>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</si>
  <si>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</si>
  <si>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</si>
  <si>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</si>
  <si>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</si>
  <si>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</si>
  <si>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</si>
  <si>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</si>
  <si>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</si>
  <si>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</si>
  <si>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</si>
  <si>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</si>
  <si>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</si>
  <si>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</si>
  <si>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</si>
  <si>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</si>
  <si>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</si>
  <si>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</si>
  <si>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</si>
  <si>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</si>
  <si>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</si>
  <si>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</si>
  <si>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</si>
  <si>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</si>
  <si>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</si>
  <si>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</si>
  <si>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</si>
  <si>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</si>
  <si>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</si>
  <si>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</si>
  <si>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</si>
  <si>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</si>
  <si>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</si>
  <si>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</si>
  <si>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</si>
  <si>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</si>
  <si>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</si>
  <si>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</si>
  <si>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</si>
  <si>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</si>
  <si>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</si>
  <si>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</si>
  <si>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</si>
  <si>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</si>
  <si>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</si>
  <si>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</si>
  <si>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</si>
  <si>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</si>
  <si>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</si>
  <si>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</si>
  <si>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</si>
  <si>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</si>
  <si>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</si>
  <si>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</si>
  <si>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</si>
  <si>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</si>
  <si>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</si>
  <si>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</si>
  <si>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</si>
  <si>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</si>
  <si>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</si>
  <si>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</si>
  <si>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</si>
  <si>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</si>
  <si>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</si>
  <si>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</si>
  <si>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</si>
  <si>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</si>
  <si>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</si>
  <si>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</si>
  <si>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</si>
  <si>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</si>
  <si>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</si>
  <si>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</si>
  <si>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</si>
  <si>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</si>
  <si>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</si>
  <si>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</si>
  <si>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</si>
  <si>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</si>
  <si>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</si>
  <si>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</si>
  <si>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</si>
  <si>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</si>
  <si>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</si>
  <si>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</si>
  <si>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</si>
  <si>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</si>
  <si>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</si>
  <si>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</si>
  <si>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</si>
  <si>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</si>
  <si>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</si>
  <si>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</si>
  <si>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</si>
  <si>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</si>
  <si>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</si>
  <si>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</si>
  <si>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</si>
  <si>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</si>
  <si>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</si>
  <si>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</si>
  <si>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</si>
  <si>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</si>
  <si>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</si>
  <si>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</si>
  <si>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</si>
  <si>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</si>
  <si>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</si>
  <si>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</si>
  <si>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</si>
  <si>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</si>
  <si>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</si>
  <si>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</si>
  <si>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</si>
  <si>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</si>
  <si>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</si>
  <si>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</si>
  <si>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</si>
  <si>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</si>
  <si>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</si>
  <si>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</si>
  <si>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</si>
  <si>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</si>
  <si>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</si>
  <si>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</si>
  <si>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</si>
  <si>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</si>
  <si>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</si>
  <si>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</si>
  <si>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</si>
  <si>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</si>
  <si>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</si>
  <si>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</si>
  <si>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</si>
  <si>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</si>
  <si>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</si>
  <si>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</si>
  <si>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</si>
  <si>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</si>
  <si>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</si>
  <si>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</si>
  <si>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</si>
  <si>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</si>
  <si>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</si>
  <si>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</si>
  <si>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</si>
  <si>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</si>
  <si>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</si>
  <si>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</si>
  <si>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</si>
  <si>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</si>
  <si>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</si>
  <si>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</si>
  <si>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</si>
  <si>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</si>
  <si>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</si>
  <si>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</si>
  <si>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</si>
  <si>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</si>
  <si>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</si>
  <si>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</si>
  <si>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</si>
  <si>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</si>
  <si>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</si>
  <si>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</si>
  <si>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</si>
  <si>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</si>
  <si>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</si>
  <si>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</si>
  <si>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</si>
  <si>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</si>
  <si>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</si>
  <si>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</si>
  <si>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</si>
  <si>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</si>
  <si>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</si>
  <si>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</si>
  <si>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</si>
  <si>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</si>
  <si>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</si>
  <si>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</si>
  <si>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</si>
  <si>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</si>
  <si>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</si>
  <si>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</si>
  <si>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</si>
  <si>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</si>
  <si>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</si>
  <si>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</si>
  <si>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</si>
  <si>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</si>
  <si>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</si>
  <si>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</si>
  <si>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</si>
  <si>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</si>
  <si>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</si>
  <si>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</si>
  <si>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</si>
  <si>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</si>
  <si>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</si>
  <si>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</si>
  <si>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</si>
  <si>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</si>
  <si>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</si>
  <si>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</si>
  <si>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</si>
  <si>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</si>
  <si>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</si>
  <si>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</si>
  <si>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</si>
  <si>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</si>
  <si>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</si>
  <si>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</si>
  <si>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</si>
  <si>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</si>
  <si>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</si>
  <si>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</si>
  <si>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</si>
  <si>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</si>
  <si>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</si>
  <si>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</si>
  <si>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</si>
  <si>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</si>
  <si>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</si>
  <si>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</si>
  <si>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</si>
  <si>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</si>
  <si>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</si>
  <si>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</si>
  <si>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</si>
  <si>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</si>
  <si>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</si>
  <si>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</si>
  <si>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</si>
  <si>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</si>
  <si>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</si>
  <si>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</si>
  <si>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</si>
  <si>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</si>
  <si>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</si>
  <si>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</si>
  <si>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</si>
  <si>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</si>
  <si>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</si>
  <si>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</si>
  <si>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</si>
  <si>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</si>
  <si>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</si>
  <si>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</si>
  <si>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</si>
  <si>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</si>
  <si>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</si>
  <si>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</si>
  <si>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</si>
  <si>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</si>
  <si>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</si>
  <si>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</si>
  <si>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</si>
  <si>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</si>
  <si>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</si>
  <si>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</si>
  <si>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</si>
  <si>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</si>
  <si>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</si>
  <si>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</si>
  <si>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</si>
  <si>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</si>
  <si>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</si>
  <si>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</si>
  <si>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</si>
  <si>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</si>
  <si>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</si>
  <si>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</si>
  <si>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</si>
  <si>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</si>
  <si>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</si>
  <si>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</si>
  <si>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</si>
  <si>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</si>
  <si>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</si>
  <si>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</si>
  <si>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</si>
  <si>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</si>
  <si>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</si>
  <si>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</si>
  <si>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</si>
  <si>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</si>
  <si>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</si>
  <si>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</si>
  <si>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</si>
  <si>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</si>
  <si>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</si>
  <si>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</si>
  <si>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</si>
  <si>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</si>
  <si>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</si>
  <si>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</si>
  <si>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</si>
  <si>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</si>
  <si>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</si>
  <si>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</si>
  <si>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</si>
  <si>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</si>
  <si>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</si>
  <si>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</si>
  <si>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</si>
  <si>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</si>
  <si>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</si>
  <si>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</si>
  <si>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</si>
  <si>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</si>
  <si>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</si>
  <si>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</si>
  <si>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</si>
  <si>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</si>
  <si>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</si>
  <si>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</si>
  <si>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</si>
  <si>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</si>
  <si>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</si>
  <si>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</si>
  <si>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</si>
  <si>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</si>
  <si>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</si>
  <si>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</si>
  <si>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</si>
  <si>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</si>
  <si>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</si>
  <si>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</si>
  <si>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</si>
  <si>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</si>
  <si>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</si>
  <si>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</si>
  <si>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</si>
  <si>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</si>
  <si>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</si>
  <si>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</si>
  <si>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</si>
  <si>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</si>
  <si>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</si>
  <si>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</si>
  <si>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</si>
  <si>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</si>
  <si>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</si>
  <si>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</si>
  <si>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</si>
  <si>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</si>
  <si>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</si>
  <si>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</si>
  <si>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</si>
  <si>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</si>
  <si>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</si>
  <si>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</si>
  <si>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</si>
  <si>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</si>
  <si>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</si>
  <si>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</si>
  <si>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</si>
  <si>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</si>
  <si>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</si>
  <si>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</si>
  <si>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</si>
  <si>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</si>
  <si>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</si>
  <si>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</si>
  <si>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</si>
  <si>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</si>
  <si>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</si>
  <si>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</si>
  <si>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</si>
  <si>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</si>
  <si>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</si>
  <si>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</si>
  <si>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</si>
  <si>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</si>
  <si>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</si>
  <si>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</si>
  <si>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</si>
  <si>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</si>
  <si>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</si>
  <si>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</si>
  <si>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</si>
  <si>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</si>
  <si>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</si>
  <si>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</si>
  <si>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</si>
  <si>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</si>
  <si>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</si>
  <si>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</si>
  <si>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</si>
  <si>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</si>
  <si>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</si>
  <si>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</si>
  <si>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</si>
  <si>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</si>
  <si>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</si>
  <si>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</si>
  <si>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</si>
  <si>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</si>
  <si>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</si>
  <si>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</si>
  <si>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</si>
  <si>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</si>
  <si>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</si>
  <si>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</si>
  <si>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</si>
  <si>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</si>
  <si>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</si>
  <si>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</si>
  <si>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</si>
  <si>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</si>
  <si>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</si>
  <si>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</si>
  <si>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</si>
  <si>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</si>
  <si>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</si>
  <si>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</si>
  <si>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</si>
  <si>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</si>
  <si>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</si>
  <si>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</si>
  <si>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</si>
  <si>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</si>
  <si>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</si>
  <si>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</si>
  <si>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</si>
  <si>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</si>
  <si>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</si>
  <si>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</si>
  <si>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</si>
  <si>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</si>
  <si>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</si>
  <si>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</si>
  <si>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</si>
  <si>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</si>
  <si>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</si>
  <si>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</si>
  <si>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</si>
  <si>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</si>
  <si>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</si>
  <si>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</si>
  <si>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</si>
  <si>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</si>
  <si>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</si>
  <si>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</si>
  <si>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</si>
  <si>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</si>
  <si>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</si>
  <si>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</si>
  <si>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</si>
  <si>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</si>
  <si>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</si>
  <si>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</si>
  <si>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</si>
  <si>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</si>
  <si>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</si>
  <si>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</si>
  <si>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</si>
  <si>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</si>
  <si>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</si>
  <si>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</si>
  <si>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</si>
  <si>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</si>
  <si>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</si>
  <si>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</si>
  <si>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</si>
  <si>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</si>
  <si>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</si>
  <si>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</si>
  <si>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</si>
  <si>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</si>
  <si>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</si>
  <si>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</si>
  <si>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</si>
  <si>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</si>
  <si>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</si>
  <si>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</si>
  <si>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</si>
  <si>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</si>
  <si>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</si>
  <si>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</si>
  <si>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</si>
  <si>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</si>
  <si>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</si>
  <si>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</si>
  <si>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</si>
  <si>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</si>
  <si>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</si>
  <si>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</si>
  <si>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</si>
  <si>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</si>
  <si>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</si>
  <si>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</si>
  <si>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</si>
  <si>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</si>
  <si>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</si>
  <si>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</si>
  <si>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</si>
  <si>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</si>
  <si>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</si>
  <si>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</si>
  <si>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</si>
  <si>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</si>
  <si>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</si>
  <si>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</si>
  <si>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</si>
  <si>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</si>
  <si>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</si>
  <si>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</si>
  <si>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</si>
  <si>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</si>
  <si>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</si>
  <si>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</si>
  <si>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</si>
  <si>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</si>
  <si>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</si>
  <si>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</si>
  <si>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</si>
  <si>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</si>
  <si>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</si>
  <si>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</si>
  <si>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</si>
  <si>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</si>
  <si>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</si>
  <si>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</si>
  <si>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</si>
  <si>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</si>
  <si>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</si>
  <si>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</si>
  <si>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</si>
  <si>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</si>
  <si>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</si>
  <si>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</si>
  <si>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</si>
  <si>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</si>
  <si>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</si>
  <si>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</si>
  <si>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</si>
  <si>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</si>
  <si>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</si>
  <si>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</si>
  <si>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</si>
  <si>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</si>
  <si>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</si>
  <si>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</si>
  <si>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</si>
  <si>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</si>
  <si>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</si>
  <si>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</si>
  <si>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</si>
  <si>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</si>
  <si>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</si>
  <si>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</si>
  <si>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</si>
  <si>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</si>
  <si>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</si>
  <si>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</si>
  <si>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</si>
  <si>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</si>
  <si>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</si>
  <si>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</si>
  <si>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</si>
  <si>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</si>
  <si>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</si>
  <si>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</si>
  <si>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</si>
  <si>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</si>
  <si>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</si>
  <si>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</si>
  <si>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</si>
  <si>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</si>
  <si>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</si>
  <si>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</si>
  <si>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</si>
  <si>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</si>
  <si>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</si>
  <si>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</si>
  <si>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</si>
  <si>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</si>
  <si>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</si>
  <si>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</si>
  <si>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</si>
  <si>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</si>
  <si>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</si>
  <si>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</si>
  <si>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</si>
  <si>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</si>
  <si>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</si>
  <si>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</si>
  <si>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</si>
  <si>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</si>
  <si>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</si>
  <si>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</si>
  <si>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</si>
  <si>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</si>
  <si>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</si>
  <si>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</si>
  <si>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</si>
  <si>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</si>
  <si>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</si>
  <si>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</si>
  <si>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</si>
  <si>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</si>
  <si>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</si>
  <si>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</si>
  <si>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</si>
  <si>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</si>
  <si>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</si>
  <si>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</si>
  <si>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</si>
  <si>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</si>
  <si>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</si>
  <si>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</si>
  <si>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</si>
  <si>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</si>
  <si>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</si>
  <si>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</si>
  <si>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</si>
  <si>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</si>
  <si>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</si>
  <si>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</si>
  <si>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</si>
  <si>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</si>
  <si>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</si>
  <si>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</si>
  <si>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</si>
  <si>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</si>
  <si>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</si>
  <si>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</si>
  <si>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</si>
  <si>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</si>
  <si>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</si>
  <si>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</si>
  <si>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</si>
  <si>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</si>
  <si>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</si>
  <si>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</si>
  <si>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</si>
  <si>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</si>
  <si>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</si>
  <si>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</si>
  <si>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</si>
  <si>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</si>
  <si>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</si>
  <si>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</si>
  <si>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</si>
  <si>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</si>
  <si>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</si>
  <si>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</si>
  <si>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</si>
  <si>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</si>
  <si>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</si>
  <si>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</si>
  <si>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</si>
  <si>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</si>
  <si>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</si>
  <si>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</si>
  <si>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</si>
  <si>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</si>
  <si>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</si>
  <si>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</si>
  <si>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</si>
  <si>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</si>
  <si>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</si>
  <si>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</si>
  <si>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</si>
  <si>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</si>
  <si>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</si>
  <si>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</si>
  <si>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</si>
  <si>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</si>
  <si>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</si>
  <si>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</si>
  <si>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</si>
  <si>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</si>
  <si>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</si>
  <si>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</si>
  <si>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</si>
  <si>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</si>
  <si>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</si>
  <si>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</si>
  <si>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</si>
  <si>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</si>
  <si>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</si>
  <si>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</si>
  <si>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</si>
  <si>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</si>
  <si>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</si>
  <si>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</si>
  <si>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</si>
  <si>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</si>
  <si>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</si>
  <si>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</si>
  <si>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</si>
  <si>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</si>
  <si>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</si>
  <si>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</si>
  <si>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</si>
  <si>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</si>
  <si>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</si>
  <si>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</si>
  <si>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</si>
  <si>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</si>
  <si>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</si>
  <si>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</si>
  <si>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</si>
  <si>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</si>
  <si>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</si>
  <si>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</si>
  <si>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</si>
  <si>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</si>
  <si>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</si>
  <si>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</si>
  <si>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</si>
  <si>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</si>
  <si>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</si>
  <si>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</si>
  <si>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</si>
  <si>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</si>
  <si>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</si>
  <si>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</si>
  <si>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</si>
  <si>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</si>
  <si>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</si>
  <si>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</si>
  <si>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</si>
  <si>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</si>
  <si>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</si>
  <si>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</si>
  <si>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</si>
  <si>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</si>
  <si>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</si>
  <si>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</si>
  <si>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</si>
  <si>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</si>
  <si>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</si>
  <si>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</si>
  <si>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</si>
  <si>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</si>
  <si>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</si>
  <si>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</si>
  <si>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</si>
  <si>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</si>
  <si>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</si>
  <si>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</si>
  <si>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</si>
  <si>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</si>
  <si>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</si>
  <si>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</si>
  <si>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</si>
  <si>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</si>
  <si>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</si>
  <si>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</si>
  <si>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</si>
  <si>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</si>
  <si>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</si>
  <si>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</si>
  <si>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</si>
  <si>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</si>
  <si>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</si>
  <si>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</si>
  <si>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</si>
  <si>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</si>
  <si>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</si>
  <si>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</si>
  <si>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</si>
  <si>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</si>
  <si>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</si>
  <si>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</si>
  <si>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</si>
  <si>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</si>
  <si>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</si>
  <si>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</si>
  <si>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</si>
  <si>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</si>
  <si>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</si>
  <si>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</si>
  <si>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</si>
  <si>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</si>
  <si>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</si>
  <si>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</si>
  <si>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</si>
  <si>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</si>
  <si>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</si>
  <si>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</si>
  <si>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</si>
  <si>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</si>
  <si>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</si>
  <si>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</si>
  <si>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</si>
  <si>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</si>
  <si>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</si>
  <si>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</si>
  <si>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</si>
  <si>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</si>
  <si>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</si>
  <si>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</si>
  <si>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</si>
  <si>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</si>
  <si>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</si>
  <si>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</si>
  <si>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</si>
  <si>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</si>
  <si>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</si>
  <si>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</si>
  <si>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</si>
  <si>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</si>
  <si>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</si>
  <si>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</si>
  <si>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</si>
  <si>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</si>
  <si>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</si>
  <si>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</si>
  <si>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</si>
  <si>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</si>
  <si>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</si>
  <si>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</si>
  <si>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</si>
  <si>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</si>
  <si>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</si>
  <si>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</si>
  <si>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</si>
  <si>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</si>
  <si>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</si>
  <si>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</si>
  <si>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</si>
  <si>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</si>
  <si>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</si>
  <si>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</si>
  <si>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</si>
  <si>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</si>
  <si>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</si>
  <si>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</si>
  <si>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</si>
  <si>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</si>
  <si>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</si>
  <si>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</si>
  <si>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</si>
  <si>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</si>
  <si>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</si>
  <si>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</si>
  <si>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</si>
  <si>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</si>
  <si>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</si>
  <si>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</si>
  <si>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</si>
  <si>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</si>
  <si>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</si>
  <si>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</si>
  <si>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</si>
  <si>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</si>
  <si>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</si>
  <si>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</si>
  <si>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</si>
  <si>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</si>
  <si>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</si>
  <si>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</si>
  <si>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</si>
  <si>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</si>
  <si>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</si>
  <si>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</si>
  <si>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</si>
  <si>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</si>
  <si>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</si>
  <si>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</si>
  <si>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</si>
  <si>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</si>
  <si>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</si>
  <si>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</si>
  <si>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</si>
  <si>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</si>
  <si>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</si>
  <si>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</si>
  <si>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</si>
  <si>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</si>
  <si>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</si>
  <si>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</si>
  <si>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</si>
  <si>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</si>
  <si>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</si>
  <si>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</si>
  <si>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</si>
  <si>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</si>
  <si>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</si>
  <si>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</si>
  <si>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</si>
  <si>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</si>
  <si>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</si>
  <si>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</si>
  <si>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</si>
  <si>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</si>
  <si>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</si>
  <si>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</si>
  <si>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</si>
  <si>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</si>
  <si>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</si>
  <si>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</si>
  <si>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</si>
  <si>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</si>
  <si>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</si>
  <si>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</si>
  <si>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</si>
  <si>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</si>
  <si>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</si>
  <si>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</si>
  <si>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</si>
  <si>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</si>
  <si>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</si>
  <si>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</si>
  <si>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</si>
  <si>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</si>
  <si>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</si>
  <si>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</si>
  <si>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</si>
  <si>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</si>
  <si>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</si>
  <si>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</si>
  <si>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</si>
  <si>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</si>
  <si>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</si>
  <si>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</si>
  <si>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</si>
  <si>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</si>
  <si>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</si>
  <si>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</si>
  <si>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</si>
  <si>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</si>
  <si>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</si>
  <si>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</si>
  <si>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</si>
  <si>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</si>
  <si>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</si>
  <si>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</si>
  <si>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</si>
  <si>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</si>
  <si>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</si>
  <si>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</si>
  <si>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</si>
  <si>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</si>
  <si>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</si>
  <si>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</si>
  <si>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</si>
  <si>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</si>
  <si>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</si>
  <si>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</si>
  <si>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</si>
  <si>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</si>
  <si>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</si>
  <si>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</si>
  <si>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</si>
  <si>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</si>
  <si>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</si>
  <si>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</si>
  <si>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</si>
  <si>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</si>
  <si>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</si>
  <si>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</si>
  <si>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</si>
  <si>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</si>
  <si>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</si>
  <si>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</si>
  <si>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</si>
  <si>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</si>
  <si>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</si>
  <si>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</si>
  <si>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</si>
  <si>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</si>
  <si>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</si>
  <si>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</si>
  <si>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</si>
  <si>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</si>
  <si>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</si>
  <si>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</si>
  <si>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</si>
  <si>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</si>
  <si>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</si>
  <si>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</si>
  <si>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</si>
  <si>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</si>
  <si>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</si>
  <si>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</si>
  <si>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</si>
  <si>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</si>
  <si>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</si>
  <si>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</si>
  <si>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</si>
  <si>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</si>
  <si>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</si>
  <si>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</si>
  <si>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</si>
  <si>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</si>
  <si>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</si>
  <si>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</si>
  <si>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</si>
  <si>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</si>
  <si>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</si>
  <si>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</si>
  <si>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</si>
  <si>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</si>
  <si>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</si>
  <si>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</si>
  <si>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</si>
  <si>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</si>
  <si>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</si>
  <si>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</si>
  <si>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</si>
  <si>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</si>
  <si>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</si>
  <si>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</si>
  <si>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</si>
  <si>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</si>
  <si>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</si>
  <si>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</si>
  <si>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</si>
  <si>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</si>
  <si>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</si>
  <si>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</si>
  <si>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</si>
  <si>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</si>
  <si>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</si>
  <si>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</si>
  <si>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</si>
  <si>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</si>
  <si>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</si>
  <si>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</si>
  <si>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</si>
  <si>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</si>
  <si>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</si>
  <si>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</si>
  <si>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</si>
  <si>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</si>
  <si>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</si>
  <si>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</si>
  <si>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</si>
  <si>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</si>
  <si>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</si>
  <si>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</si>
  <si>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</si>
  <si>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</si>
  <si>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</si>
  <si>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</si>
  <si>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</si>
  <si>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</si>
  <si>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</si>
  <si>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</si>
  <si>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</si>
  <si>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</si>
  <si>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</si>
  <si>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</si>
  <si>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</si>
  <si>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</si>
  <si>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</si>
  <si>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</si>
  <si>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</si>
  <si>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</si>
  <si>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</si>
  <si>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</si>
  <si>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</si>
  <si>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</si>
  <si>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</si>
  <si>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</si>
  <si>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</si>
  <si>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</si>
  <si>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</si>
  <si>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</si>
  <si>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</si>
  <si>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</si>
  <si>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</si>
  <si>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</si>
  <si>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</si>
  <si>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</si>
  <si>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</si>
  <si>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</si>
  <si>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</si>
  <si>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</si>
  <si>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</si>
  <si>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</si>
  <si>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</si>
  <si>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</si>
  <si>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</si>
  <si>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</si>
  <si>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</si>
  <si>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</si>
  <si>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</si>
  <si>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</si>
  <si>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</si>
  <si>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</si>
  <si>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</si>
  <si>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</si>
  <si>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</si>
  <si>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</si>
  <si>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</si>
  <si>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</si>
  <si>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</si>
  <si>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</si>
  <si>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</si>
  <si>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</si>
  <si>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</si>
  <si>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</si>
  <si>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</si>
  <si>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</si>
  <si>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</si>
  <si>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</si>
  <si>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</si>
  <si>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</si>
  <si>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</si>
  <si>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</si>
  <si>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</si>
  <si>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</si>
  <si>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</si>
  <si>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</si>
  <si>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</si>
  <si>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</si>
  <si>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</si>
  <si>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</si>
  <si>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</si>
  <si>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</si>
  <si>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</si>
  <si>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</si>
  <si>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</si>
  <si>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</si>
  <si>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</si>
  <si>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</si>
  <si>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</si>
  <si>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</si>
  <si>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</si>
  <si>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</si>
  <si>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</si>
  <si>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</si>
  <si>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</si>
  <si>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</si>
  <si>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</si>
  <si>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</si>
  <si>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</si>
  <si>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</si>
  <si>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</si>
  <si>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</si>
  <si>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</si>
  <si>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</si>
  <si>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</si>
  <si>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</si>
  <si>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</si>
  <si>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</si>
  <si>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</si>
  <si>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</si>
  <si>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</si>
  <si>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</si>
  <si>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</si>
  <si>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</si>
  <si>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</si>
  <si>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</si>
  <si>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</si>
  <si>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</si>
  <si>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</si>
  <si>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</si>
  <si>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</si>
  <si>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</si>
  <si>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</si>
  <si>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</si>
  <si>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</si>
  <si>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</si>
  <si>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</si>
  <si>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</si>
  <si>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</si>
  <si>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</si>
  <si>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</si>
  <si>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</si>
  <si>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</si>
  <si>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</si>
  <si>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</si>
  <si>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</si>
  <si>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</si>
  <si>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</si>
  <si>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</si>
  <si>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</si>
  <si>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</si>
  <si>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</si>
  <si>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</si>
  <si>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</si>
  <si>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</si>
  <si>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</si>
  <si>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</si>
  <si>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</si>
  <si>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</si>
  <si>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</si>
  <si>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</si>
  <si>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</si>
  <si>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</si>
  <si>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</si>
  <si>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</si>
  <si>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</si>
  <si>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</si>
  <si>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</si>
  <si>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</si>
  <si>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</si>
  <si>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</si>
  <si>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</si>
  <si>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</si>
  <si>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</si>
  <si>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</si>
  <si>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</si>
  <si>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</si>
  <si>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</si>
  <si>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</si>
  <si>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</si>
  <si>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</si>
  <si>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</si>
  <si>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</si>
  <si>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</si>
  <si>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</si>
  <si>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</si>
  <si>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</si>
  <si>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</si>
  <si>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</si>
  <si>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</si>
  <si>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</si>
  <si>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</si>
  <si>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</si>
  <si>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</si>
  <si>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</si>
  <si>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</si>
  <si>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</si>
  <si>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</si>
  <si>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</si>
  <si>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</si>
  <si>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</si>
  <si>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</si>
  <si>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</si>
  <si>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</si>
  <si>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</si>
  <si>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</si>
  <si>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</si>
  <si>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</si>
  <si>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</si>
  <si>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</si>
  <si>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</si>
  <si>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</si>
  <si>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</si>
  <si>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</si>
  <si>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</si>
  <si>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</si>
  <si>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</si>
  <si>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</si>
  <si>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</si>
  <si>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</si>
  <si>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</si>
  <si>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</si>
  <si>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</si>
  <si>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</si>
  <si>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</si>
  <si>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</si>
  <si>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</si>
  <si>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</si>
  <si>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</si>
  <si>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</si>
  <si>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</si>
  <si>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</si>
  <si>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</si>
  <si>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</si>
  <si>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</si>
  <si>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</si>
  <si>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</si>
  <si>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</si>
  <si>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</si>
  <si>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</si>
  <si>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</si>
  <si>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</si>
  <si>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</si>
  <si>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</si>
  <si>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</si>
  <si>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</si>
  <si>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</si>
  <si>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</si>
  <si>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</si>
  <si>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</si>
  <si>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</si>
  <si>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</si>
  <si>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</si>
  <si>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</si>
  <si>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</si>
  <si>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</si>
  <si>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</si>
  <si>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</si>
  <si>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</si>
  <si>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</si>
  <si>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</si>
  <si>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</si>
  <si>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</si>
  <si>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</si>
  <si>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</si>
  <si>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</si>
  <si>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</si>
  <si>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</si>
  <si>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</si>
  <si>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</si>
  <si>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</si>
  <si>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</si>
  <si>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</si>
  <si>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</si>
  <si>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</si>
  <si>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</si>
  <si>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</si>
  <si>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</si>
  <si>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</si>
  <si>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</si>
  <si>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</si>
  <si>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</si>
  <si>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</si>
  <si>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</si>
  <si>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</si>
  <si>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</si>
  <si>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</si>
  <si>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</si>
  <si>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</si>
  <si>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</si>
  <si>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</si>
  <si>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</si>
  <si>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</si>
  <si>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</si>
  <si>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</si>
  <si>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</si>
  <si>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</si>
  <si>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</si>
  <si>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</si>
  <si>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</si>
  <si>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</si>
  <si>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</si>
  <si>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</si>
  <si>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</si>
  <si>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</si>
  <si>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</si>
  <si>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</si>
  <si>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</si>
  <si>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</si>
  <si>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</si>
  <si>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</si>
  <si>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</si>
  <si>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</si>
  <si>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</si>
  <si>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</si>
  <si>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</si>
  <si>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</si>
  <si>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</si>
  <si>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</si>
  <si>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</si>
  <si>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</si>
  <si>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</si>
  <si>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</si>
  <si>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</si>
  <si>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</si>
  <si>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</si>
  <si>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</si>
  <si>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</si>
  <si>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</si>
  <si>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</si>
  <si>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</si>
  <si>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</si>
  <si>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</si>
  <si>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</si>
  <si>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</si>
  <si>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</si>
  <si>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</si>
  <si>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</si>
  <si>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</si>
  <si>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</si>
  <si>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</si>
  <si>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</si>
  <si>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</si>
  <si>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</si>
  <si>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</si>
  <si>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</si>
  <si>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</si>
  <si>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</si>
  <si>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</si>
  <si>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</si>
  <si>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</si>
  <si>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</si>
  <si>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</si>
  <si>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</si>
  <si>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</si>
  <si>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</si>
  <si>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</si>
  <si>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</si>
  <si>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</si>
  <si>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</si>
  <si>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</si>
  <si>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</si>
  <si>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</si>
  <si>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</si>
  <si>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</si>
  <si>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</si>
  <si>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</si>
  <si>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</si>
  <si>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</si>
  <si>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</si>
  <si>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</si>
  <si>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</si>
  <si>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</si>
  <si>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</si>
  <si>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</si>
  <si>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</si>
  <si>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</si>
  <si>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</si>
  <si>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</si>
  <si>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</si>
  <si>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</si>
  <si>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</si>
  <si>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</si>
  <si>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</si>
  <si>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</si>
  <si>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</si>
  <si>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</si>
  <si>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</si>
  <si>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</si>
  <si>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</si>
  <si>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</si>
  <si>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</si>
  <si>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</si>
  <si>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</si>
  <si>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</si>
  <si>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</si>
  <si>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</si>
  <si>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</si>
  <si>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</si>
  <si>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</si>
  <si>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</si>
  <si>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</si>
  <si>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</si>
  <si>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</si>
  <si>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</si>
  <si>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</si>
  <si>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</si>
  <si>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</si>
  <si>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</si>
  <si>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</si>
  <si>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</si>
  <si>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</si>
  <si>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</si>
  <si>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</si>
  <si>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</si>
  <si>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</si>
  <si>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</si>
  <si>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</si>
  <si>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</si>
  <si>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</si>
  <si>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</si>
  <si>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</si>
  <si>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</si>
  <si>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</si>
  <si>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</si>
  <si>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</si>
  <si>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</si>
  <si>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</si>
  <si>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</si>
  <si>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</si>
  <si>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</si>
  <si>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</si>
  <si>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</si>
  <si>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</si>
  <si>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</si>
  <si>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</si>
  <si>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</si>
  <si>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</si>
  <si>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</si>
  <si>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</si>
  <si>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</si>
  <si>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</si>
  <si>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</si>
  <si>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</si>
  <si>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</si>
  <si>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</si>
  <si>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</si>
  <si>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</si>
  <si>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</si>
  <si>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</si>
  <si>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</si>
  <si>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</si>
  <si>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</si>
  <si>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</si>
  <si>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</si>
  <si>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</si>
  <si>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</si>
  <si>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</si>
  <si>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</si>
  <si>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</si>
  <si>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</si>
  <si>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</si>
  <si>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</si>
  <si>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</si>
  <si>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</si>
  <si>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</si>
  <si>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</si>
  <si>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</si>
  <si>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</si>
  <si>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</si>
  <si>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</si>
  <si>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</si>
  <si>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</si>
  <si>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</si>
  <si>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</si>
  <si>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</si>
  <si>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</si>
  <si>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</si>
  <si>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</si>
  <si>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</si>
  <si>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</si>
  <si>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</si>
  <si>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</si>
  <si>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</si>
  <si>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</si>
  <si>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</si>
  <si>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</si>
  <si>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</si>
  <si>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</si>
  <si>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</si>
  <si>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</si>
  <si>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</si>
  <si>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</si>
  <si>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</si>
  <si>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</si>
  <si>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</si>
  <si>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</si>
  <si>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</si>
  <si>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</si>
  <si>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</si>
  <si>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</si>
  <si>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</si>
  <si>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</si>
  <si>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</si>
  <si>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</si>
  <si>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</si>
  <si>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</si>
  <si>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</si>
  <si>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</si>
  <si>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</si>
  <si>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</si>
  <si>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</si>
  <si>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</si>
  <si>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</si>
  <si>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</si>
  <si>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</si>
  <si>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</si>
  <si>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</si>
  <si>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</si>
  <si>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</si>
  <si>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</si>
  <si>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</si>
  <si>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</si>
  <si>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</si>
  <si>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</si>
  <si>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</si>
  <si>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</si>
  <si>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</si>
  <si>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</si>
  <si>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</si>
  <si>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</si>
  <si>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</si>
  <si>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</si>
  <si>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</si>
  <si>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</si>
  <si>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</si>
  <si>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</si>
  <si>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</si>
  <si>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</si>
  <si>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</si>
  <si>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</si>
  <si>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</si>
  <si>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</si>
  <si>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</si>
  <si>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</si>
  <si>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</si>
  <si>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</si>
  <si>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</si>
  <si>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</si>
  <si>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</si>
  <si>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</si>
  <si>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</si>
  <si>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</si>
  <si>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</si>
  <si>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</si>
  <si>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</si>
  <si>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</si>
  <si>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</si>
  <si>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</si>
  <si>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</si>
  <si>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</si>
  <si>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</si>
  <si>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</si>
  <si>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</si>
  <si>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</si>
  <si>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</si>
  <si>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</si>
  <si>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</si>
  <si>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</si>
  <si>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</si>
  <si>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</si>
  <si>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</si>
  <si>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</si>
  <si>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</si>
  <si>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</si>
  <si>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</si>
  <si>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</si>
  <si>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</si>
  <si>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</si>
  <si>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</si>
  <si>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</si>
  <si>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</si>
  <si>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</si>
  <si>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</si>
  <si>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</si>
  <si>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</si>
  <si>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</si>
  <si>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</si>
  <si>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</si>
  <si>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</si>
  <si>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</si>
  <si>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</si>
  <si>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</si>
  <si>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</si>
  <si>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</si>
  <si>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</si>
  <si>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</si>
  <si>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</si>
  <si>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</si>
  <si>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</si>
  <si>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</si>
  <si>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</si>
  <si>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</si>
  <si>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</si>
  <si>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</si>
  <si>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</si>
  <si>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</si>
  <si>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</si>
  <si>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</si>
  <si>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</si>
  <si>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</si>
  <si>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</si>
  <si>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</si>
  <si>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</si>
  <si>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</si>
  <si>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</si>
  <si>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</si>
  <si>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</si>
  <si>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</si>
  <si>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</si>
  <si>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</si>
  <si>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</si>
  <si>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</si>
  <si>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</si>
  <si>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</si>
  <si>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</si>
  <si>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</si>
  <si>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</si>
  <si>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</si>
  <si>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</si>
  <si>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</si>
  <si>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</si>
  <si>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</si>
  <si>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</si>
  <si>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</si>
  <si>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</si>
  <si>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</si>
  <si>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</si>
  <si>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</si>
  <si>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</si>
  <si>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</si>
  <si>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</si>
  <si>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</si>
  <si>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</si>
  <si>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</si>
  <si>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</si>
  <si>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</si>
  <si>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</si>
  <si>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</si>
  <si>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</si>
  <si>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</si>
  <si>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</si>
  <si>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</si>
  <si>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</si>
  <si>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</si>
  <si>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</si>
  <si>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</si>
  <si>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</si>
  <si>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</si>
  <si>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</si>
  <si>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</si>
  <si>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</si>
  <si>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</si>
  <si>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</si>
  <si>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</si>
  <si>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</si>
  <si>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</si>
  <si>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</si>
  <si>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</si>
  <si>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</si>
  <si>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</si>
  <si>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</si>
  <si>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</si>
  <si>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</si>
  <si>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</si>
  <si>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</si>
  <si>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</si>
  <si>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</si>
  <si>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</si>
  <si>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</si>
  <si>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</si>
  <si>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</si>
  <si>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</si>
  <si>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</si>
  <si>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</si>
  <si>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</si>
  <si>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</si>
  <si>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</si>
  <si>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</si>
  <si>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</si>
  <si>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</si>
  <si>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</si>
  <si>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</si>
  <si>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</si>
  <si>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</si>
  <si>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</si>
  <si>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</si>
  <si>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</si>
  <si>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</si>
  <si>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</si>
  <si>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</si>
  <si>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</si>
  <si>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</si>
  <si>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</si>
  <si>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</si>
  <si>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</si>
  <si>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</si>
  <si>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</si>
  <si>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</si>
  <si>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</si>
  <si>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</si>
  <si>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</si>
  <si>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</si>
  <si>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</si>
  <si>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</si>
  <si>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</si>
  <si>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</si>
  <si>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</si>
  <si>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</si>
  <si>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</si>
  <si>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</si>
  <si>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</si>
  <si>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</si>
  <si>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</si>
  <si>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</si>
  <si>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</si>
  <si>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</si>
  <si>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</si>
  <si>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</si>
  <si>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</si>
  <si>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</si>
  <si>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</si>
  <si>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</si>
  <si>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</si>
  <si>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</si>
  <si>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</si>
  <si>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</si>
  <si>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</si>
  <si>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</si>
  <si>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</si>
  <si>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</si>
  <si>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</si>
  <si>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</si>
  <si>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</si>
  <si>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</si>
  <si>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</si>
  <si>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</si>
  <si>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</si>
  <si>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</si>
  <si>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</si>
  <si>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</si>
  <si>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</si>
  <si>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</si>
  <si>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</si>
  <si>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</si>
  <si>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</si>
  <si>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</si>
  <si>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</si>
  <si>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</si>
  <si>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</si>
  <si>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</si>
  <si>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</si>
  <si>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</si>
  <si>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</si>
  <si>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</si>
  <si>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</si>
  <si>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</si>
  <si>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</si>
  <si>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</si>
  <si>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</si>
  <si>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</si>
  <si>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</si>
  <si>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</si>
  <si>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</si>
  <si>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</si>
  <si>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</si>
  <si>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</si>
  <si>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</si>
  <si>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</si>
  <si>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</si>
  <si>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</si>
  <si>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</si>
  <si>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</si>
  <si>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</si>
  <si>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</si>
  <si>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</si>
  <si>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</si>
  <si>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</si>
  <si>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</si>
  <si>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</si>
  <si>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</si>
  <si>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</si>
  <si>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</si>
  <si>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</si>
  <si>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</si>
  <si>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</si>
  <si>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</si>
  <si>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</si>
  <si>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</si>
  <si>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</si>
  <si>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</si>
  <si>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</si>
  <si>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</si>
  <si>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</si>
  <si>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</si>
  <si>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</si>
  <si>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</si>
  <si>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</si>
  <si>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</si>
  <si>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</si>
  <si>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</si>
  <si>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</si>
  <si>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</si>
  <si>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</si>
  <si>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</si>
  <si>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</si>
  <si>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</si>
  <si>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</si>
  <si>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</si>
  <si>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</si>
  <si>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</si>
  <si>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</si>
  <si>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</si>
  <si>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</si>
  <si>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</si>
  <si>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</si>
  <si>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</si>
  <si>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</si>
  <si>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</si>
  <si>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</si>
  <si>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</si>
  <si>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</si>
  <si>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</si>
  <si>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</si>
  <si>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</si>
  <si>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</si>
  <si>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</si>
  <si>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</si>
  <si>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</si>
  <si>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</si>
  <si>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</si>
  <si>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</si>
  <si>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</si>
  <si>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</si>
  <si>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</si>
  <si>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</si>
  <si>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</si>
  <si>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</si>
  <si>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</si>
  <si>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</si>
  <si>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</si>
  <si>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</si>
  <si>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</si>
  <si>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</si>
  <si>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</si>
  <si>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</si>
  <si>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</si>
  <si>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</si>
  <si>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</si>
  <si>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</si>
  <si>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</si>
  <si>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</si>
  <si>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</si>
  <si>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</si>
  <si>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</si>
  <si>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</si>
  <si>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</si>
  <si>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</si>
  <si>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</si>
  <si>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</si>
  <si>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</si>
  <si>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</si>
  <si>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</si>
  <si>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</si>
  <si>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</si>
  <si>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</si>
  <si>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</si>
  <si>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</si>
  <si>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</si>
  <si>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</si>
  <si>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</si>
  <si>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</si>
  <si>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</si>
  <si>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</si>
  <si>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</si>
  <si>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</si>
  <si>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</si>
  <si>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</si>
  <si>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</si>
  <si>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</si>
  <si>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</si>
  <si>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</si>
  <si>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</si>
  <si>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</si>
  <si>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</si>
  <si>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</si>
  <si>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</si>
  <si>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</si>
  <si>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</si>
  <si>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</si>
  <si>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</si>
  <si>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</si>
  <si>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</si>
  <si>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</si>
  <si>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</si>
  <si>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</si>
  <si>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</si>
  <si>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</si>
  <si>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</si>
  <si>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</si>
  <si>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</si>
  <si>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</si>
  <si>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</si>
  <si>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</si>
  <si>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</si>
  <si>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</si>
  <si>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</si>
  <si>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</si>
  <si>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</si>
  <si>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</si>
  <si>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</si>
  <si>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</si>
  <si>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</si>
  <si>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</si>
  <si>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</si>
  <si>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</si>
  <si>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</si>
  <si>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</si>
  <si>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</si>
  <si>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</si>
  <si>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</si>
  <si>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</si>
  <si>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</si>
  <si>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</si>
  <si>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</si>
  <si>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</si>
  <si>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</si>
  <si>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</si>
  <si>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</si>
  <si>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</si>
  <si>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</si>
  <si>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</si>
  <si>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</si>
  <si>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</si>
  <si>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</si>
  <si>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</si>
  <si>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</si>
  <si>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</si>
  <si>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</si>
  <si>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</si>
  <si>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</si>
  <si>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</si>
  <si>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</si>
  <si>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</si>
  <si>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</si>
  <si>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</si>
  <si>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</si>
  <si>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</si>
  <si>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</si>
  <si>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</si>
  <si>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</si>
  <si>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</si>
  <si>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</si>
  <si>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</si>
  <si>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</si>
  <si>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</si>
  <si>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</si>
  <si>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</si>
  <si>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</si>
  <si>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</si>
  <si>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</si>
  <si>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</si>
  <si>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</si>
  <si>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</si>
  <si>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</si>
  <si>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</si>
  <si>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</si>
  <si>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</si>
  <si>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</si>
  <si>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</si>
  <si>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</si>
  <si>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</si>
  <si>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</si>
  <si>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</si>
  <si>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</si>
  <si>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</si>
  <si>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</si>
  <si>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</si>
  <si>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</si>
  <si>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</si>
  <si>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</si>
  <si>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</si>
  <si>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</si>
  <si>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</si>
  <si>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</si>
  <si>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</si>
  <si>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</si>
  <si>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</si>
  <si>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</si>
  <si>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</si>
  <si>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</si>
  <si>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</si>
  <si>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</si>
  <si>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</si>
  <si>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</si>
  <si>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</si>
  <si>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</si>
  <si>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</si>
  <si>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</si>
  <si>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</si>
  <si>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</si>
  <si>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</si>
  <si>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</si>
  <si>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</si>
  <si>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</si>
  <si>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</si>
  <si>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</si>
  <si>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</si>
  <si>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</si>
  <si>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</si>
  <si>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</si>
  <si>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</si>
  <si>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</si>
  <si>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</si>
  <si>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</si>
  <si>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</si>
  <si>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</si>
  <si>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</si>
  <si>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</si>
  <si>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</si>
  <si>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</si>
  <si>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</si>
  <si>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</si>
  <si>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</si>
  <si>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</si>
  <si>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</si>
  <si>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</si>
  <si>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</si>
  <si>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</si>
  <si>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</si>
  <si>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</si>
  <si>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</si>
  <si>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</si>
  <si>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</si>
  <si>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</si>
  <si>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</si>
  <si>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</si>
  <si>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</si>
  <si>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</si>
  <si>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</si>
  <si>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</si>
  <si>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</si>
  <si>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</si>
  <si>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</si>
  <si>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</si>
  <si>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</si>
  <si>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</si>
  <si>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</si>
  <si>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</si>
  <si>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</si>
  <si>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</si>
  <si>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</si>
  <si>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</si>
  <si>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</si>
  <si>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</si>
  <si>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</si>
  <si>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</si>
  <si>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</si>
  <si>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</si>
  <si>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</si>
  <si>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</si>
  <si>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</si>
  <si>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</si>
  <si>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</si>
  <si>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</si>
  <si>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</si>
  <si>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</si>
  <si>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</si>
  <si>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</si>
  <si>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</si>
  <si>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</si>
  <si>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</si>
  <si>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</si>
  <si>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</si>
  <si>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</si>
  <si>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</si>
  <si>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</si>
  <si>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</si>
  <si>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</si>
  <si>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</si>
  <si>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</si>
  <si>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</si>
  <si>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</si>
  <si>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</si>
  <si>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</si>
  <si>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</si>
  <si>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</si>
  <si>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</si>
  <si>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</si>
  <si>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</si>
  <si>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</si>
  <si>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</si>
  <si>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</si>
  <si>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</si>
  <si>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</si>
  <si>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</si>
  <si>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</si>
  <si>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</si>
  <si>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</si>
  <si>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</si>
  <si>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</si>
  <si>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</si>
  <si>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</si>
  <si>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</si>
  <si>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</si>
  <si>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</si>
  <si>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</si>
  <si>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</si>
  <si>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</si>
  <si>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</si>
  <si>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</si>
  <si>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</si>
  <si>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</si>
  <si>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</si>
  <si>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</si>
  <si>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</si>
  <si>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</si>
  <si>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</si>
  <si>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</si>
  <si>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</si>
  <si>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</si>
  <si>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</si>
  <si>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</si>
  <si>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</si>
  <si>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</si>
  <si>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</si>
  <si>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</si>
  <si>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</si>
  <si>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</si>
  <si>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</si>
  <si>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</si>
  <si>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</si>
  <si>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</si>
  <si>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</si>
  <si>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</si>
  <si>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</si>
  <si>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</si>
  <si>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</si>
  <si>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</si>
  <si>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</si>
  <si>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</si>
  <si>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</si>
  <si>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</si>
  <si>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</si>
  <si>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</si>
  <si>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</si>
  <si>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</si>
  <si>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</si>
  <si>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</si>
  <si>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</si>
  <si>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</si>
  <si>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</si>
  <si>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</si>
  <si>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</si>
  <si>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</si>
  <si>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</si>
  <si>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</si>
  <si>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</si>
  <si>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</si>
  <si>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</si>
  <si>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</si>
  <si>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</si>
  <si>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</si>
  <si>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</si>
  <si>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</si>
  <si>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</si>
  <si>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</si>
  <si>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</si>
  <si>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</si>
  <si>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</si>
  <si>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</si>
  <si>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</si>
  <si>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</si>
  <si>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</si>
  <si>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</si>
  <si>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</si>
  <si>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</si>
  <si>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</si>
  <si>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</si>
  <si>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</si>
  <si>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</si>
  <si>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</si>
  <si>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</si>
  <si>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</si>
  <si>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</si>
  <si>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</si>
  <si>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</si>
  <si>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</si>
  <si>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</si>
  <si>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</si>
  <si>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</si>
  <si>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</si>
  <si>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</si>
  <si>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</si>
  <si>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</si>
  <si>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</si>
  <si>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</si>
  <si>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</si>
  <si>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</si>
  <si>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</si>
  <si>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</si>
  <si>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</si>
  <si>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</si>
  <si>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</si>
  <si>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</si>
  <si>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</si>
  <si>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</si>
  <si>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</si>
  <si>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</si>
  <si>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</si>
  <si>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</si>
  <si>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</si>
  <si>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</si>
  <si>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</si>
  <si>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</si>
  <si>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</si>
  <si>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</si>
  <si>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</si>
  <si>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</si>
  <si>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</si>
  <si>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</si>
  <si>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</si>
  <si>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</si>
  <si>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</si>
  <si>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</si>
  <si>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</si>
  <si>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</si>
  <si>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</si>
  <si>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</si>
  <si>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</si>
  <si>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</si>
  <si>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</si>
  <si>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</si>
  <si>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</si>
  <si>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</si>
  <si>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</si>
  <si>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</si>
  <si>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</si>
  <si>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</si>
  <si>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</si>
  <si>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</si>
  <si>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</si>
  <si>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</si>
  <si>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</si>
  <si>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</si>
  <si>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</si>
  <si>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</si>
  <si>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</si>
  <si>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</si>
  <si>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</si>
  <si>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</si>
  <si>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</si>
  <si>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</si>
  <si>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</si>
  <si>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</si>
  <si>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</si>
  <si>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</si>
  <si>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</si>
  <si>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</si>
  <si>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</si>
  <si>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</si>
  <si>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</si>
  <si>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</si>
  <si>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</si>
  <si>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</si>
  <si>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</si>
  <si>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</si>
  <si>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</si>
  <si>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</si>
  <si>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</si>
  <si>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</si>
  <si>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</si>
  <si>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</si>
  <si>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</si>
  <si>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</si>
  <si>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</si>
  <si>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</si>
  <si>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</si>
  <si>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</si>
  <si>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</si>
  <si>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</si>
  <si>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</si>
  <si>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</si>
  <si>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</si>
  <si>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</si>
  <si>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</si>
  <si>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</si>
  <si>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</si>
  <si>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</si>
  <si>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</si>
  <si>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</si>
  <si>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</si>
  <si>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</si>
  <si>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</si>
  <si>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</si>
  <si>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</si>
  <si>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</si>
  <si>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</si>
  <si>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</si>
  <si>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</si>
  <si>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</si>
  <si>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</si>
  <si>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</si>
  <si>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</si>
  <si>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</si>
  <si>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</si>
  <si>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</si>
  <si>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</si>
  <si>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</si>
  <si>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</si>
  <si>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</si>
  <si>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</si>
  <si>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</si>
  <si>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</si>
  <si>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</si>
  <si>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</si>
  <si>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</si>
  <si>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</si>
  <si>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</si>
  <si>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</si>
  <si>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</si>
  <si>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</si>
  <si>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</si>
  <si>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</si>
  <si>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</si>
  <si>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</si>
  <si>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</si>
  <si>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</si>
  <si>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</si>
  <si>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</si>
  <si>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</si>
  <si>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</si>
  <si>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</si>
  <si>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</si>
  <si>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</si>
  <si>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</si>
  <si>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</si>
  <si>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</si>
  <si>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</si>
  <si>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</si>
  <si>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</si>
  <si>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</si>
  <si>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</si>
  <si>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</si>
  <si>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</si>
  <si>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</si>
  <si>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</si>
  <si>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</si>
  <si>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</si>
  <si>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</si>
  <si>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</si>
  <si>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</si>
  <si>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</si>
  <si>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</si>
  <si>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</si>
  <si>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</si>
  <si>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</si>
  <si>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</si>
  <si>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</si>
  <si>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</si>
  <si>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</si>
  <si>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</si>
  <si>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</si>
  <si>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</si>
  <si>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</si>
  <si>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</si>
  <si>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</si>
  <si>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</si>
  <si>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</si>
  <si>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</si>
  <si>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</si>
  <si>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</si>
  <si>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</si>
  <si>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</si>
  <si>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</si>
  <si>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</si>
  <si>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</si>
  <si>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</si>
  <si>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</si>
  <si>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</si>
  <si>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</si>
  <si>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</si>
  <si>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</si>
  <si>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</si>
  <si>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</si>
  <si>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</si>
  <si>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</si>
  <si>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</si>
  <si>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</si>
  <si>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</si>
  <si>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</si>
  <si>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</si>
  <si>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</si>
  <si>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</si>
  <si>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</si>
  <si>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</si>
  <si>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</si>
  <si>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</si>
  <si>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</si>
  <si>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</si>
  <si>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</si>
  <si>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</si>
  <si>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</si>
  <si>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</si>
  <si>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</si>
  <si>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</si>
  <si>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</si>
  <si>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</si>
  <si>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</si>
  <si>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</si>
  <si>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</si>
  <si>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</si>
  <si>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</si>
  <si>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</si>
  <si>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</si>
  <si>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</si>
  <si>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</si>
  <si>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</si>
  <si>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</si>
  <si>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</si>
  <si>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</si>
  <si>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</si>
  <si>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</si>
  <si>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</si>
  <si>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</si>
  <si>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</si>
  <si>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</si>
  <si>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</si>
  <si>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</si>
  <si>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</si>
  <si>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</si>
  <si>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</si>
  <si>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</si>
  <si>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</si>
  <si>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</si>
  <si>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</si>
  <si>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</si>
  <si>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</si>
  <si>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</si>
  <si>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</si>
  <si>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</si>
  <si>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</si>
  <si>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</si>
  <si>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</si>
  <si>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</si>
  <si>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</si>
  <si>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</si>
  <si>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</si>
  <si>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</si>
  <si>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</si>
  <si>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</si>
  <si>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</si>
  <si>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</si>
  <si>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</si>
  <si>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</si>
  <si>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</si>
  <si>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</si>
  <si>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</si>
  <si>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</si>
  <si>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</si>
  <si>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</si>
  <si>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</si>
  <si>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</si>
  <si>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</si>
  <si>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</si>
  <si>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</si>
  <si>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</si>
  <si>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</si>
  <si>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</si>
  <si>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</si>
  <si>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</si>
  <si>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</si>
  <si>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</si>
  <si>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</si>
  <si>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</si>
  <si>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</si>
  <si>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</si>
  <si>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</si>
  <si>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</si>
  <si>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</si>
  <si>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</si>
  <si>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</si>
  <si>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</si>
  <si>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</si>
  <si>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</si>
  <si>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</si>
  <si>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</si>
  <si>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</si>
  <si>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</si>
  <si>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</si>
  <si>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</si>
  <si>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</si>
  <si>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</si>
  <si>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</si>
  <si>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</si>
  <si>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</si>
  <si>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</si>
  <si>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</si>
  <si>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</si>
  <si>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</si>
  <si>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</si>
  <si>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</si>
  <si>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</si>
  <si>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</si>
  <si>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</si>
  <si>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</si>
  <si>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</si>
  <si>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</si>
  <si>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</si>
  <si>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</si>
  <si>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</si>
  <si>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</si>
  <si>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</si>
  <si>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</si>
  <si>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</si>
  <si>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</si>
  <si>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</si>
  <si>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</si>
  <si>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</si>
  <si>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</si>
  <si>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</si>
  <si>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</si>
  <si>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</si>
  <si>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</si>
  <si>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</si>
  <si>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</si>
  <si>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</si>
  <si>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</si>
  <si>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</si>
  <si>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</si>
  <si>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</si>
  <si>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</si>
  <si>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</si>
  <si>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</si>
  <si>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</si>
  <si>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</si>
  <si>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</si>
  <si>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</si>
  <si>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</si>
  <si>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</si>
  <si>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</si>
  <si>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</si>
  <si>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</si>
  <si>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</si>
  <si>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</si>
  <si>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</si>
  <si>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</si>
  <si>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</si>
  <si>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</si>
  <si>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</si>
  <si>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</si>
  <si>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</si>
  <si>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</si>
  <si>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</si>
  <si>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</si>
  <si>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</si>
  <si>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</si>
  <si>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</si>
  <si>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</si>
  <si>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</si>
  <si>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</si>
  <si>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</si>
  <si>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</si>
  <si>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</si>
  <si>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</si>
  <si>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</si>
  <si>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</si>
  <si>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</si>
  <si>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</si>
  <si>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</si>
  <si>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</si>
  <si>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</si>
  <si>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</si>
  <si>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</si>
  <si>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</si>
  <si>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</si>
  <si>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</si>
  <si>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</si>
  <si>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</si>
  <si>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</si>
  <si>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</si>
  <si>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</si>
  <si>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</si>
  <si>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</si>
  <si>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</si>
  <si>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</si>
  <si>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</si>
  <si>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</si>
  <si>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</si>
  <si>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</si>
  <si>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</si>
  <si>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</si>
  <si>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</si>
  <si>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</si>
  <si>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</si>
  <si>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</si>
  <si>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</si>
  <si>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</si>
  <si>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</si>
  <si>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</si>
  <si>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</si>
  <si>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</si>
  <si>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</si>
  <si>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</si>
  <si>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</si>
  <si>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</si>
  <si>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</si>
  <si>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</si>
  <si>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</si>
  <si>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</si>
  <si>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</si>
  <si>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</si>
  <si>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</si>
  <si>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</si>
  <si>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</si>
  <si>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</si>
  <si>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</si>
  <si>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</si>
  <si>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</si>
  <si>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</si>
  <si>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</si>
  <si>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</si>
  <si>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</si>
  <si>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</si>
  <si>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</si>
  <si>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</si>
  <si>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</si>
  <si>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</si>
  <si>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</si>
  <si>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</si>
  <si>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</si>
  <si>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</si>
  <si>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</si>
  <si>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</si>
  <si>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</si>
  <si>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</si>
  <si>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</si>
  <si>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</si>
  <si>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</si>
  <si>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</si>
  <si>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</si>
  <si>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</si>
  <si>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</si>
  <si>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</si>
  <si>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</si>
  <si>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</si>
  <si>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</si>
  <si>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</si>
  <si>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</si>
  <si>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</si>
  <si>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</si>
  <si>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</si>
  <si>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</si>
  <si>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</si>
  <si>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</si>
  <si>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</si>
  <si>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</si>
  <si>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</si>
  <si>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</si>
  <si>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</si>
  <si>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</si>
  <si>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</si>
  <si>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</si>
  <si>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</si>
  <si>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</si>
  <si>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</si>
  <si>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</si>
  <si>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</si>
  <si>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</si>
  <si>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</si>
  <si>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</si>
  <si>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</si>
  <si>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</si>
  <si>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</si>
  <si>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</si>
  <si>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</si>
  <si>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</si>
  <si>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</si>
  <si>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</si>
  <si>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</si>
  <si>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</si>
  <si>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</si>
  <si>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</si>
  <si>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</si>
  <si>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</si>
  <si>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</si>
  <si>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</si>
  <si>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</si>
  <si>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</si>
  <si>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</si>
  <si>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</si>
  <si>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</si>
  <si>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</si>
  <si>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</si>
  <si>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</si>
  <si>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</si>
  <si>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</si>
  <si>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</si>
  <si>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</si>
  <si>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</si>
  <si>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</si>
  <si>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</si>
  <si>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</si>
  <si>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</si>
  <si>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</si>
  <si>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</si>
  <si>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</si>
  <si>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</si>
  <si>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</si>
  <si>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</si>
  <si>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</si>
  <si>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</si>
  <si>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</si>
  <si>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</si>
  <si>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</si>
  <si>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</si>
  <si>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</si>
  <si>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</si>
  <si>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</si>
  <si>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</si>
  <si>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</si>
  <si>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</si>
  <si>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</si>
  <si>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</si>
  <si>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</si>
  <si>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</si>
  <si>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</si>
  <si>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</si>
  <si>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</si>
  <si>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</si>
  <si>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</si>
  <si>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</si>
  <si>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</si>
  <si>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</si>
  <si>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</si>
  <si>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</si>
  <si>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</si>
  <si>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</si>
  <si>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</si>
  <si>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</si>
  <si>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</si>
  <si>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</si>
  <si>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</si>
  <si>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</si>
  <si>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</si>
  <si>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</si>
  <si>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</si>
  <si>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</si>
  <si>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</si>
  <si>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</si>
  <si>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</si>
  <si>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</si>
  <si>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</si>
  <si>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</si>
  <si>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</si>
  <si>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</si>
  <si>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</si>
  <si>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</si>
  <si>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</si>
  <si>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</si>
  <si>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</si>
  <si>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</si>
  <si>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</si>
  <si>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</si>
  <si>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</si>
  <si>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</si>
  <si>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</si>
  <si>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</si>
  <si>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</si>
  <si>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</si>
  <si>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</si>
  <si>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</si>
  <si>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</si>
  <si>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</si>
  <si>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</si>
  <si>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</si>
  <si>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</si>
  <si>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</si>
  <si>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</si>
  <si>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</si>
  <si>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</si>
  <si>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</si>
  <si>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</si>
  <si>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</si>
  <si>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</si>
  <si>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</si>
  <si>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</si>
  <si>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</si>
  <si>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</si>
  <si>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</si>
  <si>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</si>
  <si>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</si>
  <si>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</si>
  <si>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</si>
  <si>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</si>
  <si>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</si>
  <si>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</si>
  <si>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</si>
  <si>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</si>
  <si>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</si>
  <si>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</si>
  <si>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</si>
  <si>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</si>
  <si>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</si>
  <si>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</si>
  <si>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</si>
  <si>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</si>
  <si>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</si>
  <si>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</si>
  <si>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</si>
  <si>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</si>
  <si>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</si>
  <si>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</si>
  <si>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</si>
  <si>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</si>
  <si>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</si>
  <si>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</si>
  <si>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</si>
  <si>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</si>
  <si>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</si>
  <si>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</si>
  <si>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</si>
  <si>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</si>
  <si>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</si>
  <si>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</si>
  <si>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</si>
  <si>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</si>
  <si>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</si>
  <si>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</si>
  <si>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</si>
  <si>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</si>
  <si>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</si>
  <si>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</si>
  <si>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</si>
  <si>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</si>
  <si>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</si>
  <si>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</si>
  <si>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</si>
  <si>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</si>
  <si>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</si>
  <si>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</si>
  <si>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</si>
  <si>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</si>
  <si>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</si>
  <si>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</si>
  <si>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</si>
  <si>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</si>
  <si>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</si>
  <si>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</si>
  <si>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</si>
  <si>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</si>
  <si>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</si>
  <si>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</si>
  <si>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</si>
  <si>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</si>
  <si>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</si>
  <si>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</si>
  <si>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</si>
  <si>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</si>
  <si>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</si>
  <si>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</si>
  <si>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</si>
  <si>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</si>
  <si>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</si>
  <si>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</si>
  <si>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</si>
  <si>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</si>
  <si>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</si>
  <si>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</si>
  <si>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</si>
  <si>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</si>
  <si>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</si>
  <si>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</si>
  <si>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</si>
  <si>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</si>
  <si>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</si>
  <si>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</si>
  <si>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</si>
  <si>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</si>
  <si>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</si>
  <si>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</si>
  <si>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</si>
  <si>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</si>
  <si>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</si>
  <si>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</si>
  <si>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</si>
  <si>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</si>
  <si>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</si>
  <si>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</si>
  <si>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</si>
  <si>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</si>
  <si>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</si>
  <si>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</si>
  <si>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</si>
  <si>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</si>
  <si>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</si>
  <si>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</si>
  <si>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</si>
  <si>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</si>
  <si>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</si>
  <si>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</si>
  <si>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</si>
  <si>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</si>
  <si>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</si>
  <si>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</si>
  <si>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</si>
  <si>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</si>
  <si>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</si>
  <si>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</si>
  <si>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</si>
  <si>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</si>
  <si>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</si>
  <si>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</si>
  <si>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</si>
  <si>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</si>
  <si>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</si>
  <si>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</si>
  <si>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</si>
  <si>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</si>
  <si>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</si>
  <si>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</si>
  <si>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</si>
  <si>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</si>
  <si>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</si>
  <si>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</si>
  <si>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</si>
  <si>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</si>
  <si>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</si>
  <si>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</si>
  <si>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</si>
  <si>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</si>
  <si>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</si>
  <si>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</si>
  <si>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</si>
  <si>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</si>
  <si>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</si>
  <si>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</si>
  <si>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</si>
  <si>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</si>
  <si>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</si>
  <si>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</si>
  <si>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</si>
  <si>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</si>
  <si>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</si>
  <si>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</si>
  <si>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</si>
  <si>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</si>
  <si>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</si>
  <si>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</si>
  <si>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</si>
  <si>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</si>
  <si>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</si>
  <si>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</si>
  <si>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</si>
  <si>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</si>
  <si>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</si>
  <si>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</si>
  <si>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</si>
  <si>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</si>
  <si>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</si>
  <si>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</si>
  <si>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</si>
  <si>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</si>
  <si>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</si>
  <si>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</si>
  <si>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</si>
  <si>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</si>
  <si>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</si>
  <si>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</si>
  <si>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</si>
  <si>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</si>
  <si>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</si>
  <si>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</si>
  <si>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</si>
  <si>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</si>
  <si>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</si>
  <si>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</si>
  <si>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</si>
  <si>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</si>
  <si>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</si>
  <si>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</si>
  <si>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</si>
  <si>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</si>
  <si>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</si>
  <si>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</si>
  <si>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</si>
  <si>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</si>
  <si>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</si>
  <si>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</si>
  <si>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</si>
  <si>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</si>
  <si>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</si>
  <si>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</si>
  <si>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</si>
  <si>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</si>
  <si>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</si>
  <si>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</si>
  <si>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</si>
  <si>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</si>
  <si>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</si>
  <si>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</si>
  <si>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</si>
  <si>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</si>
  <si>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</si>
  <si>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</si>
  <si>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</si>
  <si>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</si>
  <si>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</si>
  <si>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</si>
  <si>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</si>
  <si>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</si>
  <si>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</si>
  <si>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</si>
  <si>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</si>
  <si>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</si>
  <si>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</si>
  <si>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</si>
  <si>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</si>
  <si>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</si>
  <si>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</si>
  <si>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</si>
  <si>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</si>
  <si>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</si>
  <si>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</si>
  <si>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</si>
  <si>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</si>
  <si>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</si>
  <si>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</si>
  <si>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</si>
  <si>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</si>
  <si>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</si>
  <si>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</si>
  <si>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</si>
  <si>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</si>
  <si>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</si>
  <si>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</si>
  <si>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</si>
  <si>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</si>
  <si>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</si>
  <si>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</si>
  <si>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</si>
  <si>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</si>
  <si>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</si>
  <si>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</si>
  <si>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</si>
  <si>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</si>
  <si>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</si>
  <si>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</si>
  <si>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</si>
  <si>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</si>
  <si>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</si>
  <si>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</si>
  <si>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</si>
  <si>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</si>
  <si>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</si>
  <si>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</si>
  <si>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</si>
  <si>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</si>
  <si>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</si>
  <si>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</si>
  <si>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</si>
  <si>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</si>
  <si>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</si>
  <si>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</si>
  <si>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</si>
  <si>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</si>
  <si>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</si>
  <si>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</si>
  <si>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</si>
  <si>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</si>
  <si>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</si>
  <si>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</si>
  <si>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</si>
  <si>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</si>
  <si>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</si>
  <si>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</si>
  <si>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</si>
  <si>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</si>
  <si>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</si>
  <si>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</si>
  <si>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</si>
  <si>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</si>
  <si>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</si>
  <si>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</si>
  <si>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</si>
  <si>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</si>
  <si>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</si>
  <si>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</si>
  <si>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</si>
  <si>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</si>
  <si>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</si>
  <si>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</si>
  <si>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</si>
  <si>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</si>
  <si>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</si>
  <si>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</si>
  <si>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</si>
  <si>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</si>
  <si>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</si>
  <si>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</si>
  <si>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</si>
  <si>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</si>
  <si>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</si>
  <si>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</si>
  <si>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</si>
  <si>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</si>
  <si>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</si>
  <si>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</si>
  <si>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</si>
  <si>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</si>
  <si>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</si>
  <si>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</si>
  <si>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</si>
  <si>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</si>
  <si>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</si>
  <si>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</si>
  <si>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</si>
  <si>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</si>
  <si>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</si>
  <si>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</si>
  <si>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</si>
  <si>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</si>
  <si>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</si>
  <si>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</si>
  <si>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</si>
  <si>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</si>
  <si>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</si>
  <si>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</si>
  <si>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</si>
  <si>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</si>
  <si>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</si>
  <si>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</si>
  <si>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</si>
  <si>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</si>
  <si>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</si>
  <si>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</si>
  <si>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</si>
  <si>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</si>
  <si>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</si>
  <si>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</si>
  <si>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</si>
  <si>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</si>
  <si>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</si>
  <si>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</si>
  <si>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</si>
  <si>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</si>
  <si>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</si>
  <si>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</si>
  <si>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</si>
  <si>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</si>
  <si>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</si>
  <si>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</si>
  <si>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</si>
  <si>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</si>
  <si>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</si>
  <si>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</si>
  <si>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</si>
  <si>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</si>
  <si>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</si>
  <si>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</si>
  <si>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</si>
  <si>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</si>
  <si>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</si>
  <si>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</si>
  <si>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</si>
  <si>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</si>
  <si>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</si>
  <si>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</si>
  <si>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</si>
  <si>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</si>
  <si>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</si>
  <si>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</si>
  <si>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</si>
  <si>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</si>
  <si>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</si>
  <si>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</si>
  <si>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</si>
  <si>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</si>
  <si>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</si>
  <si>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</si>
  <si>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</si>
  <si>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</si>
  <si>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</si>
  <si>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</si>
  <si>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</si>
  <si>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</si>
  <si>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</si>
  <si>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</si>
  <si>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</si>
  <si>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</si>
  <si>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</si>
  <si>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</si>
  <si>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</si>
  <si>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</si>
  <si>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</si>
  <si>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</si>
  <si>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</si>
  <si>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</si>
  <si>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</si>
  <si>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</si>
  <si>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</si>
  <si>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</si>
  <si>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</si>
  <si>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</si>
  <si>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</si>
  <si>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</si>
  <si>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</si>
  <si>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</si>
  <si>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</si>
  <si>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</si>
  <si>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</si>
  <si>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</si>
  <si>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</si>
  <si>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</si>
  <si>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</si>
  <si>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</si>
  <si>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</si>
  <si>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</si>
  <si>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</si>
  <si>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</si>
  <si>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</si>
  <si>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</si>
  <si>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</si>
  <si>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</si>
  <si>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</si>
  <si>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</si>
  <si>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</si>
  <si>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</si>
  <si>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</si>
  <si>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</si>
  <si>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</si>
  <si>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</si>
  <si>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</si>
  <si>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</si>
  <si>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</si>
  <si>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</si>
  <si>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</si>
  <si>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</si>
  <si>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</si>
  <si>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</si>
  <si>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</si>
  <si>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</si>
  <si>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</si>
  <si>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</si>
  <si>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</si>
  <si>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</si>
  <si>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</si>
  <si>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</si>
  <si>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</si>
  <si>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</si>
  <si>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</si>
  <si>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</si>
  <si>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</si>
  <si>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</si>
  <si>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</si>
  <si>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</si>
  <si>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</si>
  <si>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</si>
  <si>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</si>
  <si>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</si>
  <si>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</si>
  <si>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</si>
  <si>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</si>
  <si>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</si>
  <si>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</si>
  <si>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</si>
  <si>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</si>
  <si>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</si>
  <si>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</si>
  <si>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</si>
  <si>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</si>
  <si>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</si>
  <si>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</si>
  <si>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</si>
  <si>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</si>
  <si>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</si>
  <si>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</si>
  <si>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</si>
  <si>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</si>
  <si>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</si>
  <si>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</si>
  <si>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</si>
  <si>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</si>
  <si>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</si>
  <si>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</si>
  <si>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</si>
  <si>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</si>
  <si>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</si>
  <si>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</si>
  <si>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</si>
  <si>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</si>
  <si>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</si>
  <si>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</si>
  <si>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</si>
  <si>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</si>
  <si>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</si>
  <si>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</si>
  <si>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</si>
  <si>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</si>
  <si>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</si>
  <si>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</si>
  <si>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</si>
  <si>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</si>
  <si>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</si>
  <si>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</si>
  <si>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</si>
  <si>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</si>
  <si>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</si>
  <si>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</si>
  <si>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</si>
  <si>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</si>
  <si>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</si>
  <si>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</si>
  <si>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</si>
  <si>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</si>
  <si>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</si>
  <si>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</si>
  <si>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</si>
  <si>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</si>
  <si>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</si>
  <si>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</si>
  <si>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</si>
  <si>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</si>
  <si>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</si>
  <si>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</si>
  <si>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</si>
  <si>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</si>
  <si>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</si>
  <si>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</si>
  <si>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</si>
  <si>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</si>
  <si>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</si>
  <si>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</si>
  <si>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</si>
  <si>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</si>
  <si>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</si>
  <si>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</si>
  <si>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</si>
  <si>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</si>
  <si>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</si>
  <si>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</si>
  <si>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</si>
  <si>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</si>
  <si>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</si>
  <si>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</si>
  <si>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</si>
  <si>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</si>
  <si>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</si>
  <si>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</si>
  <si>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</si>
  <si>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</si>
  <si>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</si>
  <si>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</si>
  <si>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</si>
  <si>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</si>
  <si>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</si>
  <si>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</si>
  <si>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</si>
  <si>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</si>
  <si>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</si>
  <si>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</si>
  <si>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</si>
  <si>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</si>
  <si>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</si>
  <si>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</si>
  <si>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</si>
  <si>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</si>
  <si>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</si>
  <si>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</si>
  <si>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</si>
  <si>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</si>
  <si>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</si>
  <si>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</si>
  <si>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</si>
  <si>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</si>
  <si>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</si>
  <si>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</si>
  <si>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</si>
  <si>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</si>
  <si>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</si>
  <si>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</si>
  <si>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</si>
  <si>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</si>
  <si>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</si>
  <si>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</si>
  <si>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</si>
  <si>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</si>
  <si>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</si>
  <si>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</si>
  <si>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</si>
  <si>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</si>
  <si>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</si>
  <si>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</si>
  <si>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</si>
  <si>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</si>
  <si>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</si>
  <si>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</si>
  <si>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</si>
  <si>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Row Labels</t>
  </si>
  <si>
    <t>Grand Total</t>
  </si>
  <si>
    <t>Count of appointment_outcome</t>
  </si>
  <si>
    <t>Column Labels</t>
  </si>
  <si>
    <t>booking lead group</t>
  </si>
  <si>
    <t>0-7 days</t>
  </si>
  <si>
    <t>15-30 days</t>
  </si>
  <si>
    <t>31-60 days</t>
  </si>
  <si>
    <t>8-14 days</t>
  </si>
  <si>
    <t>Total Count of appointment_outcome</t>
  </si>
  <si>
    <t>Total Count of appointment_outcome2</t>
  </si>
  <si>
    <t>Count of appointment_outcome2</t>
  </si>
  <si>
    <t>age group</t>
  </si>
  <si>
    <t>no show rate</t>
  </si>
  <si>
    <t>age group and no show rate</t>
  </si>
  <si>
    <t>no show</t>
  </si>
  <si>
    <t>reminder sent</t>
  </si>
  <si>
    <t>no</t>
  </si>
  <si>
    <t>yes</t>
  </si>
  <si>
    <t>previos no show</t>
  </si>
  <si>
    <t xml:space="preserve">appointment outcome </t>
  </si>
  <si>
    <t>percentaage</t>
  </si>
  <si>
    <t>attended</t>
  </si>
  <si>
    <t>cancelled</t>
  </si>
  <si>
    <t>No Total</t>
  </si>
  <si>
    <t>Yes Total</t>
  </si>
  <si>
    <t>Count of appointment_id</t>
  </si>
  <si>
    <t>age froup</t>
  </si>
  <si>
    <t>reminder</t>
  </si>
  <si>
    <t xml:space="preserve">total </t>
  </si>
  <si>
    <t>55-60</t>
  </si>
  <si>
    <t>nooking lead group</t>
  </si>
  <si>
    <t>grand total</t>
  </si>
  <si>
    <t>15-30days</t>
  </si>
  <si>
    <t>8-14days</t>
  </si>
  <si>
    <t>15-60days</t>
  </si>
  <si>
    <t>row labels</t>
  </si>
  <si>
    <t>reminder no</t>
  </si>
  <si>
    <t>0-7days</t>
  </si>
  <si>
    <t>31-60days</t>
  </si>
  <si>
    <t>previus no show</t>
  </si>
  <si>
    <t>current 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</si>
</sst>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10" fontId="0" fillId="0" borderId="10" xfId="0" applyNumberFormat="1" applyBorder="1" applyAlignment="1">
      <alignment horizontal="left"/>
    </xf>
    <xf numFmtId="10" fontId="0" fillId="0" borderId="10" xfId="0" applyNumberFormat="1" applyBorder="1"/>
    <xf numFmtId="9" fontId="0" fillId="0" borderId="10" xfId="0" applyNumberFormat="1" applyBorder="1"/>
    <xf numFmtId="0" fontId="0" fillId="0" borderId="11" xfId="0" applyBorder="1"/>
    <xf numFmtId="0" fontId="0" fillId="0" borderId="12" xfId="0" applyBorder="1"/>
    <xf numFmtId="10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0" fontId="0" fillId="0" borderId="26" xfId="0" applyNumberFormat="1" applyBorder="1"/>
    <xf numFmtId="10" fontId="0" fillId="0" borderId="27" xfId="0" applyNumberFormat="1" applyBorder="1"/>
    <xf numFmtId="0" fontId="0" fillId="0" borderId="0" xfId="0" applyAlignment="1">
      <alignment horizontal="left" indent="1"/>
    </xf>
    <xf numFmtId="10" fontId="0" fillId="0" borderId="17" xfId="0" applyNumberFormat="1" applyBorder="1"/>
    <xf numFmtId="10" fontId="0" fillId="0" borderId="18" xfId="0" applyNumberFormat="1" applyBorder="1"/>
    <xf numFmtId="9" fontId="0" fillId="0" borderId="27" xfId="0" applyNumberFormat="1" applyBorder="1"/>
    <xf numFmtId="0" fontId="0" fillId="0" borderId="2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apointment</a:t>
            </a:r>
            <a:r>
              <a:rPr lang="en-US" baseline="0"/>
              <a:t> outcome distribution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727034120735"/>
          <c:y val="0.19486111111111112"/>
          <c:w val="0.8533495188101487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'appointment outcome'!$A$12:$A$14</c:f>
              <c:strCache>
                <c:ptCount val="3"/>
                <c:pt idx="0">
                  <c:v>attended</c:v>
                </c:pt>
                <c:pt idx="1">
                  <c:v>cancelled</c:v>
                </c:pt>
                <c:pt idx="2">
                  <c:v>no show</c:v>
                </c:pt>
              </c:strCache>
            </c:strRef>
          </c:cat>
          <c:val>
            <c:numRef>
              <c:f>'appointment outcome'!$B$12:$B$14</c:f>
              <c:numCache>
                <c:formatCode>0.00%</c:formatCode>
                <c:ptCount val="3"/>
                <c:pt idx="0">
                  <c:v>0.46279999999999999</c:v>
                </c:pt>
                <c:pt idx="1">
                  <c:v>5.2600000000000001E-2</c:v>
                </c:pt>
                <c:pt idx="2">
                  <c:v>0.48459999999999998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8-42C7-9E03-D9E61581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51416"/>
        <c:axId val="491652400"/>
      </c:barChart>
      <c:catAx>
        <c:axId val="49165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52400"/>
        <c:crosses val="autoZero"/>
        <c:auto val="1"/>
        <c:lblAlgn val="ctr"/>
        <c:lblOffset val="100"/>
        <c:noMultiLvlLbl val="0"/>
      </c:catAx>
      <c:valAx>
        <c:axId val="4916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51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[HealthConnect_week 6 axcel anaysis.xlsx]no show reate by age group!PivotTable2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rate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show reate by age group'!$B$3:$B$5</c:f>
              <c:strCache>
                <c:ptCount val="1"/>
                <c:pt idx="0">
                  <c:v>Attended - Count of appointment_outcome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group'!$B$6:$B$12</c:f>
              <c:numCache>
                <c:formatCode>General</c:formatCode>
                <c:ptCount val="6"/>
                <c:pt idx="0">
                  <c:v>257</c:v>
                </c:pt>
                <c:pt idx="1">
                  <c:v>353</c:v>
                </c:pt>
                <c:pt idx="2">
                  <c:v>374</c:v>
                </c:pt>
                <c:pt idx="3">
                  <c:v>365</c:v>
                </c:pt>
                <c:pt idx="4">
                  <c:v>360</c:v>
                </c:pt>
                <c:pt idx="5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3-4F5E-B5EC-6D2309AA381F}"/>
            </c:ext>
          </c:extLst>
        </c:ser>
        <c:ser>
          <c:idx val="1"/>
          <c:order val="1"/>
          <c:tx>
            <c:strRef>
              <c:f>'no show reate by age group'!$C$3:$C$5</c:f>
              <c:strCache>
                <c:ptCount val="1"/>
                <c:pt idx="0">
                  <c:v>Attended - Count of appointment_outcome2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group'!$C$6:$C$12</c:f>
              <c:numCache>
                <c:formatCode>0.00%</c:formatCode>
                <c:ptCount val="6"/>
                <c:pt idx="0">
                  <c:v>0.45567375886524825</c:v>
                </c:pt>
                <c:pt idx="1">
                  <c:v>0.45083014048531289</c:v>
                </c:pt>
                <c:pt idx="2">
                  <c:v>0.45665445665445664</c:v>
                </c:pt>
                <c:pt idx="3">
                  <c:v>0.46027742749054223</c:v>
                </c:pt>
                <c:pt idx="4">
                  <c:v>0.45</c:v>
                </c:pt>
                <c:pt idx="5">
                  <c:v>0.48751007252215955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3-4F5E-B5EC-6D2309AA381F}"/>
            </c:ext>
          </c:extLst>
        </c:ser>
        <c:ser>
          <c:idx val="2"/>
          <c:order val="2"/>
          <c:tx>
            <c:strRef>
              <c:f>'no show reate by age group'!$D$3:$D$5</c:f>
              <c:strCache>
                <c:ptCount val="1"/>
                <c:pt idx="0">
                  <c:v>Cancelled - Count of appointment_outcome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group'!$D$6:$D$12</c:f>
              <c:numCache>
                <c:formatCode>General</c:formatCode>
                <c:ptCount val="6"/>
                <c:pt idx="0">
                  <c:v>24</c:v>
                </c:pt>
                <c:pt idx="1">
                  <c:v>33</c:v>
                </c:pt>
                <c:pt idx="2">
                  <c:v>49</c:v>
                </c:pt>
                <c:pt idx="3">
                  <c:v>47</c:v>
                </c:pt>
                <c:pt idx="4">
                  <c:v>34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33-4F5E-B5EC-6D2309AA381F}"/>
            </c:ext>
          </c:extLst>
        </c:ser>
        <c:ser>
          <c:idx val="3"/>
          <c:order val="3"/>
          <c:tx>
            <c:strRef>
              <c:f>'no show reate by age group'!$E$3:$E$5</c:f>
              <c:strCache>
                <c:ptCount val="1"/>
                <c:pt idx="0">
                  <c:v>Cancelled - Count of appointment_outcome2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group'!$E$6:$E$12</c:f>
              <c:numCache>
                <c:formatCode>0.00%</c:formatCode>
                <c:ptCount val="6"/>
                <c:pt idx="0">
                  <c:v>4.2553191489361701E-2</c:v>
                </c:pt>
                <c:pt idx="1">
                  <c:v>4.2145593869731802E-2</c:v>
                </c:pt>
                <c:pt idx="2">
                  <c:v>5.9829059829059832E-2</c:v>
                </c:pt>
                <c:pt idx="3">
                  <c:v>5.9268600252206809E-2</c:v>
                </c:pt>
                <c:pt idx="4">
                  <c:v>4.2500000000000003E-2</c:v>
                </c:pt>
                <c:pt idx="5">
                  <c:v>6.1240934730056408E-2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33-4F5E-B5EC-6D2309AA381F}"/>
            </c:ext>
          </c:extLst>
        </c:ser>
        <c:ser>
          <c:idx val="4"/>
          <c:order val="4"/>
          <c:tx>
            <c:strRef>
              <c:f>'no show reate by age group'!$F$3:$F$5</c:f>
              <c:strCache>
                <c:ptCount val="1"/>
                <c:pt idx="0">
                  <c:v>No-Show - Count of appointment_outcome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group'!$F$6:$F$12</c:f>
              <c:numCache>
                <c:formatCode>General</c:formatCode>
                <c:ptCount val="6"/>
                <c:pt idx="0">
                  <c:v>283</c:v>
                </c:pt>
                <c:pt idx="1">
                  <c:v>397</c:v>
                </c:pt>
                <c:pt idx="2">
                  <c:v>396</c:v>
                </c:pt>
                <c:pt idx="3">
                  <c:v>381</c:v>
                </c:pt>
                <c:pt idx="4">
                  <c:v>406</c:v>
                </c:pt>
                <c:pt idx="5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33-4F5E-B5EC-6D2309AA381F}"/>
            </c:ext>
          </c:extLst>
        </c:ser>
        <c:ser>
          <c:idx val="5"/>
          <c:order val="5"/>
          <c:tx>
            <c:strRef>
              <c:f>'no show reate by age group'!$G$3:$G$5</c:f>
              <c:strCache>
                <c:ptCount val="1"/>
                <c:pt idx="0">
                  <c:v>No-Show - Count of appointment_outcome2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group'!$G$6:$G$12</c:f>
              <c:numCache>
                <c:formatCode>0.00%</c:formatCode>
                <c:ptCount val="6"/>
                <c:pt idx="0">
                  <c:v>0.50177304964539005</c:v>
                </c:pt>
                <c:pt idx="1">
                  <c:v>0.50702426564495529</c:v>
                </c:pt>
                <c:pt idx="2">
                  <c:v>0.48351648351648352</c:v>
                </c:pt>
                <c:pt idx="3">
                  <c:v>0.48045397225725095</c:v>
                </c:pt>
                <c:pt idx="4">
                  <c:v>0.50749999999999995</c:v>
                </c:pt>
                <c:pt idx="5">
                  <c:v>0.45124899274778407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033-4F5E-B5EC-6D2309AA3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499736"/>
        <c:axId val="323502032"/>
      </c:barChart>
      <c:catAx>
        <c:axId val="32349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02032"/>
        <c:crosses val="autoZero"/>
        <c:auto val="1"/>
        <c:lblAlgn val="ctr"/>
        <c:lblOffset val="100"/>
        <c:noMultiLvlLbl val="0"/>
      </c:catAx>
      <c:valAx>
        <c:axId val="32350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9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[HealthConnect_week 6 axcel anaysis.xlsx]no show reate by age group!PivotTable2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5358705161854769E-2"/>
          <c:y val="0.23972003499562555"/>
          <c:w val="0.5766500437445318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 show reate by age group'!$B$3:$B$5</c:f>
              <c:strCache>
                <c:ptCount val="1"/>
                <c:pt idx="0">
                  <c:v>Attended - Count of appointment_outcome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group'!$B$6:$B$12</c:f>
              <c:numCache>
                <c:formatCode>General</c:formatCode>
                <c:ptCount val="6"/>
                <c:pt idx="0">
                  <c:v>257</c:v>
                </c:pt>
                <c:pt idx="1">
                  <c:v>353</c:v>
                </c:pt>
                <c:pt idx="2">
                  <c:v>374</c:v>
                </c:pt>
                <c:pt idx="3">
                  <c:v>365</c:v>
                </c:pt>
                <c:pt idx="4">
                  <c:v>360</c:v>
                </c:pt>
                <c:pt idx="5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E-4919-B08D-3EC89A4F896C}"/>
            </c:ext>
          </c:extLst>
        </c:ser>
        <c:ser>
          <c:idx val="1"/>
          <c:order val="1"/>
          <c:tx>
            <c:strRef>
              <c:f>'no show reate by age group'!$C$3:$C$5</c:f>
              <c:strCache>
                <c:ptCount val="1"/>
                <c:pt idx="0">
                  <c:v>Attended - Count of appointment_outcome2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group'!$C$6:$C$12</c:f>
              <c:numCache>
                <c:formatCode>0.00%</c:formatCode>
                <c:ptCount val="6"/>
                <c:pt idx="0">
                  <c:v>0.45567375886524825</c:v>
                </c:pt>
                <c:pt idx="1">
                  <c:v>0.45083014048531289</c:v>
                </c:pt>
                <c:pt idx="2">
                  <c:v>0.45665445665445664</c:v>
                </c:pt>
                <c:pt idx="3">
                  <c:v>0.46027742749054223</c:v>
                </c:pt>
                <c:pt idx="4">
                  <c:v>0.45</c:v>
                </c:pt>
                <c:pt idx="5">
                  <c:v>0.48751007252215955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E-4919-B08D-3EC89A4F896C}"/>
            </c:ext>
          </c:extLst>
        </c:ser>
        <c:ser>
          <c:idx val="2"/>
          <c:order val="2"/>
          <c:tx>
            <c:strRef>
              <c:f>'no show reate by age group'!$D$3:$D$5</c:f>
              <c:strCache>
                <c:ptCount val="1"/>
                <c:pt idx="0">
                  <c:v>Cancelled - Count of appointment_outcome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group'!$D$6:$D$12</c:f>
              <c:numCache>
                <c:formatCode>General</c:formatCode>
                <c:ptCount val="6"/>
                <c:pt idx="0">
                  <c:v>24</c:v>
                </c:pt>
                <c:pt idx="1">
                  <c:v>33</c:v>
                </c:pt>
                <c:pt idx="2">
                  <c:v>49</c:v>
                </c:pt>
                <c:pt idx="3">
                  <c:v>47</c:v>
                </c:pt>
                <c:pt idx="4">
                  <c:v>34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4E-4919-B08D-3EC89A4F896C}"/>
            </c:ext>
          </c:extLst>
        </c:ser>
        <c:ser>
          <c:idx val="3"/>
          <c:order val="3"/>
          <c:tx>
            <c:strRef>
              <c:f>'no show reate by age group'!$E$3:$E$5</c:f>
              <c:strCache>
                <c:ptCount val="1"/>
                <c:pt idx="0">
                  <c:v>Cancelled - Count of appointment_outcome2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group'!$E$6:$E$12</c:f>
              <c:numCache>
                <c:formatCode>0.00%</c:formatCode>
                <c:ptCount val="6"/>
                <c:pt idx="0">
                  <c:v>4.2553191489361701E-2</c:v>
                </c:pt>
                <c:pt idx="1">
                  <c:v>4.2145593869731802E-2</c:v>
                </c:pt>
                <c:pt idx="2">
                  <c:v>5.9829059829059832E-2</c:v>
                </c:pt>
                <c:pt idx="3">
                  <c:v>5.9268600252206809E-2</c:v>
                </c:pt>
                <c:pt idx="4">
                  <c:v>4.2500000000000003E-2</c:v>
                </c:pt>
                <c:pt idx="5">
                  <c:v>6.1240934730056408E-2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4E-4919-B08D-3EC89A4F896C}"/>
            </c:ext>
          </c:extLst>
        </c:ser>
        <c:ser>
          <c:idx val="4"/>
          <c:order val="4"/>
          <c:tx>
            <c:strRef>
              <c:f>'no show reate by age group'!$F$3:$F$5</c:f>
              <c:strCache>
                <c:ptCount val="1"/>
                <c:pt idx="0">
                  <c:v>No-Show - Count of appointment_outcome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group'!$F$6:$F$12</c:f>
              <c:numCache>
                <c:formatCode>General</c:formatCode>
                <c:ptCount val="6"/>
                <c:pt idx="0">
                  <c:v>283</c:v>
                </c:pt>
                <c:pt idx="1">
                  <c:v>397</c:v>
                </c:pt>
                <c:pt idx="2">
                  <c:v>396</c:v>
                </c:pt>
                <c:pt idx="3">
                  <c:v>381</c:v>
                </c:pt>
                <c:pt idx="4">
                  <c:v>406</c:v>
                </c:pt>
                <c:pt idx="5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4E-4919-B08D-3EC89A4F896C}"/>
            </c:ext>
          </c:extLst>
        </c:ser>
        <c:ser>
          <c:idx val="5"/>
          <c:order val="5"/>
          <c:tx>
            <c:strRef>
              <c:f>'no show reate by age group'!$G$3:$G$5</c:f>
              <c:strCache>
                <c:ptCount val="1"/>
                <c:pt idx="0">
                  <c:v>No-Show - Count of appointment_outcome2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 show reate by age group'!$A$6:$A$12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'no show reate by age group'!$G$6:$G$12</c:f>
              <c:numCache>
                <c:formatCode>0.00%</c:formatCode>
                <c:ptCount val="6"/>
                <c:pt idx="0">
                  <c:v>0.50177304964539005</c:v>
                </c:pt>
                <c:pt idx="1">
                  <c:v>0.50702426564495529</c:v>
                </c:pt>
                <c:pt idx="2">
                  <c:v>0.48351648351648352</c:v>
                </c:pt>
                <c:pt idx="3">
                  <c:v>0.48045397225725095</c:v>
                </c:pt>
                <c:pt idx="4">
                  <c:v>0.50749999999999995</c:v>
                </c:pt>
                <c:pt idx="5">
                  <c:v>0.45124899274778407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4E-4919-B08D-3EC89A4F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346984"/>
        <c:axId val="326348624"/>
      </c:barChart>
      <c:catAx>
        <c:axId val="32634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48624"/>
        <c:crosses val="autoZero"/>
        <c:auto val="1"/>
        <c:lblAlgn val="ctr"/>
        <c:lblOffset val="100"/>
        <c:noMultiLvlLbl val="0"/>
      </c:catAx>
      <c:valAx>
        <c:axId val="32634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4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rate by age group</a:t>
            </a:r>
            <a:endParaRPr lang="en-US"/>
          </a:p>
        </c:rich>
      </c:tx>
      <c:layout>
        <c:manualLayout>
          <c:xMode val="edge"/>
          <c:yMode val="edge"/>
          <c:x val="0.25037638185561373"/>
          <c:y val="1.8518601016457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show reate by age group'!$A$15:$B$15</c:f>
              <c:strCache>
                <c:ptCount val="1"/>
                <c:pt idx="0">
                  <c:v>age group and no show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'no show reate by age group'!$A$17:$B$22</c:f>
              <c:multiLvlStrCache>
                <c:ptCount val="6"/>
                <c:lvl>
                  <c:pt idx="0">
                    <c:v>50.18%</c:v>
                  </c:pt>
                  <c:pt idx="1">
                    <c:v>50.70%</c:v>
                  </c:pt>
                  <c:pt idx="2">
                    <c:v>48.35%</c:v>
                  </c:pt>
                  <c:pt idx="3">
                    <c:v>48.05%</c:v>
                  </c:pt>
                  <c:pt idx="4">
                    <c:v>50.75%</c:v>
                  </c:pt>
                  <c:pt idx="5">
                    <c:v>45.12%</c:v>
                  </c:pt>
                </c:lvl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55-64</c:v>
                  </c:pt>
                  <c:pt idx="5">
                    <c:v>65+</c:v>
                  </c:pt>
                </c:lvl>
              </c:multiLvlStrCache>
            </c:multiLvlStrRef>
          </c:cat>
          <c:val>
            <c:numRef>
              <c:f>'no show reate by age group'!$B$17:$B$22</c:f>
              <c:numCache>
                <c:formatCode>0.00%</c:formatCode>
                <c:ptCount val="6"/>
                <c:pt idx="0">
                  <c:v>0.50180000000000002</c:v>
                </c:pt>
                <c:pt idx="1">
                  <c:v>0.50700000000000001</c:v>
                </c:pt>
                <c:pt idx="2">
                  <c:v>0.48349999999999999</c:v>
                </c:pt>
                <c:pt idx="3">
                  <c:v>0.48049999999999998</c:v>
                </c:pt>
                <c:pt idx="4">
                  <c:v>0.50749999999999995</c:v>
                </c:pt>
                <c:pt idx="5">
                  <c:v>0.45119999999999999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6-45F0-9F8F-7E36B0B74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741296"/>
        <c:axId val="385737360"/>
      </c:barChart>
      <c:catAx>
        <c:axId val="3857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37360"/>
        <c:crosses val="autoZero"/>
        <c:auto val="1"/>
        <c:lblAlgn val="ctr"/>
        <c:lblOffset val="100"/>
        <c:noMultiLvlLbl val="0"/>
      </c:catAx>
      <c:valAx>
        <c:axId val="3857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412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rate by appointment remonder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 show rate by reminder send'!$A$11:$A$12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'no show rate by reminder send'!$B$11:$B$12</c:f>
              <c:numCache>
                <c:formatCode>0.00%</c:formatCode>
                <c:ptCount val="2"/>
                <c:pt idx="0">
                  <c:v>0.51390000000000002</c:v>
                </c:pt>
                <c:pt idx="1">
                  <c:v>0.47360000000000002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5-4499-A15F-64379223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37968"/>
        <c:axId val="491638296"/>
      </c:barChart>
      <c:catAx>
        <c:axId val="4916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38296"/>
        <c:crosses val="autoZero"/>
        <c:auto val="1"/>
        <c:lblAlgn val="ctr"/>
        <c:lblOffset val="100"/>
        <c:noMultiLvlLbl val="0"/>
      </c:catAx>
      <c:valAx>
        <c:axId val="49163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3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now</a:t>
            </a:r>
            <a:r>
              <a:rPr lang="en-US" baseline="0"/>
              <a:t> show rate by previous history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'prevous no show'!$A$16:$A$21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'prevous no show'!$A$16:$A$21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'prevous no show'!$B$16:$B$21</c:f>
              <c:numCache>
                <c:formatCode>0.00%</c:formatCode>
                <c:ptCount val="6"/>
                <c:pt idx="0">
                  <c:v>0.43509999999999999</c:v>
                </c:pt>
                <c:pt idx="1">
                  <c:v>0.53490000000000004</c:v>
                </c:pt>
                <c:pt idx="2">
                  <c:v>0.59360000000000002</c:v>
                </c:pt>
                <c:pt idx="3">
                  <c:v>0.67949999999999999</c:v>
                </c:pt>
                <c:pt idx="4">
                  <c:v>0.66669999999999996</c:v>
                </c:pt>
                <c:pt idx="5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6-4D83-A00F-CD319B066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55024"/>
        <c:axId val="491653056"/>
      </c:barChart>
      <c:catAx>
        <c:axId val="4916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53056"/>
        <c:crosses val="autoZero"/>
        <c:auto val="1"/>
        <c:lblAlgn val="ctr"/>
        <c:lblOffset val="100"/>
        <c:noMultiLvlLbl val="0"/>
      </c:catAx>
      <c:valAx>
        <c:axId val="4916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5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rateby booking lead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'booking lead group'!$B$14</c:f>
              <c:strCache>
                <c:ptCount val="1"/>
                <c:pt idx="0">
                  <c:v>no show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'booking lead group'!$A$15:$A$18</c:f>
              <c:strCache>
                <c:ptCount val="4"/>
                <c:pt idx="0">
                  <c:v>0-7 days</c:v>
                </c:pt>
                <c:pt idx="1">
                  <c:v>8-14 days</c:v>
                </c:pt>
                <c:pt idx="2">
                  <c:v>15-30 days</c:v>
                </c:pt>
                <c:pt idx="3">
                  <c:v>31-60 days</c:v>
                </c:pt>
              </c:strCache>
            </c:strRef>
          </c:cat>
          <c:val>
            <c:numRef>
              <c:f>'booking lead group'!$B$15:$B$18</c:f>
              <c:numCache>
                <c:formatCode>0.00%</c:formatCode>
                <c:ptCount val="4"/>
                <c:pt idx="0">
                  <c:v>0.27810000000000001</c:v>
                </c:pt>
                <c:pt idx="1">
                  <c:v>0.33550000000000002</c:v>
                </c:pt>
                <c:pt idx="2">
                  <c:v>0.43209999999999998</c:v>
                </c:pt>
                <c:pt idx="3">
                  <c:v>0.60489999999999999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B-435A-B35D-235489465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738672"/>
        <c:axId val="385742280"/>
      </c:barChart>
      <c:catAx>
        <c:axId val="3857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42280"/>
        <c:crosses val="autoZero"/>
        <c:auto val="1"/>
        <c:lblAlgn val="ctr"/>
        <c:lblOffset val="100"/>
        <c:noMultiLvlLbl val="0"/>
      </c:catAx>
      <c:valAx>
        <c:axId val="38574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by age group and reminder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'no show by age group and remind'!$A$17:$B$29</c:f>
              <c:multiLvlStrCache>
                <c:ptCount val="12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0">
                    <c:v>no</c:v>
                  </c:pt>
                  <c:pt idx="11">
                    <c:v>yes</c:v>
                  </c:pt>
                </c:lvl>
                <c:lvl>
                  <c:pt idx="0">
                    <c:v>18-24</c:v>
                  </c:pt>
                  <c:pt idx="2">
                    <c:v>25-34</c:v>
                  </c:pt>
                  <c:pt idx="4">
                    <c:v>35-44</c:v>
                  </c:pt>
                  <c:pt idx="6">
                    <c:v>45-54</c:v>
                  </c:pt>
                  <c:pt idx="8">
                    <c:v>55-60</c:v>
                  </c:pt>
                  <c:pt idx="10">
                    <c:v>65+</c:v>
                  </c:pt>
                </c:lvl>
              </c:multiLvlStrCache>
            </c:multiLvlStrRef>
          </c:cat>
          <c:val>
            <c:numRef>
              <c:f>'no show by age group and remind'!$E$17:$E$29</c:f>
              <c:numCache>
                <c:formatCode>0.00%</c:formatCode>
                <c:ptCount val="13"/>
                <c:pt idx="0">
                  <c:v>0.51319999999999999</c:v>
                </c:pt>
                <c:pt idx="1">
                  <c:v>0.48759999999999998</c:v>
                </c:pt>
                <c:pt idx="2">
                  <c:v>0.53049999999999997</c:v>
                </c:pt>
                <c:pt idx="3">
                  <c:v>0.49819999999999998</c:v>
                </c:pt>
                <c:pt idx="4">
                  <c:v>0.55510000000000004</c:v>
                </c:pt>
                <c:pt idx="5">
                  <c:v>0.45610000000000001</c:v>
                </c:pt>
                <c:pt idx="6">
                  <c:v>0.4869</c:v>
                </c:pt>
                <c:pt idx="7">
                  <c:v>0.47920000000000001</c:v>
                </c:pt>
                <c:pt idx="8">
                  <c:v>0.56940000000000002</c:v>
                </c:pt>
                <c:pt idx="9">
                  <c:v>0.48459999999999998</c:v>
                </c:pt>
                <c:pt idx="10">
                  <c:v>0.45040000000000002</c:v>
                </c:pt>
                <c:pt idx="11">
                  <c:v>0.4476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2-407C-8A76-740CF427E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313152"/>
        <c:axId val="458317088"/>
      </c:barChart>
      <c:catAx>
        <c:axId val="45831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17088"/>
        <c:crosses val="autoZero"/>
        <c:auto val="1"/>
        <c:lblAlgn val="ctr"/>
        <c:lblOffset val="100"/>
        <c:noMultiLvlLbl val="0"/>
      </c:catAx>
      <c:valAx>
        <c:axId val="45831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1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reate by booking lead group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 show by bookig leadgroup'!$A$13:$A$16</c:f>
              <c:strCache>
                <c:ptCount val="4"/>
                <c:pt idx="0">
                  <c:v>0-7 days</c:v>
                </c:pt>
                <c:pt idx="1">
                  <c:v>8-14days</c:v>
                </c:pt>
                <c:pt idx="2">
                  <c:v>15-30days</c:v>
                </c:pt>
                <c:pt idx="3">
                  <c:v>15-60days</c:v>
                </c:pt>
              </c:strCache>
            </c:strRef>
          </c:cat>
          <c:val>
            <c:numRef>
              <c:f>'no show by bookig leadgroup'!$F$13:$F$16</c:f>
              <c:numCache>
                <c:formatCode>0.00%</c:formatCode>
                <c:ptCount val="4"/>
                <c:pt idx="0">
                  <c:v>0.27810000000000001</c:v>
                </c:pt>
                <c:pt idx="1">
                  <c:v>0.33350000000000002</c:v>
                </c:pt>
                <c:pt idx="2">
                  <c:v>0.43209999999999998</c:v>
                </c:pt>
                <c:pt idx="3">
                  <c:v>0.60450000000000004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7-4264-A523-493F20AF1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506104"/>
        <c:axId val="461506760"/>
      </c:barChart>
      <c:catAx>
        <c:axId val="46150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06760"/>
        <c:crosses val="autoZero"/>
        <c:auto val="1"/>
        <c:lblAlgn val="ctr"/>
        <c:lblOffset val="100"/>
        <c:noMultiLvlLbl val="0"/>
      </c:catAx>
      <c:valAx>
        <c:axId val="46150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0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5</xdr:row>
      <xdr:rowOff>95250</xdr:rowOff>
    </xdr:from>
    <xdr:to>
      <xdr:col>9</xdr:col>
      <xdr:colOff>129540</xdr:colOff>
      <xdr:row>20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1333500</xdr:colOff>
      <xdr:row>12</xdr:row>
      <xdr:rowOff>110490</xdr:rowOff>
    </xdr:from>
    <xdr:to>
      <xdr:col>6</xdr:col>
      <xdr:colOff>60960</xdr:colOff>
      <xdr:row>28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579120</xdr:colOff>
      <xdr:row>11</xdr:row>
      <xdr:rowOff>41910</xdr:rowOff>
    </xdr:from>
    <xdr:to>
      <xdr:col>8</xdr:col>
      <xdr:colOff>792480</xdr:colOff>
      <xdr:row>27</xdr:row>
      <xdr:rowOff>41910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22</xdr:row>
      <xdr:rowOff>72390</xdr:rowOff>
    </xdr:from>
    <xdr:to>
      <xdr:col>3</xdr:col>
      <xdr:colOff>1066800</xdr:colOff>
      <xdr:row>33</xdr:row>
      <xdr:rowOff>106680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7</xdr:row>
      <xdr:rowOff>133350</xdr:rowOff>
    </xdr:from>
    <xdr:to>
      <xdr:col>10</xdr:col>
      <xdr:colOff>137160</xdr:colOff>
      <xdr:row>22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</xdr:row>
      <xdr:rowOff>156210</xdr:rowOff>
    </xdr:from>
    <xdr:to>
      <xdr:col>9</xdr:col>
      <xdr:colOff>320040</xdr:colOff>
      <xdr:row>28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13</xdr:row>
      <xdr:rowOff>3810</xdr:rowOff>
    </xdr:from>
    <xdr:to>
      <xdr:col>20</xdr:col>
      <xdr:colOff>83820</xdr:colOff>
      <xdr:row>28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14</xdr:row>
      <xdr:rowOff>87630</xdr:rowOff>
    </xdr:from>
    <xdr:to>
      <xdr:col>12</xdr:col>
      <xdr:colOff>358140</xdr:colOff>
      <xdr:row>27</xdr:row>
      <xdr:rowOff>99060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2</xdr:row>
      <xdr:rowOff>95250</xdr:rowOff>
    </xdr:from>
    <xdr:to>
      <xdr:col>13</xdr:col>
      <xdr:colOff>541020</xdr:colOff>
      <xdr:row>17</xdr:row>
      <xdr:rowOff>80010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65.687201504632" createdVersion="6" refreshedVersion="6" minRefreshableVersion="3" recordCount="5000">
  <cacheSource type="worksheet">
    <worksheetSource ref="A1:S5001" sheet="HealthConnect_Appointment_Data"/>
  </cacheSource>
  <cacheFields count="19">
    <cacheField name="appointment_id" numFmtId="0">
      <sharedItems/>
    </cacheField>
    <cacheField name="pati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age_group" numFmtId="0">
      <sharedItems count="6">
        <s v="35-44"/>
        <s v="25-34"/>
        <s v="45-54"/>
        <s v="55-64"/>
        <s v="65+"/>
        <s v="18-24"/>
      </sharedItems>
    </cacheField>
    <cacheField name="appointment_type" numFmtId="0">
      <sharedItems/>
    </cacheField>
    <cacheField name="booking_date" numFmtId="14">
      <sharedItems containsSemiMixedTypes="0" containsNonDate="0" containsDate="1" containsString="0" minDate="2024-11-07T00:00:00" maxDate="2026-06-28T00:00:00"/>
    </cacheField>
    <cacheField name="appointment_date" numFmtId="14">
      <sharedItems containsSemiMixedTypes="0" containsNonDate="0" containsDate="1" containsString="0" minDate="2025-01-01T00:00:00" maxDate="2026-07-01T00:00:00"/>
    </cacheField>
    <cacheField name="appointment_day" numFmtId="0">
      <sharedItems/>
    </cacheField>
    <cacheField name="appointment_time" numFmtId="0">
      <sharedItems/>
    </cacheField>
    <cacheField name="booking lead group" numFmtId="0">
      <sharedItems count="4">
        <s v="8-14 days"/>
        <s v="0-7 days"/>
        <s v="31-60 days"/>
        <s v="15-30 days"/>
      </sharedItems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minder_sent" numFmtId="0">
      <sharedItems count="2">
        <s v="Yes"/>
        <s v="No"/>
      </sharedItems>
    </cacheField>
    <cacheField name="reminder_channel" numFmtId="0">
      <sharedItems/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 count="63">
        <n v="29"/>
        <n v="42"/>
        <n v="11"/>
        <n v="35"/>
        <n v="27"/>
        <n v="36"/>
        <n v="30"/>
        <n v="21"/>
        <n v="20"/>
        <n v="33"/>
        <n v="15"/>
        <n v="16"/>
        <n v="22"/>
        <n v="31"/>
        <n v="25"/>
        <n v="19"/>
        <n v="13"/>
        <n v="17"/>
        <n v="32"/>
        <n v="23"/>
        <n v="24"/>
        <n v="12"/>
        <n v="10"/>
        <n v="18"/>
        <n v="39"/>
        <n v="28"/>
        <n v="26"/>
        <n v="2"/>
        <m/>
        <n v="45"/>
        <n v="50"/>
        <n v="37"/>
        <n v="3"/>
        <n v="53"/>
        <n v="54"/>
        <n v="38"/>
        <n v="14"/>
        <n v="7"/>
        <n v="41"/>
        <n v="44"/>
        <n v="49"/>
        <n v="56"/>
        <n v="5"/>
        <n v="46"/>
        <n v="48"/>
        <n v="8"/>
        <n v="6"/>
        <n v="34"/>
        <n v="4"/>
        <n v="40"/>
        <n v="43"/>
        <n v="9"/>
        <n v="47"/>
        <n v="51"/>
        <n v="52"/>
        <n v="58"/>
        <n v="64"/>
        <n v="60"/>
        <n v="59"/>
        <n v="55"/>
        <n v="57"/>
        <n v="67"/>
        <n v="68"/>
      </sharedItems>
    </cacheField>
    <cacheField name="appointment_outcome" numFmtId="0">
      <sharedItems count="3">
        <s v="No-Show"/>
        <s v="Attend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s v="HC-00001"/>
    <s v="P-1613"/>
    <s v="Female"/>
    <n v="39"/>
    <x v="0"/>
    <s v="Follow-up"/>
    <d v="2025-02-06T00:00:00"/>
    <d v="2025-02-18T00:00:00"/>
    <s v="Tuesday"/>
    <s v="Afternoon"/>
    <x v="0"/>
    <n v="12"/>
    <n v="2"/>
    <x v="0"/>
    <x v="0"/>
    <s v="WhatsApp"/>
    <n v="19.3"/>
    <x v="0"/>
    <x v="0"/>
  </r>
  <r>
    <s v="HC-00002"/>
    <s v="P-0813"/>
    <s v="Male"/>
    <n v="31"/>
    <x v="1"/>
    <s v="Specialist Consultation"/>
    <d v="2026-02-25T00:00:00"/>
    <d v="2026-02-27T00:00:00"/>
    <s v="Friday"/>
    <s v="Morning"/>
    <x v="1"/>
    <n v="2"/>
    <n v="6"/>
    <x v="0"/>
    <x v="0"/>
    <s v="SMS"/>
    <n v="14.3"/>
    <x v="1"/>
    <x v="1"/>
  </r>
  <r>
    <s v="HC-00003"/>
    <s v="P-1366"/>
    <s v="Female"/>
    <n v="50"/>
    <x v="2"/>
    <s v="General Consultation"/>
    <d v="2025-11-16T00:00:00"/>
    <d v="2025-12-24T00:00:00"/>
    <s v="Wednesday"/>
    <s v="Morning"/>
    <x v="2"/>
    <n v="38"/>
    <n v="5"/>
    <x v="1"/>
    <x v="0"/>
    <s v="SMS"/>
    <n v="11.4"/>
    <x v="2"/>
    <x v="0"/>
  </r>
  <r>
    <s v="HC-00004"/>
    <s v="P-1031"/>
    <s v="Male"/>
    <n v="59"/>
    <x v="3"/>
    <s v="Follow-up"/>
    <d v="2025-07-18T00:00:00"/>
    <d v="2025-08-28T00:00:00"/>
    <s v="Thursday"/>
    <s v="Evening"/>
    <x v="2"/>
    <n v="41"/>
    <n v="3"/>
    <x v="1"/>
    <x v="0"/>
    <s v="SMS"/>
    <n v="7.4"/>
    <x v="3"/>
    <x v="1"/>
  </r>
  <r>
    <s v="HC-00005"/>
    <s v="P-1458"/>
    <s v="Female"/>
    <n v="34"/>
    <x v="1"/>
    <s v="Follow-up"/>
    <d v="2025-07-09T00:00:00"/>
    <d v="2025-08-25T00:00:00"/>
    <s v="Monday"/>
    <s v="Afternoon"/>
    <x v="2"/>
    <n v="47"/>
    <n v="3"/>
    <x v="1"/>
    <x v="0"/>
    <s v="Email"/>
    <n v="5.6"/>
    <x v="4"/>
    <x v="0"/>
  </r>
  <r>
    <s v="HC-00006"/>
    <s v="P-0523"/>
    <s v="Male"/>
    <n v="66"/>
    <x v="4"/>
    <s v="Specialist Consultation"/>
    <d v="2026-02-16T00:00:00"/>
    <d v="2026-04-14T00:00:00"/>
    <s v="Tuesday"/>
    <s v="Morning"/>
    <x v="2"/>
    <n v="57"/>
    <n v="4"/>
    <x v="2"/>
    <x v="1"/>
    <s v="None"/>
    <n v="3.1"/>
    <x v="5"/>
    <x v="0"/>
  </r>
  <r>
    <s v="HC-00007"/>
    <s v="P-0776"/>
    <s v="Male"/>
    <n v="58"/>
    <x v="3"/>
    <s v="Diagnostic Test"/>
    <d v="2025-01-17T00:00:00"/>
    <d v="2025-02-16T00:00:00"/>
    <s v="Sunday"/>
    <s v="Afternoon"/>
    <x v="3"/>
    <n v="30"/>
    <n v="4"/>
    <x v="1"/>
    <x v="0"/>
    <s v="WhatsApp"/>
    <n v="8.1999999999999993"/>
    <x v="6"/>
    <x v="0"/>
  </r>
  <r>
    <s v="HC-00008"/>
    <s v="P-0927"/>
    <s v="Female"/>
    <n v="28"/>
    <x v="1"/>
    <s v="Specialist Consultation"/>
    <d v="2025-11-27T00:00:00"/>
    <d v="2026-01-16T00:00:00"/>
    <s v="Friday"/>
    <s v="Afternoon"/>
    <x v="2"/>
    <n v="50"/>
    <n v="6"/>
    <x v="1"/>
    <x v="0"/>
    <s v="SMS"/>
    <n v="19.2"/>
    <x v="7"/>
    <x v="1"/>
  </r>
  <r>
    <s v="HC-00009"/>
    <s v="P-0388"/>
    <s v="Male"/>
    <n v="77"/>
    <x v="4"/>
    <s v="Follow-up"/>
    <d v="2025-03-09T00:00:00"/>
    <d v="2025-04-21T00:00:00"/>
    <s v="Monday"/>
    <s v="Afternoon"/>
    <x v="2"/>
    <n v="43"/>
    <n v="3"/>
    <x v="0"/>
    <x v="0"/>
    <s v="SMS"/>
    <n v="10.1"/>
    <x v="4"/>
    <x v="0"/>
  </r>
  <r>
    <s v="HC-00010"/>
    <s v="P-0371"/>
    <s v="Female"/>
    <n v="20"/>
    <x v="5"/>
    <s v="Follow-up"/>
    <d v="2025-02-05T00:00:00"/>
    <d v="2025-02-21T00:00:00"/>
    <s v="Friday"/>
    <s v="Afternoon"/>
    <x v="3"/>
    <n v="16"/>
    <n v="2"/>
    <x v="0"/>
    <x v="0"/>
    <s v="SMS"/>
    <n v="28"/>
    <x v="8"/>
    <x v="1"/>
  </r>
  <r>
    <s v="HC-00011"/>
    <s v="P-1070"/>
    <s v="Male"/>
    <n v="59"/>
    <x v="3"/>
    <s v="Follow-up"/>
    <d v="2025-08-25T00:00:00"/>
    <d v="2025-10-15T00:00:00"/>
    <s v="Wednesday"/>
    <s v="Morning"/>
    <x v="2"/>
    <n v="51"/>
    <n v="6"/>
    <x v="1"/>
    <x v="0"/>
    <s v="Email"/>
    <n v="12.8"/>
    <x v="9"/>
    <x v="0"/>
  </r>
  <r>
    <s v="HC-00012"/>
    <s v="P-0435"/>
    <s v="Female"/>
    <n v="45"/>
    <x v="2"/>
    <s v="Follow-up"/>
    <d v="2026-06-14T00:00:00"/>
    <d v="2026-06-17T00:00:00"/>
    <s v="Wednesday"/>
    <s v="Morning"/>
    <x v="1"/>
    <n v="3"/>
    <n v="6"/>
    <x v="0"/>
    <x v="0"/>
    <s v="Email"/>
    <n v="10.3"/>
    <x v="10"/>
    <x v="2"/>
  </r>
  <r>
    <s v="HC-00013"/>
    <s v="P-0433"/>
    <s v="Male"/>
    <n v="59"/>
    <x v="3"/>
    <s v="General Consultation"/>
    <d v="2026-01-01T00:00:00"/>
    <d v="2026-02-06T00:00:00"/>
    <s v="Friday"/>
    <s v="Morning"/>
    <x v="2"/>
    <n v="36"/>
    <n v="2"/>
    <x v="1"/>
    <x v="1"/>
    <s v="None"/>
    <n v="28.3"/>
    <x v="11"/>
    <x v="2"/>
  </r>
  <r>
    <s v="HC-00014"/>
    <s v="P-0326"/>
    <s v="Female"/>
    <n v="66"/>
    <x v="4"/>
    <s v="Follow-up"/>
    <d v="2025-12-25T00:00:00"/>
    <d v="2026-02-20T00:00:00"/>
    <s v="Friday"/>
    <s v="Afternoon"/>
    <x v="2"/>
    <n v="57"/>
    <n v="1"/>
    <x v="0"/>
    <x v="1"/>
    <s v="None"/>
    <n v="5.5"/>
    <x v="12"/>
    <x v="1"/>
  </r>
  <r>
    <s v="HC-00015"/>
    <s v="P-1342"/>
    <s v="Male"/>
    <n v="61"/>
    <x v="3"/>
    <s v="Specialist Consultation"/>
    <d v="2025-12-18T00:00:00"/>
    <d v="2026-01-27T00:00:00"/>
    <s v="Tuesday"/>
    <s v="Afternoon"/>
    <x v="2"/>
    <n v="40"/>
    <n v="3"/>
    <x v="0"/>
    <x v="0"/>
    <s v="SMS"/>
    <n v="6.6"/>
    <x v="13"/>
    <x v="1"/>
  </r>
  <r>
    <s v="HC-00016"/>
    <s v="P-0353"/>
    <s v="Female"/>
    <n v="58"/>
    <x v="3"/>
    <s v="Follow-up"/>
    <d v="2026-01-08T00:00:00"/>
    <d v="2026-03-06T00:00:00"/>
    <s v="Friday"/>
    <s v="Afternoon"/>
    <x v="2"/>
    <n v="57"/>
    <n v="2"/>
    <x v="0"/>
    <x v="0"/>
    <s v="SMS"/>
    <n v="8.6999999999999993"/>
    <x v="14"/>
    <x v="0"/>
  </r>
  <r>
    <s v="HC-00017"/>
    <s v="P-0930"/>
    <s v="Male"/>
    <n v="70"/>
    <x v="4"/>
    <s v="Specialist Consultation"/>
    <d v="2025-10-05T00:00:00"/>
    <d v="2025-10-08T00:00:00"/>
    <s v="Wednesday"/>
    <s v="Afternoon"/>
    <x v="1"/>
    <n v="3"/>
    <n v="4"/>
    <x v="3"/>
    <x v="1"/>
    <s v="None"/>
    <n v="13.8"/>
    <x v="8"/>
    <x v="1"/>
  </r>
  <r>
    <s v="HC-00018"/>
    <s v="P-0859"/>
    <s v="Female"/>
    <n v="62"/>
    <x v="3"/>
    <s v="Follow-up"/>
    <d v="2025-02-07T00:00:00"/>
    <d v="2025-03-11T00:00:00"/>
    <s v="Tuesday"/>
    <s v="Morning"/>
    <x v="2"/>
    <n v="32"/>
    <n v="1"/>
    <x v="0"/>
    <x v="0"/>
    <s v="SMS"/>
    <n v="14"/>
    <x v="5"/>
    <x v="1"/>
  </r>
  <r>
    <s v="HC-00019"/>
    <s v="P-0231"/>
    <s v="Female"/>
    <n v="69"/>
    <x v="4"/>
    <s v="General Consultation"/>
    <d v="2026-02-16T00:00:00"/>
    <d v="2026-04-04T00:00:00"/>
    <s v="Saturday"/>
    <s v="Morning"/>
    <x v="2"/>
    <n v="47"/>
    <n v="3"/>
    <x v="1"/>
    <x v="0"/>
    <s v="WhatsApp"/>
    <n v="5.0999999999999996"/>
    <x v="6"/>
    <x v="1"/>
  </r>
  <r>
    <s v="HC-00020"/>
    <s v="P-0106"/>
    <s v="Male"/>
    <n v="43"/>
    <x v="0"/>
    <s v="General Consultation"/>
    <d v="2025-07-26T00:00:00"/>
    <d v="2025-09-03T00:00:00"/>
    <s v="Wednesday"/>
    <s v="Morning"/>
    <x v="2"/>
    <n v="39"/>
    <n v="4"/>
    <x v="0"/>
    <x v="0"/>
    <s v="WhatsApp"/>
    <n v="9.4"/>
    <x v="15"/>
    <x v="0"/>
  </r>
  <r>
    <s v="HC-00021"/>
    <s v="P-1330"/>
    <s v="Female"/>
    <n v="30"/>
    <x v="1"/>
    <s v="General Consultation"/>
    <d v="2025-08-09T00:00:00"/>
    <d v="2025-10-01T00:00:00"/>
    <s v="Wednesday"/>
    <s v="Morning"/>
    <x v="2"/>
    <n v="53"/>
    <n v="1"/>
    <x v="0"/>
    <x v="0"/>
    <s v="WhatsApp"/>
    <n v="19.899999999999999"/>
    <x v="16"/>
    <x v="1"/>
  </r>
  <r>
    <s v="HC-00022"/>
    <s v="P-0597"/>
    <s v="Female"/>
    <n v="32"/>
    <x v="1"/>
    <s v="General Consultation"/>
    <d v="2025-06-24T00:00:00"/>
    <d v="2025-07-22T00:00:00"/>
    <s v="Tuesday"/>
    <s v="Afternoon"/>
    <x v="3"/>
    <n v="28"/>
    <n v="0"/>
    <x v="0"/>
    <x v="1"/>
    <s v="None"/>
    <n v="2.9"/>
    <x v="12"/>
    <x v="1"/>
  </r>
  <r>
    <s v="HC-00023"/>
    <s v="P-1623"/>
    <s v="Male"/>
    <n v="56"/>
    <x v="3"/>
    <s v="Follow-up"/>
    <d v="2025-02-28T00:00:00"/>
    <d v="2025-04-10T00:00:00"/>
    <s v="Thursday"/>
    <s v="Evening"/>
    <x v="2"/>
    <n v="41"/>
    <n v="2"/>
    <x v="0"/>
    <x v="1"/>
    <s v="None"/>
    <n v="19.7"/>
    <x v="17"/>
    <x v="0"/>
  </r>
  <r>
    <s v="HC-00024"/>
    <s v="P-0863"/>
    <s v="Female"/>
    <n v="51"/>
    <x v="2"/>
    <s v="General Consultation"/>
    <d v="2026-04-27T00:00:00"/>
    <d v="2026-05-22T00:00:00"/>
    <s v="Friday"/>
    <s v="Morning"/>
    <x v="3"/>
    <n v="25"/>
    <n v="0"/>
    <x v="0"/>
    <x v="1"/>
    <s v="None"/>
    <n v="11.2"/>
    <x v="11"/>
    <x v="1"/>
  </r>
  <r>
    <s v="HC-00025"/>
    <s v="P-0623"/>
    <s v="Male"/>
    <n v="22"/>
    <x v="5"/>
    <s v="General Consultation"/>
    <d v="2026-01-09T00:00:00"/>
    <d v="2026-03-03T00:00:00"/>
    <s v="Tuesday"/>
    <s v="Afternoon"/>
    <x v="2"/>
    <n v="53"/>
    <n v="6"/>
    <x v="1"/>
    <x v="1"/>
    <s v="None"/>
    <n v="11.1"/>
    <x v="18"/>
    <x v="1"/>
  </r>
  <r>
    <s v="HC-00026"/>
    <s v="P-0270"/>
    <s v="Female"/>
    <n v="30"/>
    <x v="1"/>
    <s v="General Consultation"/>
    <d v="2025-12-11T00:00:00"/>
    <d v="2025-12-18T00:00:00"/>
    <s v="Thursday"/>
    <s v="Morning"/>
    <x v="1"/>
    <n v="7"/>
    <n v="2"/>
    <x v="0"/>
    <x v="1"/>
    <s v="None"/>
    <n v="5.7"/>
    <x v="5"/>
    <x v="0"/>
  </r>
  <r>
    <s v="HC-00027"/>
    <s v="P-0224"/>
    <s v="Male"/>
    <n v="78"/>
    <x v="4"/>
    <s v="Specialist Consultation"/>
    <d v="2025-07-24T00:00:00"/>
    <d v="2025-08-08T00:00:00"/>
    <s v="Friday"/>
    <s v="Afternoon"/>
    <x v="3"/>
    <n v="15"/>
    <n v="4"/>
    <x v="0"/>
    <x v="0"/>
    <s v="SMS"/>
    <n v="13.3"/>
    <x v="19"/>
    <x v="1"/>
  </r>
  <r>
    <s v="HC-00028"/>
    <s v="P-0640"/>
    <s v="Male"/>
    <n v="63"/>
    <x v="3"/>
    <s v="Specialist Consultation"/>
    <d v="2026-03-21T00:00:00"/>
    <d v="2026-03-26T00:00:00"/>
    <s v="Thursday"/>
    <s v="Morning"/>
    <x v="1"/>
    <n v="5"/>
    <n v="5"/>
    <x v="0"/>
    <x v="0"/>
    <s v="WhatsApp"/>
    <n v="5.3"/>
    <x v="20"/>
    <x v="1"/>
  </r>
  <r>
    <s v="HC-00029"/>
    <s v="P-0415"/>
    <s v="Female"/>
    <n v="65"/>
    <x v="4"/>
    <s v="General Consultation"/>
    <d v="2025-09-13T00:00:00"/>
    <d v="2025-10-25T00:00:00"/>
    <s v="Saturday"/>
    <s v="Afternoon"/>
    <x v="2"/>
    <n v="42"/>
    <n v="0"/>
    <x v="0"/>
    <x v="0"/>
    <s v="WhatsApp"/>
    <n v="4.0999999999999996"/>
    <x v="11"/>
    <x v="2"/>
  </r>
  <r>
    <s v="HC-00030"/>
    <s v="P-0983"/>
    <s v="Female"/>
    <n v="30"/>
    <x v="1"/>
    <s v="General Consultation"/>
    <d v="2025-08-17T00:00:00"/>
    <d v="2025-08-31T00:00:00"/>
    <s v="Sunday"/>
    <s v="Morning"/>
    <x v="0"/>
    <n v="14"/>
    <n v="2"/>
    <x v="1"/>
    <x v="1"/>
    <s v="None"/>
    <n v="5"/>
    <x v="21"/>
    <x v="0"/>
  </r>
  <r>
    <s v="HC-00031"/>
    <s v="P-0020"/>
    <s v="Male"/>
    <n v="22"/>
    <x v="5"/>
    <s v="General Consultation"/>
    <d v="2025-08-15T00:00:00"/>
    <d v="2025-09-03T00:00:00"/>
    <s v="Wednesday"/>
    <s v="Morning"/>
    <x v="3"/>
    <n v="19"/>
    <n v="1"/>
    <x v="0"/>
    <x v="0"/>
    <s v="SMS"/>
    <n v="8.9"/>
    <x v="9"/>
    <x v="1"/>
  </r>
  <r>
    <s v="HC-00032"/>
    <s v="P-1631"/>
    <s v="Male"/>
    <n v="36"/>
    <x v="0"/>
    <s v="General Consultation"/>
    <d v="2025-03-15T00:00:00"/>
    <d v="2025-05-05T00:00:00"/>
    <s v="Monday"/>
    <s v="Afternoon"/>
    <x v="2"/>
    <n v="51"/>
    <n v="1"/>
    <x v="0"/>
    <x v="0"/>
    <s v="SMS"/>
    <n v="9.3000000000000007"/>
    <x v="22"/>
    <x v="2"/>
  </r>
  <r>
    <s v="HC-00033"/>
    <s v="P-0816"/>
    <s v="Female"/>
    <n v="71"/>
    <x v="4"/>
    <s v="General Consultation"/>
    <d v="2025-01-30T00:00:00"/>
    <d v="2025-02-20T00:00:00"/>
    <s v="Thursday"/>
    <s v="Morning"/>
    <x v="3"/>
    <n v="21"/>
    <n v="3"/>
    <x v="1"/>
    <x v="0"/>
    <s v="SMS"/>
    <n v="11.5"/>
    <x v="17"/>
    <x v="1"/>
  </r>
  <r>
    <s v="HC-00034"/>
    <s v="P-0581"/>
    <s v="Female"/>
    <n v="49"/>
    <x v="2"/>
    <s v="General Consultation"/>
    <d v="2025-10-22T00:00:00"/>
    <d v="2025-10-30T00:00:00"/>
    <s v="Thursday"/>
    <s v="Afternoon"/>
    <x v="0"/>
    <n v="8"/>
    <n v="3"/>
    <x v="0"/>
    <x v="0"/>
    <s v="Email"/>
    <n v="8.1999999999999993"/>
    <x v="17"/>
    <x v="0"/>
  </r>
  <r>
    <s v="HC-00035"/>
    <s v="P-0074"/>
    <s v="Female"/>
    <n v="67"/>
    <x v="4"/>
    <s v="General Consultation"/>
    <d v="2026-04-29T00:00:00"/>
    <d v="2026-04-30T00:00:00"/>
    <s v="Thursday"/>
    <s v="Morning"/>
    <x v="1"/>
    <n v="1"/>
    <n v="2"/>
    <x v="0"/>
    <x v="0"/>
    <s v="SMS"/>
    <n v="7.5"/>
    <x v="0"/>
    <x v="1"/>
  </r>
  <r>
    <s v="HC-00036"/>
    <s v="P-0010"/>
    <s v="Male"/>
    <n v="48"/>
    <x v="2"/>
    <s v="Diagnostic Test"/>
    <d v="2025-01-22T00:00:00"/>
    <d v="2025-02-04T00:00:00"/>
    <s v="Tuesday"/>
    <s v="Evening"/>
    <x v="0"/>
    <n v="13"/>
    <n v="4"/>
    <x v="1"/>
    <x v="0"/>
    <s v="SMS"/>
    <n v="1.5"/>
    <x v="12"/>
    <x v="1"/>
  </r>
  <r>
    <s v="HC-00037"/>
    <s v="P-0343"/>
    <s v="Male"/>
    <n v="48"/>
    <x v="2"/>
    <s v="Follow-up"/>
    <d v="2026-02-18T00:00:00"/>
    <d v="2026-04-14T00:00:00"/>
    <s v="Tuesday"/>
    <s v="Morning"/>
    <x v="2"/>
    <n v="55"/>
    <n v="5"/>
    <x v="2"/>
    <x v="0"/>
    <s v="SMS"/>
    <n v="22.6"/>
    <x v="23"/>
    <x v="0"/>
  </r>
  <r>
    <s v="HC-00038"/>
    <s v="P-1214"/>
    <s v="Female"/>
    <n v="55"/>
    <x v="3"/>
    <s v="Specialist Consultation"/>
    <d v="2026-02-23T00:00:00"/>
    <d v="2026-03-28T00:00:00"/>
    <s v="Saturday"/>
    <s v="Afternoon"/>
    <x v="2"/>
    <n v="33"/>
    <n v="1"/>
    <x v="1"/>
    <x v="0"/>
    <s v="SMS"/>
    <n v="7.1"/>
    <x v="24"/>
    <x v="2"/>
  </r>
  <r>
    <s v="HC-00039"/>
    <s v="P-0072"/>
    <s v="Male"/>
    <n v="78"/>
    <x v="4"/>
    <s v="General Consultation"/>
    <d v="2025-04-02T00:00:00"/>
    <d v="2025-06-01T00:00:00"/>
    <s v="Sunday"/>
    <s v="Afternoon"/>
    <x v="2"/>
    <n v="60"/>
    <n v="6"/>
    <x v="1"/>
    <x v="0"/>
    <s v="SMS"/>
    <m/>
    <x v="1"/>
    <x v="2"/>
  </r>
  <r>
    <s v="HC-00040"/>
    <s v="P-1727"/>
    <s v="Male"/>
    <n v="45"/>
    <x v="2"/>
    <s v="General Consultation"/>
    <d v="2025-11-28T00:00:00"/>
    <d v="2025-12-11T00:00:00"/>
    <s v="Thursday"/>
    <s v="Afternoon"/>
    <x v="0"/>
    <n v="13"/>
    <n v="5"/>
    <x v="0"/>
    <x v="0"/>
    <s v="SMS"/>
    <n v="25.6"/>
    <x v="25"/>
    <x v="1"/>
  </r>
  <r>
    <s v="HC-00041"/>
    <s v="P-0183"/>
    <s v="Male"/>
    <n v="55"/>
    <x v="3"/>
    <s v="Diagnostic Test"/>
    <d v="2025-03-11T00:00:00"/>
    <d v="2025-04-01T00:00:00"/>
    <s v="Tuesday"/>
    <s v="Morning"/>
    <x v="3"/>
    <n v="21"/>
    <n v="1"/>
    <x v="0"/>
    <x v="0"/>
    <s v="SMS"/>
    <n v="15.4"/>
    <x v="26"/>
    <x v="1"/>
  </r>
  <r>
    <s v="HC-00042"/>
    <s v="P-1780"/>
    <s v="Female"/>
    <n v="75"/>
    <x v="4"/>
    <s v="General Consultation"/>
    <d v="2026-02-09T00:00:00"/>
    <d v="2026-02-18T00:00:00"/>
    <s v="Wednesday"/>
    <s v="Afternoon"/>
    <x v="0"/>
    <n v="9"/>
    <n v="5"/>
    <x v="0"/>
    <x v="1"/>
    <s v="None"/>
    <n v="1.4"/>
    <x v="23"/>
    <x v="1"/>
  </r>
  <r>
    <s v="HC-00043"/>
    <s v="P-0612"/>
    <s v="Female"/>
    <n v="41"/>
    <x v="0"/>
    <s v="Follow-up"/>
    <d v="2025-12-25T00:00:00"/>
    <d v="2026-01-18T00:00:00"/>
    <s v="Sunday"/>
    <s v="Morning"/>
    <x v="3"/>
    <n v="24"/>
    <n v="2"/>
    <x v="1"/>
    <x v="1"/>
    <s v="None"/>
    <n v="3.6"/>
    <x v="20"/>
    <x v="1"/>
  </r>
  <r>
    <s v="HC-00044"/>
    <s v="P-0834"/>
    <s v="Female"/>
    <n v="70"/>
    <x v="4"/>
    <s v="Diagnostic Test"/>
    <d v="2025-06-09T00:00:00"/>
    <d v="2025-07-13T00:00:00"/>
    <s v="Sunday"/>
    <s v="Afternoon"/>
    <x v="2"/>
    <n v="34"/>
    <n v="2"/>
    <x v="0"/>
    <x v="0"/>
    <s v="SMS"/>
    <n v="2.6"/>
    <x v="2"/>
    <x v="0"/>
  </r>
  <r>
    <s v="HC-00045"/>
    <s v="P-1320"/>
    <s v="Male"/>
    <n v="51"/>
    <x v="2"/>
    <s v="Follow-up"/>
    <d v="2024-12-20T00:00:00"/>
    <d v="2025-02-07T00:00:00"/>
    <s v="Friday"/>
    <s v="Morning"/>
    <x v="2"/>
    <n v="49"/>
    <n v="4"/>
    <x v="0"/>
    <x v="0"/>
    <s v="WhatsApp"/>
    <n v="12.8"/>
    <x v="3"/>
    <x v="1"/>
  </r>
  <r>
    <s v="HC-00046"/>
    <s v="P-0317"/>
    <s v="Female"/>
    <n v="73"/>
    <x v="4"/>
    <s v="General Consultation"/>
    <d v="2026-05-24T00:00:00"/>
    <d v="2026-06-15T00:00:00"/>
    <s v="Monday"/>
    <s v="Afternoon"/>
    <x v="3"/>
    <n v="22"/>
    <n v="2"/>
    <x v="0"/>
    <x v="0"/>
    <s v="WhatsApp"/>
    <n v="6"/>
    <x v="19"/>
    <x v="1"/>
  </r>
  <r>
    <s v="HC-00047"/>
    <s v="P-0276"/>
    <s v="Female"/>
    <n v="47"/>
    <x v="2"/>
    <s v="Follow-up"/>
    <d v="2025-07-16T00:00:00"/>
    <d v="2025-09-01T00:00:00"/>
    <s v="Monday"/>
    <s v="Afternoon"/>
    <x v="2"/>
    <n v="47"/>
    <n v="4"/>
    <x v="2"/>
    <x v="1"/>
    <s v="None"/>
    <n v="2.4"/>
    <x v="11"/>
    <x v="1"/>
  </r>
  <r>
    <s v="HC-00048"/>
    <s v="P-1213"/>
    <s v="Male"/>
    <n v="57"/>
    <x v="3"/>
    <s v="General Consultation"/>
    <d v="2026-03-26T00:00:00"/>
    <d v="2026-05-03T00:00:00"/>
    <s v="Sunday"/>
    <s v="Morning"/>
    <x v="2"/>
    <n v="38"/>
    <n v="3"/>
    <x v="0"/>
    <x v="0"/>
    <s v="WhatsApp"/>
    <n v="2.6"/>
    <x v="8"/>
    <x v="1"/>
  </r>
  <r>
    <s v="HC-00049"/>
    <s v="P-0913"/>
    <s v="Male"/>
    <n v="38"/>
    <x v="0"/>
    <s v="General Consultation"/>
    <d v="2025-12-20T00:00:00"/>
    <d v="2026-01-06T00:00:00"/>
    <s v="Tuesday"/>
    <s v="Morning"/>
    <x v="3"/>
    <n v="17"/>
    <n v="3"/>
    <x v="0"/>
    <x v="0"/>
    <s v="SMS"/>
    <n v="4.8"/>
    <x v="18"/>
    <x v="1"/>
  </r>
  <r>
    <s v="HC-00050"/>
    <s v="P-1454"/>
    <s v="Female"/>
    <n v="58"/>
    <x v="3"/>
    <s v="General Consultation"/>
    <d v="2026-01-05T00:00:00"/>
    <d v="2026-03-01T00:00:00"/>
    <s v="Sunday"/>
    <s v="Morning"/>
    <x v="2"/>
    <n v="55"/>
    <n v="3"/>
    <x v="0"/>
    <x v="0"/>
    <s v="Email"/>
    <n v="2.6"/>
    <x v="7"/>
    <x v="0"/>
  </r>
  <r>
    <s v="HC-00051"/>
    <s v="P-0843"/>
    <s v="Female"/>
    <n v="38"/>
    <x v="0"/>
    <s v="Diagnostic Test"/>
    <d v="2026-01-24T00:00:00"/>
    <d v="2026-02-19T00:00:00"/>
    <s v="Thursday"/>
    <s v="Afternoon"/>
    <x v="3"/>
    <n v="26"/>
    <n v="4"/>
    <x v="0"/>
    <x v="1"/>
    <s v="None"/>
    <n v="8.3000000000000007"/>
    <x v="10"/>
    <x v="0"/>
  </r>
  <r>
    <s v="HC-00052"/>
    <s v="P-1002"/>
    <s v="Female"/>
    <n v="56"/>
    <x v="3"/>
    <s v="Follow-up"/>
    <d v="2025-04-08T00:00:00"/>
    <d v="2025-04-17T00:00:00"/>
    <s v="Thursday"/>
    <s v="Morning"/>
    <x v="0"/>
    <n v="9"/>
    <n v="1"/>
    <x v="0"/>
    <x v="0"/>
    <s v="SMS"/>
    <n v="8.8000000000000007"/>
    <x v="27"/>
    <x v="1"/>
  </r>
  <r>
    <s v="HC-00053"/>
    <s v="P-0584"/>
    <s v="Female"/>
    <n v="67"/>
    <x v="4"/>
    <s v="General Consultation"/>
    <d v="2025-05-21T00:00:00"/>
    <d v="2025-07-18T00:00:00"/>
    <s v="Friday"/>
    <s v="Afternoon"/>
    <x v="2"/>
    <n v="58"/>
    <n v="3"/>
    <x v="2"/>
    <x v="0"/>
    <s v="SMS"/>
    <n v="7.5"/>
    <x v="19"/>
    <x v="0"/>
  </r>
  <r>
    <s v="HC-00054"/>
    <s v="P-0633"/>
    <s v="Female"/>
    <n v="45"/>
    <x v="2"/>
    <s v="General Consultation"/>
    <d v="2025-07-19T00:00:00"/>
    <d v="2025-09-12T00:00:00"/>
    <s v="Friday"/>
    <s v="Afternoon"/>
    <x v="2"/>
    <n v="55"/>
    <n v="4"/>
    <x v="1"/>
    <x v="0"/>
    <s v="Email"/>
    <n v="2.5"/>
    <x v="25"/>
    <x v="1"/>
  </r>
  <r>
    <s v="HC-00055"/>
    <s v="P-1767"/>
    <s v="Female"/>
    <n v="45"/>
    <x v="2"/>
    <s v="Follow-up"/>
    <d v="2025-09-26T00:00:00"/>
    <d v="2025-09-29T00:00:00"/>
    <s v="Monday"/>
    <s v="Evening"/>
    <x v="1"/>
    <n v="3"/>
    <n v="2"/>
    <x v="0"/>
    <x v="1"/>
    <s v="None"/>
    <n v="11.3"/>
    <x v="28"/>
    <x v="1"/>
  </r>
  <r>
    <s v="HC-00056"/>
    <s v="P-0601"/>
    <s v="Female"/>
    <n v="38"/>
    <x v="0"/>
    <s v="Diagnostic Test"/>
    <d v="2024-11-30T00:00:00"/>
    <d v="2025-01-24T00:00:00"/>
    <s v="Friday"/>
    <s v="Morning"/>
    <x v="2"/>
    <n v="55"/>
    <n v="4"/>
    <x v="1"/>
    <x v="0"/>
    <s v="WhatsApp"/>
    <n v="4.7"/>
    <x v="10"/>
    <x v="0"/>
  </r>
  <r>
    <s v="HC-00057"/>
    <s v="P-1599"/>
    <s v="Male"/>
    <n v="64"/>
    <x v="3"/>
    <s v="General Consultation"/>
    <d v="2025-08-30T00:00:00"/>
    <d v="2025-10-26T00:00:00"/>
    <s v="Sunday"/>
    <s v="Morning"/>
    <x v="2"/>
    <n v="57"/>
    <n v="3"/>
    <x v="0"/>
    <x v="0"/>
    <s v="SMS"/>
    <n v="11.7"/>
    <x v="21"/>
    <x v="0"/>
  </r>
  <r>
    <s v="HC-00058"/>
    <s v="P-0795"/>
    <s v="Male"/>
    <n v="55"/>
    <x v="3"/>
    <s v="General Consultation"/>
    <d v="2025-02-04T00:00:00"/>
    <d v="2025-03-26T00:00:00"/>
    <s v="Wednesday"/>
    <s v="Morning"/>
    <x v="2"/>
    <n v="50"/>
    <n v="2"/>
    <x v="1"/>
    <x v="0"/>
    <s v="SMS"/>
    <n v="12.9"/>
    <x v="8"/>
    <x v="0"/>
  </r>
  <r>
    <s v="HC-00059"/>
    <s v="P-1117"/>
    <s v="Female"/>
    <n v="50"/>
    <x v="2"/>
    <s v="Specialist Consultation"/>
    <d v="2026-01-26T00:00:00"/>
    <d v="2026-02-10T00:00:00"/>
    <s v="Tuesday"/>
    <s v="Afternoon"/>
    <x v="3"/>
    <n v="15"/>
    <n v="4"/>
    <x v="0"/>
    <x v="0"/>
    <s v="Email"/>
    <n v="8.3000000000000007"/>
    <x v="21"/>
    <x v="2"/>
  </r>
  <r>
    <s v="HC-00060"/>
    <s v="P-0368"/>
    <s v="Male"/>
    <n v="19"/>
    <x v="5"/>
    <s v="Diagnostic Test"/>
    <d v="2025-12-01T00:00:00"/>
    <d v="2026-01-08T00:00:00"/>
    <s v="Thursday"/>
    <s v="Morning"/>
    <x v="2"/>
    <n v="38"/>
    <n v="0"/>
    <x v="0"/>
    <x v="0"/>
    <s v="SMS"/>
    <n v="11.9"/>
    <x v="21"/>
    <x v="0"/>
  </r>
  <r>
    <s v="HC-00061"/>
    <s v="P-0591"/>
    <s v="Female"/>
    <n v="24"/>
    <x v="5"/>
    <s v="Diagnostic Test"/>
    <d v="2026-04-17T00:00:00"/>
    <d v="2026-05-19T00:00:00"/>
    <s v="Tuesday"/>
    <s v="Morning"/>
    <x v="2"/>
    <n v="32"/>
    <n v="4"/>
    <x v="1"/>
    <x v="0"/>
    <s v="SMS"/>
    <n v="5.0999999999999996"/>
    <x v="15"/>
    <x v="1"/>
  </r>
  <r>
    <s v="HC-00062"/>
    <s v="P-0765"/>
    <s v="Male"/>
    <n v="18"/>
    <x v="5"/>
    <s v="General Consultation"/>
    <d v="2026-01-05T00:00:00"/>
    <d v="2026-02-11T00:00:00"/>
    <s v="Wednesday"/>
    <s v="Morning"/>
    <x v="2"/>
    <n v="37"/>
    <n v="4"/>
    <x v="0"/>
    <x v="0"/>
    <s v="SMS"/>
    <n v="4"/>
    <x v="29"/>
    <x v="1"/>
  </r>
  <r>
    <s v="HC-00063"/>
    <s v="P-1366"/>
    <s v="Male"/>
    <n v="71"/>
    <x v="4"/>
    <s v="General Consultation"/>
    <d v="2025-06-13T00:00:00"/>
    <d v="2025-07-20T00:00:00"/>
    <s v="Sunday"/>
    <s v="Afternoon"/>
    <x v="2"/>
    <n v="37"/>
    <n v="3"/>
    <x v="0"/>
    <x v="1"/>
    <s v="None"/>
    <n v="4.9000000000000004"/>
    <x v="30"/>
    <x v="0"/>
  </r>
  <r>
    <s v="HC-00064"/>
    <s v="P-1482"/>
    <s v="Male"/>
    <n v="71"/>
    <x v="4"/>
    <s v="Follow-up"/>
    <d v="2026-05-06T00:00:00"/>
    <d v="2026-06-13T00:00:00"/>
    <s v="Saturday"/>
    <s v="Evening"/>
    <x v="2"/>
    <n v="38"/>
    <n v="3"/>
    <x v="1"/>
    <x v="0"/>
    <s v="SMS"/>
    <n v="11.6"/>
    <x v="31"/>
    <x v="1"/>
  </r>
  <r>
    <s v="HC-00065"/>
    <s v="P-0988"/>
    <s v="Male"/>
    <n v="22"/>
    <x v="5"/>
    <s v="General Consultation"/>
    <d v="2025-07-13T00:00:00"/>
    <d v="2025-08-13T00:00:00"/>
    <s v="Wednesday"/>
    <s v="Morning"/>
    <x v="2"/>
    <n v="31"/>
    <n v="7"/>
    <x v="3"/>
    <x v="0"/>
    <s v="WhatsApp"/>
    <n v="2.9"/>
    <x v="13"/>
    <x v="0"/>
  </r>
  <r>
    <s v="HC-00066"/>
    <s v="P-1000"/>
    <s v="Female"/>
    <n v="20"/>
    <x v="5"/>
    <s v="Diagnostic Test"/>
    <d v="2025-05-16T00:00:00"/>
    <d v="2025-06-27T00:00:00"/>
    <s v="Friday"/>
    <s v="Morning"/>
    <x v="2"/>
    <n v="42"/>
    <n v="5"/>
    <x v="0"/>
    <x v="1"/>
    <s v="None"/>
    <n v="7.4"/>
    <x v="32"/>
    <x v="1"/>
  </r>
  <r>
    <s v="HC-00067"/>
    <s v="P-0075"/>
    <s v="Female"/>
    <n v="67"/>
    <x v="4"/>
    <s v="General Consultation"/>
    <d v="2026-04-08T00:00:00"/>
    <d v="2026-05-10T00:00:00"/>
    <s v="Sunday"/>
    <s v="Morning"/>
    <x v="2"/>
    <n v="32"/>
    <n v="1"/>
    <x v="0"/>
    <x v="0"/>
    <s v="SMS"/>
    <n v="5.3"/>
    <x v="33"/>
    <x v="0"/>
  </r>
  <r>
    <s v="HC-00068"/>
    <s v="P-0460"/>
    <s v="Female"/>
    <n v="51"/>
    <x v="2"/>
    <s v="Follow-up"/>
    <d v="2025-07-21T00:00:00"/>
    <d v="2025-07-22T00:00:00"/>
    <s v="Tuesday"/>
    <s v="Morning"/>
    <x v="1"/>
    <n v="1"/>
    <n v="0"/>
    <x v="0"/>
    <x v="0"/>
    <s v="Email"/>
    <n v="8.6999999999999993"/>
    <x v="25"/>
    <x v="1"/>
  </r>
  <r>
    <s v="HC-00069"/>
    <s v="P-1601"/>
    <s v="Female"/>
    <n v="37"/>
    <x v="0"/>
    <s v="Diagnostic Test"/>
    <d v="2025-02-09T00:00:00"/>
    <d v="2025-02-11T00:00:00"/>
    <s v="Tuesday"/>
    <s v="Evening"/>
    <x v="1"/>
    <n v="2"/>
    <n v="4"/>
    <x v="1"/>
    <x v="0"/>
    <s v="SMS"/>
    <n v="2.9"/>
    <x v="21"/>
    <x v="1"/>
  </r>
  <r>
    <s v="HC-00070"/>
    <s v="P-1260"/>
    <s v="Male"/>
    <n v="56"/>
    <x v="3"/>
    <s v="Diagnostic Test"/>
    <d v="2025-07-18T00:00:00"/>
    <d v="2025-09-14T00:00:00"/>
    <s v="Sunday"/>
    <s v="Afternoon"/>
    <x v="2"/>
    <n v="58"/>
    <n v="2"/>
    <x v="0"/>
    <x v="0"/>
    <s v="WhatsApp"/>
    <n v="8"/>
    <x v="34"/>
    <x v="0"/>
  </r>
  <r>
    <s v="HC-00071"/>
    <s v="P-1535"/>
    <s v="Female"/>
    <n v="32"/>
    <x v="1"/>
    <s v="Follow-up"/>
    <d v="2026-01-15T00:00:00"/>
    <d v="2026-03-11T00:00:00"/>
    <s v="Wednesday"/>
    <s v="Afternoon"/>
    <x v="2"/>
    <n v="55"/>
    <n v="1"/>
    <x v="1"/>
    <x v="0"/>
    <s v="WhatsApp"/>
    <n v="4.8"/>
    <x v="19"/>
    <x v="0"/>
  </r>
  <r>
    <s v="HC-00072"/>
    <s v="P-0630"/>
    <s v="Female"/>
    <n v="30"/>
    <x v="1"/>
    <s v="Diagnostic Test"/>
    <d v="2025-03-10T00:00:00"/>
    <d v="2025-04-14T00:00:00"/>
    <s v="Monday"/>
    <s v="Evening"/>
    <x v="2"/>
    <n v="35"/>
    <n v="3"/>
    <x v="1"/>
    <x v="0"/>
    <s v="SMS"/>
    <n v="11.3"/>
    <x v="9"/>
    <x v="0"/>
  </r>
  <r>
    <s v="HC-00073"/>
    <s v="P-1208"/>
    <s v="Male"/>
    <n v="41"/>
    <x v="0"/>
    <s v="General Consultation"/>
    <d v="2025-08-31T00:00:00"/>
    <d v="2025-09-10T00:00:00"/>
    <s v="Wednesday"/>
    <s v="Afternoon"/>
    <x v="0"/>
    <n v="10"/>
    <n v="4"/>
    <x v="0"/>
    <x v="0"/>
    <s v="WhatsApp"/>
    <n v="25.1"/>
    <x v="7"/>
    <x v="0"/>
  </r>
  <r>
    <s v="HC-00074"/>
    <s v="P-0337"/>
    <s v="Male"/>
    <n v="74"/>
    <x v="4"/>
    <s v="General Consultation"/>
    <d v="2025-01-24T00:00:00"/>
    <d v="2025-03-12T00:00:00"/>
    <s v="Wednesday"/>
    <s v="Morning"/>
    <x v="2"/>
    <n v="47"/>
    <n v="2"/>
    <x v="0"/>
    <x v="1"/>
    <s v="None"/>
    <n v="9.9"/>
    <x v="6"/>
    <x v="2"/>
  </r>
  <r>
    <s v="HC-00075"/>
    <s v="P-1292"/>
    <s v="Male"/>
    <n v="66"/>
    <x v="4"/>
    <s v="General Consultation"/>
    <d v="2026-01-02T00:00:00"/>
    <d v="2026-01-10T00:00:00"/>
    <s v="Saturday"/>
    <s v="Afternoon"/>
    <x v="0"/>
    <n v="8"/>
    <n v="4"/>
    <x v="0"/>
    <x v="0"/>
    <s v="SMS"/>
    <n v="8.4"/>
    <x v="18"/>
    <x v="1"/>
  </r>
  <r>
    <s v="HC-00076"/>
    <s v="P-0091"/>
    <s v="Male"/>
    <n v="29"/>
    <x v="1"/>
    <s v="Diagnostic Test"/>
    <d v="2025-08-25T00:00:00"/>
    <d v="2025-09-17T00:00:00"/>
    <s v="Wednesday"/>
    <s v="Morning"/>
    <x v="3"/>
    <n v="23"/>
    <n v="3"/>
    <x v="1"/>
    <x v="0"/>
    <s v="WhatsApp"/>
    <n v="7"/>
    <x v="9"/>
    <x v="1"/>
  </r>
  <r>
    <s v="HC-00077"/>
    <s v="P-1787"/>
    <s v="Male"/>
    <n v="53"/>
    <x v="2"/>
    <s v="Diagnostic Test"/>
    <d v="2025-06-10T00:00:00"/>
    <d v="2025-06-30T00:00:00"/>
    <s v="Monday"/>
    <s v="Morning"/>
    <x v="3"/>
    <n v="20"/>
    <n v="4"/>
    <x v="1"/>
    <x v="0"/>
    <s v="SMS"/>
    <n v="3.9"/>
    <x v="35"/>
    <x v="1"/>
  </r>
  <r>
    <s v="HC-00078"/>
    <s v="P-1561"/>
    <s v="Female"/>
    <n v="73"/>
    <x v="4"/>
    <s v="General Consultation"/>
    <d v="2025-05-04T00:00:00"/>
    <d v="2025-05-04T00:00:00"/>
    <s v="Sunday"/>
    <s v="Evening"/>
    <x v="1"/>
    <n v="0"/>
    <n v="6"/>
    <x v="3"/>
    <x v="1"/>
    <s v="None"/>
    <n v="2.7"/>
    <x v="26"/>
    <x v="1"/>
  </r>
  <r>
    <s v="HC-00079"/>
    <s v="P-1177"/>
    <s v="Male"/>
    <n v="77"/>
    <x v="4"/>
    <s v="General Consultation"/>
    <d v="2025-09-17T00:00:00"/>
    <d v="2025-11-05T00:00:00"/>
    <s v="Wednesday"/>
    <s v="Morning"/>
    <x v="2"/>
    <n v="49"/>
    <n v="4"/>
    <x v="1"/>
    <x v="0"/>
    <s v="WhatsApp"/>
    <n v="3.8"/>
    <x v="26"/>
    <x v="0"/>
  </r>
  <r>
    <s v="HC-00080"/>
    <s v="P-1012"/>
    <s v="Female"/>
    <n v="66"/>
    <x v="4"/>
    <s v="General Consultation"/>
    <d v="2025-12-01T00:00:00"/>
    <d v="2026-01-01T00:00:00"/>
    <s v="Thursday"/>
    <s v="Afternoon"/>
    <x v="2"/>
    <n v="31"/>
    <n v="5"/>
    <x v="1"/>
    <x v="1"/>
    <s v="None"/>
    <n v="26.8"/>
    <x v="19"/>
    <x v="1"/>
  </r>
  <r>
    <s v="HC-00081"/>
    <s v="P-1420"/>
    <s v="Female"/>
    <n v="26"/>
    <x v="1"/>
    <s v="General Consultation"/>
    <d v="2026-05-10T00:00:00"/>
    <d v="2026-05-29T00:00:00"/>
    <s v="Friday"/>
    <s v="Morning"/>
    <x v="3"/>
    <n v="19"/>
    <n v="1"/>
    <x v="0"/>
    <x v="0"/>
    <s v="SMS"/>
    <n v="2.6"/>
    <x v="16"/>
    <x v="1"/>
  </r>
  <r>
    <s v="HC-00082"/>
    <s v="P-0054"/>
    <s v="Male"/>
    <n v="33"/>
    <x v="1"/>
    <s v="Specialist Consultation"/>
    <d v="2025-07-28T00:00:00"/>
    <d v="2025-08-27T00:00:00"/>
    <s v="Wednesday"/>
    <s v="Morning"/>
    <x v="3"/>
    <n v="30"/>
    <n v="2"/>
    <x v="0"/>
    <x v="0"/>
    <s v="WhatsApp"/>
    <n v="8.5"/>
    <x v="36"/>
    <x v="0"/>
  </r>
  <r>
    <s v="HC-00083"/>
    <s v="P-0348"/>
    <s v="Female"/>
    <n v="31"/>
    <x v="1"/>
    <s v="General Consultation"/>
    <d v="2025-03-29T00:00:00"/>
    <d v="2025-03-29T00:00:00"/>
    <s v="Saturday"/>
    <s v="Afternoon"/>
    <x v="1"/>
    <n v="0"/>
    <n v="4"/>
    <x v="2"/>
    <x v="1"/>
    <s v="None"/>
    <n v="9"/>
    <x v="7"/>
    <x v="1"/>
  </r>
  <r>
    <s v="HC-00084"/>
    <s v="P-0891"/>
    <s v="Female"/>
    <n v="27"/>
    <x v="1"/>
    <s v="Specialist Consultation"/>
    <d v="2026-03-05T00:00:00"/>
    <d v="2026-03-31T00:00:00"/>
    <s v="Tuesday"/>
    <s v="Afternoon"/>
    <x v="3"/>
    <n v="26"/>
    <n v="0"/>
    <x v="0"/>
    <x v="0"/>
    <s v="WhatsApp"/>
    <n v="23.8"/>
    <x v="35"/>
    <x v="1"/>
  </r>
  <r>
    <s v="HC-00085"/>
    <s v="P-0200"/>
    <s v="Female"/>
    <n v="29"/>
    <x v="1"/>
    <s v="Follow-up"/>
    <d v="2025-11-09T00:00:00"/>
    <d v="2025-12-10T00:00:00"/>
    <s v="Wednesday"/>
    <s v="Afternoon"/>
    <x v="2"/>
    <n v="31"/>
    <n v="5"/>
    <x v="3"/>
    <x v="0"/>
    <s v="SMS"/>
    <n v="13.6"/>
    <x v="0"/>
    <x v="0"/>
  </r>
  <r>
    <s v="HC-00086"/>
    <s v="P-0514"/>
    <s v="Prefer not to say"/>
    <n v="37"/>
    <x v="0"/>
    <s v="General Consultation"/>
    <d v="2025-12-29T00:00:00"/>
    <d v="2026-01-18T00:00:00"/>
    <s v="Sunday"/>
    <s v="Morning"/>
    <x v="3"/>
    <n v="20"/>
    <n v="6"/>
    <x v="1"/>
    <x v="0"/>
    <s v="SMS"/>
    <n v="0.5"/>
    <x v="19"/>
    <x v="0"/>
  </r>
  <r>
    <s v="HC-00087"/>
    <s v="P-1001"/>
    <s v="Male"/>
    <n v="52"/>
    <x v="2"/>
    <s v="General Consultation"/>
    <d v="2025-01-04T00:00:00"/>
    <d v="2025-02-23T00:00:00"/>
    <s v="Sunday"/>
    <s v="Morning"/>
    <x v="2"/>
    <n v="50"/>
    <n v="3"/>
    <x v="1"/>
    <x v="0"/>
    <s v="WhatsApp"/>
    <n v="2.2999999999999998"/>
    <x v="7"/>
    <x v="0"/>
  </r>
  <r>
    <s v="HC-00088"/>
    <s v="P-0471"/>
    <s v="Female"/>
    <n v="43"/>
    <x v="0"/>
    <s v="Diagnostic Test"/>
    <d v="2025-06-05T00:00:00"/>
    <d v="2025-06-20T00:00:00"/>
    <s v="Friday"/>
    <s v="Afternoon"/>
    <x v="3"/>
    <n v="15"/>
    <n v="3"/>
    <x v="1"/>
    <x v="0"/>
    <s v="SMS"/>
    <n v="15.7"/>
    <x v="2"/>
    <x v="0"/>
  </r>
  <r>
    <s v="HC-00089"/>
    <s v="P-0708"/>
    <s v="Male"/>
    <n v="44"/>
    <x v="0"/>
    <s v="Follow-up"/>
    <d v="2026-02-16T00:00:00"/>
    <d v="2026-02-24T00:00:00"/>
    <s v="Tuesday"/>
    <s v="Afternoon"/>
    <x v="0"/>
    <n v="8"/>
    <n v="3"/>
    <x v="0"/>
    <x v="0"/>
    <s v="Email"/>
    <n v="18.899999999999999"/>
    <x v="36"/>
    <x v="0"/>
  </r>
  <r>
    <s v="HC-00090"/>
    <s v="P-1664"/>
    <s v="Female"/>
    <n v="33"/>
    <x v="1"/>
    <s v="Follow-up"/>
    <d v="2026-02-27T00:00:00"/>
    <d v="2026-03-31T00:00:00"/>
    <s v="Tuesday"/>
    <s v="Afternoon"/>
    <x v="2"/>
    <n v="32"/>
    <n v="5"/>
    <x v="1"/>
    <x v="0"/>
    <s v="SMS"/>
    <n v="10.3"/>
    <x v="26"/>
    <x v="1"/>
  </r>
  <r>
    <s v="HC-00091"/>
    <s v="P-1265"/>
    <s v="Male"/>
    <n v="27"/>
    <x v="1"/>
    <s v="General Consultation"/>
    <d v="2025-07-03T00:00:00"/>
    <d v="2025-08-26T00:00:00"/>
    <s v="Tuesday"/>
    <s v="Afternoon"/>
    <x v="2"/>
    <n v="54"/>
    <n v="6"/>
    <x v="3"/>
    <x v="0"/>
    <s v="Email"/>
    <n v="2.2999999999999998"/>
    <x v="20"/>
    <x v="0"/>
  </r>
  <r>
    <s v="HC-00092"/>
    <s v="P-1723"/>
    <s v="Female"/>
    <n v="80"/>
    <x v="4"/>
    <s v="Diagnostic Test"/>
    <d v="2026-02-22T00:00:00"/>
    <d v="2026-03-16T00:00:00"/>
    <s v="Monday"/>
    <s v="Evening"/>
    <x v="3"/>
    <n v="22"/>
    <n v="3"/>
    <x v="0"/>
    <x v="0"/>
    <s v="WhatsApp"/>
    <n v="6.3"/>
    <x v="9"/>
    <x v="1"/>
  </r>
  <r>
    <s v="HC-00093"/>
    <s v="P-0422"/>
    <s v="Female"/>
    <n v="55"/>
    <x v="3"/>
    <s v="Specialist Consultation"/>
    <d v="2026-04-03T00:00:00"/>
    <d v="2026-04-05T00:00:00"/>
    <s v="Sunday"/>
    <s v="Afternoon"/>
    <x v="1"/>
    <n v="2"/>
    <n v="3"/>
    <x v="0"/>
    <x v="0"/>
    <s v="WhatsApp"/>
    <n v="11.2"/>
    <x v="12"/>
    <x v="1"/>
  </r>
  <r>
    <s v="HC-00094"/>
    <s v="P-1331"/>
    <s v="Male"/>
    <n v="32"/>
    <x v="1"/>
    <s v="Specialist Consultation"/>
    <d v="2025-06-02T00:00:00"/>
    <d v="2025-07-31T00:00:00"/>
    <s v="Thursday"/>
    <s v="Morning"/>
    <x v="2"/>
    <n v="59"/>
    <n v="2"/>
    <x v="1"/>
    <x v="1"/>
    <s v="None"/>
    <n v="6.4"/>
    <x v="6"/>
    <x v="0"/>
  </r>
  <r>
    <s v="HC-00095"/>
    <s v="P-1651"/>
    <s v="Male"/>
    <n v="69"/>
    <x v="4"/>
    <s v="Follow-up"/>
    <d v="2026-04-09T00:00:00"/>
    <d v="2026-05-06T00:00:00"/>
    <s v="Wednesday"/>
    <s v="Afternoon"/>
    <x v="3"/>
    <n v="27"/>
    <n v="3"/>
    <x v="1"/>
    <x v="1"/>
    <s v="None"/>
    <n v="7.3"/>
    <x v="37"/>
    <x v="0"/>
  </r>
  <r>
    <s v="HC-00096"/>
    <s v="P-0447"/>
    <s v="Female"/>
    <n v="70"/>
    <x v="4"/>
    <s v="Diagnostic Test"/>
    <d v="2025-05-28T00:00:00"/>
    <d v="2025-06-07T00:00:00"/>
    <s v="Saturday"/>
    <s v="Afternoon"/>
    <x v="0"/>
    <n v="10"/>
    <n v="3"/>
    <x v="1"/>
    <x v="1"/>
    <s v="None"/>
    <n v="13.9"/>
    <x v="36"/>
    <x v="0"/>
  </r>
  <r>
    <s v="HC-00097"/>
    <s v="P-0196"/>
    <s v="Female"/>
    <n v="78"/>
    <x v="4"/>
    <s v="General Consultation"/>
    <d v="2025-04-04T00:00:00"/>
    <d v="2025-05-11T00:00:00"/>
    <s v="Sunday"/>
    <s v="Evening"/>
    <x v="2"/>
    <n v="37"/>
    <n v="1"/>
    <x v="0"/>
    <x v="0"/>
    <s v="WhatsApp"/>
    <n v="18.3"/>
    <x v="4"/>
    <x v="1"/>
  </r>
  <r>
    <s v="HC-00098"/>
    <s v="P-0179"/>
    <s v="Male"/>
    <n v="28"/>
    <x v="1"/>
    <s v="Specialist Consultation"/>
    <d v="2025-12-20T00:00:00"/>
    <d v="2026-01-08T00:00:00"/>
    <s v="Thursday"/>
    <s v="Morning"/>
    <x v="3"/>
    <n v="19"/>
    <n v="2"/>
    <x v="0"/>
    <x v="0"/>
    <s v="WhatsApp"/>
    <n v="7.7"/>
    <x v="20"/>
    <x v="0"/>
  </r>
  <r>
    <s v="HC-00099"/>
    <s v="P-1747"/>
    <s v="Female"/>
    <n v="58"/>
    <x v="3"/>
    <s v="General Consultation"/>
    <d v="2025-10-18T00:00:00"/>
    <d v="2025-12-14T00:00:00"/>
    <s v="Sunday"/>
    <s v="Afternoon"/>
    <x v="2"/>
    <n v="57"/>
    <n v="1"/>
    <x v="0"/>
    <x v="0"/>
    <s v="SMS"/>
    <n v="16.7"/>
    <x v="18"/>
    <x v="1"/>
  </r>
  <r>
    <s v="HC-00100"/>
    <s v="P-0099"/>
    <s v="Female"/>
    <n v="79"/>
    <x v="4"/>
    <s v="Follow-up"/>
    <d v="2025-03-01T00:00:00"/>
    <d v="2025-03-18T00:00:00"/>
    <s v="Tuesday"/>
    <s v="Morning"/>
    <x v="3"/>
    <n v="17"/>
    <n v="4"/>
    <x v="2"/>
    <x v="0"/>
    <s v="SMS"/>
    <n v="1.5"/>
    <x v="31"/>
    <x v="1"/>
  </r>
  <r>
    <s v="HC-00101"/>
    <s v="P-0787"/>
    <s v="Male"/>
    <n v="68"/>
    <x v="4"/>
    <s v="Diagnostic Test"/>
    <d v="2026-02-26T00:00:00"/>
    <d v="2026-03-31T00:00:00"/>
    <s v="Tuesday"/>
    <s v="Afternoon"/>
    <x v="2"/>
    <n v="33"/>
    <n v="3"/>
    <x v="2"/>
    <x v="1"/>
    <s v="None"/>
    <n v="12.3"/>
    <x v="31"/>
    <x v="0"/>
  </r>
  <r>
    <s v="HC-00102"/>
    <s v="P-0088"/>
    <s v="Female"/>
    <n v="32"/>
    <x v="1"/>
    <s v="Diagnostic Test"/>
    <d v="2025-03-18T00:00:00"/>
    <d v="2025-04-20T00:00:00"/>
    <s v="Sunday"/>
    <s v="Evening"/>
    <x v="2"/>
    <n v="33"/>
    <n v="3"/>
    <x v="1"/>
    <x v="0"/>
    <s v="WhatsApp"/>
    <n v="25.4"/>
    <x v="38"/>
    <x v="0"/>
  </r>
  <r>
    <s v="HC-00103"/>
    <s v="P-0518"/>
    <s v="Female"/>
    <n v="74"/>
    <x v="4"/>
    <s v="Follow-up"/>
    <d v="2026-03-02T00:00:00"/>
    <d v="2026-03-16T00:00:00"/>
    <s v="Monday"/>
    <s v="Evening"/>
    <x v="0"/>
    <n v="14"/>
    <n v="2"/>
    <x v="0"/>
    <x v="0"/>
    <s v="SMS"/>
    <n v="20.399999999999999"/>
    <x v="39"/>
    <x v="0"/>
  </r>
  <r>
    <s v="HC-00104"/>
    <s v="P-1751"/>
    <s v="Female"/>
    <n v="44"/>
    <x v="0"/>
    <s v="Follow-up"/>
    <d v="2024-12-06T00:00:00"/>
    <d v="2025-01-05T00:00:00"/>
    <s v="Sunday"/>
    <s v="Morning"/>
    <x v="3"/>
    <n v="30"/>
    <n v="2"/>
    <x v="1"/>
    <x v="0"/>
    <s v="SMS"/>
    <n v="10.5"/>
    <x v="8"/>
    <x v="0"/>
  </r>
  <r>
    <s v="HC-00105"/>
    <s v="P-0293"/>
    <s v="Female"/>
    <n v="48"/>
    <x v="2"/>
    <s v="Diagnostic Test"/>
    <d v="2026-03-06T00:00:00"/>
    <d v="2026-03-12T00:00:00"/>
    <s v="Thursday"/>
    <s v="Morning"/>
    <x v="1"/>
    <n v="6"/>
    <n v="4"/>
    <x v="0"/>
    <x v="1"/>
    <s v="None"/>
    <n v="8.1999999999999993"/>
    <x v="40"/>
    <x v="1"/>
  </r>
  <r>
    <s v="HC-00106"/>
    <s v="P-0315"/>
    <s v="Female"/>
    <n v="53"/>
    <x v="2"/>
    <s v="Diagnostic Test"/>
    <d v="2026-01-26T00:00:00"/>
    <d v="2026-03-06T00:00:00"/>
    <s v="Friday"/>
    <s v="Afternoon"/>
    <x v="2"/>
    <n v="39"/>
    <n v="3"/>
    <x v="0"/>
    <x v="0"/>
    <s v="WhatsApp"/>
    <n v="5.7"/>
    <x v="41"/>
    <x v="1"/>
  </r>
  <r>
    <s v="HC-00107"/>
    <s v="P-0051"/>
    <s v="Male"/>
    <n v="66"/>
    <x v="4"/>
    <s v="Specialist Consultation"/>
    <d v="2026-01-16T00:00:00"/>
    <d v="2026-03-03T00:00:00"/>
    <s v="Tuesday"/>
    <s v="Afternoon"/>
    <x v="2"/>
    <n v="46"/>
    <n v="4"/>
    <x v="0"/>
    <x v="1"/>
    <s v="None"/>
    <n v="7.4"/>
    <x v="22"/>
    <x v="0"/>
  </r>
  <r>
    <s v="HC-00108"/>
    <s v="P-1316"/>
    <s v="Female"/>
    <n v="25"/>
    <x v="1"/>
    <s v="General Consultation"/>
    <d v="2025-11-03T00:00:00"/>
    <d v="2025-12-30T00:00:00"/>
    <s v="Tuesday"/>
    <s v="Evening"/>
    <x v="2"/>
    <n v="57"/>
    <n v="1"/>
    <x v="0"/>
    <x v="1"/>
    <s v="None"/>
    <n v="14"/>
    <x v="23"/>
    <x v="0"/>
  </r>
  <r>
    <s v="HC-00109"/>
    <s v="P-0375"/>
    <s v="Male"/>
    <n v="51"/>
    <x v="2"/>
    <s v="General Consultation"/>
    <d v="2025-08-27T00:00:00"/>
    <d v="2025-09-15T00:00:00"/>
    <s v="Monday"/>
    <s v="Morning"/>
    <x v="3"/>
    <n v="19"/>
    <n v="1"/>
    <x v="0"/>
    <x v="0"/>
    <s v="SMS"/>
    <n v="10"/>
    <x v="25"/>
    <x v="0"/>
  </r>
  <r>
    <s v="HC-00110"/>
    <s v="P-0565"/>
    <s v="Female"/>
    <n v="69"/>
    <x v="4"/>
    <s v="Diagnostic Test"/>
    <d v="2026-01-04T00:00:00"/>
    <d v="2026-01-21T00:00:00"/>
    <s v="Wednesday"/>
    <s v="Afternoon"/>
    <x v="3"/>
    <n v="17"/>
    <n v="0"/>
    <x v="0"/>
    <x v="1"/>
    <s v="None"/>
    <n v="11.6"/>
    <x v="4"/>
    <x v="1"/>
  </r>
  <r>
    <s v="HC-00111"/>
    <s v="P-1354"/>
    <s v="Female"/>
    <n v="52"/>
    <x v="2"/>
    <s v="Specialist Consultation"/>
    <d v="2025-04-29T00:00:00"/>
    <d v="2025-06-01T00:00:00"/>
    <s v="Sunday"/>
    <s v="Afternoon"/>
    <x v="2"/>
    <n v="33"/>
    <n v="0"/>
    <x v="0"/>
    <x v="0"/>
    <s v="Email"/>
    <n v="15.5"/>
    <x v="42"/>
    <x v="0"/>
  </r>
  <r>
    <s v="HC-00112"/>
    <s v="P-1377"/>
    <s v="Male"/>
    <n v="35"/>
    <x v="0"/>
    <s v="Specialist Consultation"/>
    <d v="2026-01-20T00:00:00"/>
    <d v="2026-03-03T00:00:00"/>
    <s v="Tuesday"/>
    <s v="Morning"/>
    <x v="2"/>
    <n v="42"/>
    <n v="3"/>
    <x v="1"/>
    <x v="0"/>
    <s v="WhatsApp"/>
    <n v="1.8"/>
    <x v="36"/>
    <x v="1"/>
  </r>
  <r>
    <s v="HC-00113"/>
    <s v="P-0878"/>
    <s v="Female"/>
    <n v="21"/>
    <x v="5"/>
    <s v="Follow-up"/>
    <d v="2025-09-01T00:00:00"/>
    <d v="2025-10-31T00:00:00"/>
    <s v="Friday"/>
    <s v="Morning"/>
    <x v="2"/>
    <n v="60"/>
    <n v="8"/>
    <x v="0"/>
    <x v="0"/>
    <s v="WhatsApp"/>
    <n v="8.6999999999999993"/>
    <x v="26"/>
    <x v="1"/>
  </r>
  <r>
    <s v="HC-00114"/>
    <s v="P-1470"/>
    <s v="Male"/>
    <n v="52"/>
    <x v="2"/>
    <s v="General Consultation"/>
    <d v="2025-09-07T00:00:00"/>
    <d v="2025-09-08T00:00:00"/>
    <s v="Monday"/>
    <s v="Afternoon"/>
    <x v="1"/>
    <n v="1"/>
    <n v="3"/>
    <x v="0"/>
    <x v="1"/>
    <s v="None"/>
    <n v="10.7"/>
    <x v="12"/>
    <x v="1"/>
  </r>
  <r>
    <s v="HC-00115"/>
    <s v="P-1049"/>
    <s v="Female"/>
    <n v="62"/>
    <x v="3"/>
    <s v="General Consultation"/>
    <d v="2025-09-20T00:00:00"/>
    <d v="2025-10-04T00:00:00"/>
    <s v="Saturday"/>
    <s v="Morning"/>
    <x v="0"/>
    <n v="14"/>
    <n v="2"/>
    <x v="1"/>
    <x v="0"/>
    <s v="SMS"/>
    <n v="2.1"/>
    <x v="13"/>
    <x v="0"/>
  </r>
  <r>
    <s v="HC-00116"/>
    <s v="P-0474"/>
    <s v="Male"/>
    <n v="52"/>
    <x v="2"/>
    <s v="Specialist Consultation"/>
    <d v="2025-10-22T00:00:00"/>
    <d v="2025-11-07T00:00:00"/>
    <s v="Friday"/>
    <s v="Afternoon"/>
    <x v="3"/>
    <n v="16"/>
    <n v="2"/>
    <x v="0"/>
    <x v="0"/>
    <s v="SMS"/>
    <n v="7.4"/>
    <x v="43"/>
    <x v="1"/>
  </r>
  <r>
    <s v="HC-00117"/>
    <s v="P-0400"/>
    <s v="Male"/>
    <n v="79"/>
    <x v="4"/>
    <s v="General Consultation"/>
    <d v="2025-01-06T00:00:00"/>
    <d v="2025-01-21T00:00:00"/>
    <s v="Tuesday"/>
    <s v="Afternoon"/>
    <x v="3"/>
    <n v="15"/>
    <n v="3"/>
    <x v="0"/>
    <x v="0"/>
    <s v="WhatsApp"/>
    <n v="4.8"/>
    <x v="22"/>
    <x v="1"/>
  </r>
  <r>
    <s v="HC-00118"/>
    <s v="P-0609"/>
    <s v="Female"/>
    <n v="55"/>
    <x v="3"/>
    <s v="Follow-up"/>
    <d v="2025-02-18T00:00:00"/>
    <d v="2025-03-18T00:00:00"/>
    <s v="Tuesday"/>
    <s v="Afternoon"/>
    <x v="3"/>
    <n v="28"/>
    <n v="1"/>
    <x v="1"/>
    <x v="0"/>
    <s v="Email"/>
    <n v="6.7"/>
    <x v="40"/>
    <x v="0"/>
  </r>
  <r>
    <s v="HC-00119"/>
    <s v="P-0031"/>
    <s v="Male"/>
    <n v="50"/>
    <x v="2"/>
    <s v="Specialist Consultation"/>
    <d v="2025-03-23T00:00:00"/>
    <d v="2025-05-15T00:00:00"/>
    <s v="Thursday"/>
    <s v="Morning"/>
    <x v="2"/>
    <n v="53"/>
    <n v="2"/>
    <x v="0"/>
    <x v="0"/>
    <s v="SMS"/>
    <n v="9.6"/>
    <x v="29"/>
    <x v="1"/>
  </r>
  <r>
    <s v="HC-00120"/>
    <s v="P-0892"/>
    <s v="Female"/>
    <n v="21"/>
    <x v="5"/>
    <s v="Specialist Consultation"/>
    <d v="2025-03-03T00:00:00"/>
    <d v="2025-03-04T00:00:00"/>
    <s v="Tuesday"/>
    <s v="Evening"/>
    <x v="1"/>
    <n v="1"/>
    <n v="3"/>
    <x v="0"/>
    <x v="0"/>
    <s v="SMS"/>
    <n v="1.7"/>
    <x v="42"/>
    <x v="1"/>
  </r>
  <r>
    <s v="HC-00121"/>
    <s v="P-0208"/>
    <s v="Female"/>
    <n v="53"/>
    <x v="2"/>
    <s v="General Consultation"/>
    <d v="2025-07-11T00:00:00"/>
    <d v="2025-08-29T00:00:00"/>
    <s v="Friday"/>
    <s v="Afternoon"/>
    <x v="2"/>
    <n v="49"/>
    <n v="1"/>
    <x v="0"/>
    <x v="0"/>
    <s v="SMS"/>
    <n v="3.6"/>
    <x v="2"/>
    <x v="0"/>
  </r>
  <r>
    <s v="HC-00122"/>
    <s v="P-0094"/>
    <s v="Female"/>
    <n v="28"/>
    <x v="1"/>
    <s v="Specialist Consultation"/>
    <d v="2025-11-24T00:00:00"/>
    <d v="2025-12-31T00:00:00"/>
    <s v="Wednesday"/>
    <s v="Afternoon"/>
    <x v="2"/>
    <n v="37"/>
    <n v="6"/>
    <x v="1"/>
    <x v="0"/>
    <s v="SMS"/>
    <n v="15.1"/>
    <x v="8"/>
    <x v="1"/>
  </r>
  <r>
    <s v="HC-00123"/>
    <s v="P-0344"/>
    <s v="Male"/>
    <n v="63"/>
    <x v="3"/>
    <s v="General Consultation"/>
    <d v="2025-11-17T00:00:00"/>
    <d v="2025-12-24T00:00:00"/>
    <s v="Wednesday"/>
    <s v="Afternoon"/>
    <x v="2"/>
    <n v="37"/>
    <n v="2"/>
    <x v="0"/>
    <x v="0"/>
    <s v="WhatsApp"/>
    <n v="9.3000000000000007"/>
    <x v="36"/>
    <x v="2"/>
  </r>
  <r>
    <s v="HC-00124"/>
    <s v="P-0044"/>
    <s v="Male"/>
    <n v="28"/>
    <x v="1"/>
    <s v="General Consultation"/>
    <d v="2025-08-05T00:00:00"/>
    <d v="2025-09-15T00:00:00"/>
    <s v="Monday"/>
    <s v="Afternoon"/>
    <x v="2"/>
    <n v="41"/>
    <n v="3"/>
    <x v="1"/>
    <x v="0"/>
    <s v="SMS"/>
    <n v="4.0999999999999996"/>
    <x v="6"/>
    <x v="0"/>
  </r>
  <r>
    <s v="HC-00125"/>
    <s v="P-0266"/>
    <s v="Male"/>
    <n v="75"/>
    <x v="4"/>
    <s v="General Consultation"/>
    <d v="2026-04-05T00:00:00"/>
    <d v="2026-04-12T00:00:00"/>
    <s v="Sunday"/>
    <s v="Evening"/>
    <x v="1"/>
    <n v="7"/>
    <n v="2"/>
    <x v="1"/>
    <x v="0"/>
    <s v="WhatsApp"/>
    <n v="5.5"/>
    <x v="13"/>
    <x v="0"/>
  </r>
  <r>
    <s v="HC-00126"/>
    <s v="P-1468"/>
    <s v="Male"/>
    <n v="37"/>
    <x v="0"/>
    <s v="General Consultation"/>
    <d v="2025-09-21T00:00:00"/>
    <d v="2025-11-05T00:00:00"/>
    <s v="Wednesday"/>
    <s v="Afternoon"/>
    <x v="2"/>
    <n v="45"/>
    <n v="4"/>
    <x v="0"/>
    <x v="1"/>
    <s v="None"/>
    <n v="5"/>
    <x v="26"/>
    <x v="1"/>
  </r>
  <r>
    <s v="HC-00127"/>
    <s v="P-1644"/>
    <s v="Female"/>
    <n v="45"/>
    <x v="2"/>
    <s v="Diagnostic Test"/>
    <d v="2025-01-29T00:00:00"/>
    <d v="2025-02-13T00:00:00"/>
    <s v="Thursday"/>
    <s v="Afternoon"/>
    <x v="3"/>
    <n v="15"/>
    <n v="1"/>
    <x v="0"/>
    <x v="0"/>
    <s v="SMS"/>
    <n v="7.8"/>
    <x v="25"/>
    <x v="1"/>
  </r>
  <r>
    <s v="HC-00128"/>
    <s v="P-0821"/>
    <s v="Male"/>
    <n v="27"/>
    <x v="1"/>
    <s v="Diagnostic Test"/>
    <d v="2026-01-22T00:00:00"/>
    <d v="2026-02-22T00:00:00"/>
    <s v="Sunday"/>
    <s v="Morning"/>
    <x v="2"/>
    <n v="31"/>
    <n v="3"/>
    <x v="0"/>
    <x v="0"/>
    <s v="SMS"/>
    <n v="4.2"/>
    <x v="19"/>
    <x v="0"/>
  </r>
  <r>
    <s v="HC-00129"/>
    <s v="P-0941"/>
    <s v="Male"/>
    <n v="31"/>
    <x v="1"/>
    <s v="General Consultation"/>
    <d v="2025-09-30T00:00:00"/>
    <d v="2025-11-10T00:00:00"/>
    <s v="Monday"/>
    <s v="Morning"/>
    <x v="2"/>
    <n v="41"/>
    <n v="3"/>
    <x v="1"/>
    <x v="1"/>
    <s v="None"/>
    <n v="5.3"/>
    <x v="25"/>
    <x v="0"/>
  </r>
  <r>
    <s v="HC-00130"/>
    <s v="P-0897"/>
    <s v="Male"/>
    <n v="76"/>
    <x v="4"/>
    <s v="Specialist Consultation"/>
    <d v="2025-11-07T00:00:00"/>
    <d v="2025-12-13T00:00:00"/>
    <s v="Saturday"/>
    <s v="Afternoon"/>
    <x v="2"/>
    <n v="36"/>
    <n v="3"/>
    <x v="1"/>
    <x v="0"/>
    <s v="Email"/>
    <n v="5.9"/>
    <x v="29"/>
    <x v="2"/>
  </r>
  <r>
    <s v="HC-00131"/>
    <s v="P-1098"/>
    <s v="Male"/>
    <n v="35"/>
    <x v="0"/>
    <s v="Follow-up"/>
    <d v="2025-10-17T00:00:00"/>
    <d v="2025-11-05T00:00:00"/>
    <s v="Wednesday"/>
    <s v="Morning"/>
    <x v="3"/>
    <n v="19"/>
    <n v="3"/>
    <x v="1"/>
    <x v="0"/>
    <s v="SMS"/>
    <n v="8.1"/>
    <x v="27"/>
    <x v="1"/>
  </r>
  <r>
    <s v="HC-00132"/>
    <s v="P-1094"/>
    <s v="Male"/>
    <n v="50"/>
    <x v="2"/>
    <s v="Specialist Consultation"/>
    <d v="2025-10-06T00:00:00"/>
    <d v="2025-10-30T00:00:00"/>
    <s v="Thursday"/>
    <s v="Afternoon"/>
    <x v="3"/>
    <n v="24"/>
    <n v="5"/>
    <x v="1"/>
    <x v="0"/>
    <s v="WhatsApp"/>
    <n v="15.3"/>
    <x v="20"/>
    <x v="2"/>
  </r>
  <r>
    <s v="HC-00133"/>
    <s v="P-0551"/>
    <s v="Female"/>
    <n v="79"/>
    <x v="4"/>
    <s v="Diagnostic Test"/>
    <d v="2025-01-21T00:00:00"/>
    <d v="2025-02-19T00:00:00"/>
    <s v="Wednesday"/>
    <s v="Evening"/>
    <x v="3"/>
    <n v="29"/>
    <n v="3"/>
    <x v="1"/>
    <x v="0"/>
    <s v="WhatsApp"/>
    <n v="12.5"/>
    <x v="0"/>
    <x v="0"/>
  </r>
  <r>
    <s v="HC-00134"/>
    <s v="P-0593"/>
    <s v="Male"/>
    <n v="57"/>
    <x v="3"/>
    <s v="Follow-up"/>
    <d v="2025-10-31T00:00:00"/>
    <d v="2025-11-02T00:00:00"/>
    <s v="Sunday"/>
    <s v="Morning"/>
    <x v="1"/>
    <n v="2"/>
    <n v="3"/>
    <x v="1"/>
    <x v="0"/>
    <s v="WhatsApp"/>
    <n v="2.1"/>
    <x v="19"/>
    <x v="0"/>
  </r>
  <r>
    <s v="HC-00135"/>
    <s v="P-1256"/>
    <s v="Prefer not to say"/>
    <n v="20"/>
    <x v="5"/>
    <s v="General Consultation"/>
    <d v="2026-01-26T00:00:00"/>
    <d v="2026-03-11T00:00:00"/>
    <s v="Wednesday"/>
    <s v="Morning"/>
    <x v="2"/>
    <n v="44"/>
    <n v="3"/>
    <x v="0"/>
    <x v="1"/>
    <s v="None"/>
    <n v="7.3"/>
    <x v="4"/>
    <x v="0"/>
  </r>
  <r>
    <s v="HC-00136"/>
    <s v="P-1373"/>
    <s v="Male"/>
    <n v="40"/>
    <x v="0"/>
    <s v="General Consultation"/>
    <d v="2025-06-09T00:00:00"/>
    <d v="2025-06-15T00:00:00"/>
    <s v="Sunday"/>
    <s v="Afternoon"/>
    <x v="1"/>
    <n v="6"/>
    <n v="1"/>
    <x v="1"/>
    <x v="0"/>
    <s v="SMS"/>
    <n v="45"/>
    <x v="31"/>
    <x v="0"/>
  </r>
  <r>
    <s v="HC-00137"/>
    <s v="P-0394"/>
    <s v="Female"/>
    <n v="42"/>
    <x v="0"/>
    <s v="Follow-up"/>
    <d v="2025-10-30T00:00:00"/>
    <d v="2025-11-26T00:00:00"/>
    <s v="Wednesday"/>
    <s v="Morning"/>
    <x v="3"/>
    <n v="27"/>
    <n v="2"/>
    <x v="0"/>
    <x v="0"/>
    <s v="WhatsApp"/>
    <n v="8.1"/>
    <x v="23"/>
    <x v="0"/>
  </r>
  <r>
    <s v="HC-00138"/>
    <s v="P-0041"/>
    <s v="Female"/>
    <n v="35"/>
    <x v="0"/>
    <s v="Diagnostic Test"/>
    <d v="2024-12-09T00:00:00"/>
    <d v="2025-01-17T00:00:00"/>
    <s v="Friday"/>
    <s v="Afternoon"/>
    <x v="2"/>
    <n v="39"/>
    <n v="4"/>
    <x v="1"/>
    <x v="0"/>
    <s v="Email"/>
    <n v="8.1999999999999993"/>
    <x v="44"/>
    <x v="0"/>
  </r>
  <r>
    <s v="HC-00139"/>
    <s v="P-0016"/>
    <s v="Male"/>
    <n v="33"/>
    <x v="1"/>
    <s v="Follow-up"/>
    <d v="2025-07-05T00:00:00"/>
    <d v="2025-07-09T00:00:00"/>
    <s v="Wednesday"/>
    <s v="Afternoon"/>
    <x v="1"/>
    <n v="4"/>
    <n v="6"/>
    <x v="2"/>
    <x v="0"/>
    <s v="SMS"/>
    <n v="10.1"/>
    <x v="45"/>
    <x v="2"/>
  </r>
  <r>
    <s v="HC-00140"/>
    <s v="P-0230"/>
    <s v="Male"/>
    <n v="49"/>
    <x v="2"/>
    <s v="General Consultation"/>
    <d v="2025-06-28T00:00:00"/>
    <d v="2025-08-27T00:00:00"/>
    <s v="Wednesday"/>
    <s v="Afternoon"/>
    <x v="2"/>
    <n v="60"/>
    <n v="3"/>
    <x v="1"/>
    <x v="0"/>
    <s v="SMS"/>
    <n v="10.5"/>
    <x v="13"/>
    <x v="0"/>
  </r>
  <r>
    <s v="HC-00141"/>
    <s v="P-0686"/>
    <s v="Male"/>
    <n v="41"/>
    <x v="0"/>
    <s v="General Consultation"/>
    <d v="2026-05-29T00:00:00"/>
    <d v="2026-06-21T00:00:00"/>
    <s v="Sunday"/>
    <s v="Afternoon"/>
    <x v="3"/>
    <n v="23"/>
    <n v="5"/>
    <x v="1"/>
    <x v="1"/>
    <s v="None"/>
    <n v="7.3"/>
    <x v="20"/>
    <x v="1"/>
  </r>
  <r>
    <s v="HC-00142"/>
    <s v="P-1671"/>
    <s v="Male"/>
    <n v="36"/>
    <x v="0"/>
    <s v="Diagnostic Test"/>
    <d v="2025-04-28T00:00:00"/>
    <d v="2025-04-28T00:00:00"/>
    <s v="Monday"/>
    <s v="Afternoon"/>
    <x v="1"/>
    <n v="0"/>
    <n v="3"/>
    <x v="0"/>
    <x v="0"/>
    <s v="SMS"/>
    <n v="22.2"/>
    <x v="4"/>
    <x v="1"/>
  </r>
  <r>
    <s v="HC-00143"/>
    <s v="P-1065"/>
    <s v="Female"/>
    <n v="44"/>
    <x v="0"/>
    <s v="General Consultation"/>
    <d v="2025-04-21T00:00:00"/>
    <d v="2025-05-31T00:00:00"/>
    <s v="Saturday"/>
    <s v="Morning"/>
    <x v="2"/>
    <n v="40"/>
    <n v="5"/>
    <x v="1"/>
    <x v="1"/>
    <s v="None"/>
    <n v="9.8000000000000007"/>
    <x v="18"/>
    <x v="0"/>
  </r>
  <r>
    <s v="HC-00144"/>
    <s v="P-1578"/>
    <s v="Male"/>
    <n v="39"/>
    <x v="0"/>
    <s v="Specialist Consultation"/>
    <d v="2025-07-09T00:00:00"/>
    <d v="2025-08-12T00:00:00"/>
    <s v="Tuesday"/>
    <s v="Morning"/>
    <x v="2"/>
    <n v="34"/>
    <n v="5"/>
    <x v="1"/>
    <x v="0"/>
    <s v="SMS"/>
    <n v="8.9"/>
    <x v="17"/>
    <x v="1"/>
  </r>
  <r>
    <s v="HC-00145"/>
    <s v="P-1617"/>
    <s v="Female"/>
    <n v="32"/>
    <x v="1"/>
    <s v="Follow-up"/>
    <d v="2026-05-18T00:00:00"/>
    <d v="2026-06-26T00:00:00"/>
    <s v="Friday"/>
    <s v="Morning"/>
    <x v="2"/>
    <n v="39"/>
    <n v="2"/>
    <x v="0"/>
    <x v="0"/>
    <s v="WhatsApp"/>
    <n v="5.5"/>
    <x v="5"/>
    <x v="0"/>
  </r>
  <r>
    <s v="HC-00146"/>
    <s v="P-0138"/>
    <s v="Female"/>
    <n v="46"/>
    <x v="2"/>
    <s v="General Consultation"/>
    <d v="2026-02-25T00:00:00"/>
    <d v="2026-04-11T00:00:00"/>
    <s v="Saturday"/>
    <s v="Evening"/>
    <x v="2"/>
    <n v="45"/>
    <n v="1"/>
    <x v="0"/>
    <x v="0"/>
    <s v="SMS"/>
    <n v="9.9"/>
    <x v="43"/>
    <x v="0"/>
  </r>
  <r>
    <s v="HC-00147"/>
    <s v="P-0267"/>
    <s v="Male"/>
    <n v="77"/>
    <x v="4"/>
    <s v="General Consultation"/>
    <d v="2024-12-21T00:00:00"/>
    <d v="2025-01-19T00:00:00"/>
    <s v="Sunday"/>
    <s v="Morning"/>
    <x v="3"/>
    <n v="29"/>
    <n v="5"/>
    <x v="0"/>
    <x v="0"/>
    <s v="SMS"/>
    <n v="30.1"/>
    <x v="7"/>
    <x v="0"/>
  </r>
  <r>
    <s v="HC-00148"/>
    <s v="P-0998"/>
    <s v="Female"/>
    <n v="49"/>
    <x v="2"/>
    <s v="General Consultation"/>
    <d v="2025-03-19T00:00:00"/>
    <d v="2025-05-08T00:00:00"/>
    <s v="Thursday"/>
    <s v="Morning"/>
    <x v="2"/>
    <n v="50"/>
    <n v="1"/>
    <x v="0"/>
    <x v="0"/>
    <s v="SMS"/>
    <n v="10.199999999999999"/>
    <x v="23"/>
    <x v="1"/>
  </r>
  <r>
    <s v="HC-00149"/>
    <s v="P-1644"/>
    <s v="Female"/>
    <n v="55"/>
    <x v="3"/>
    <s v="General Consultation"/>
    <d v="2026-03-03T00:00:00"/>
    <d v="2026-03-25T00:00:00"/>
    <s v="Wednesday"/>
    <s v="Morning"/>
    <x v="3"/>
    <n v="22"/>
    <n v="3"/>
    <x v="0"/>
    <x v="1"/>
    <s v="None"/>
    <n v="15.6"/>
    <x v="35"/>
    <x v="0"/>
  </r>
  <r>
    <s v="HC-00150"/>
    <s v="P-1320"/>
    <s v="Male"/>
    <n v="80"/>
    <x v="4"/>
    <s v="Specialist Consultation"/>
    <d v="2024-12-30T00:00:00"/>
    <d v="2025-02-01T00:00:00"/>
    <s v="Saturday"/>
    <s v="Morning"/>
    <x v="2"/>
    <n v="33"/>
    <n v="2"/>
    <x v="1"/>
    <x v="0"/>
    <s v="WhatsApp"/>
    <n v="18.2"/>
    <x v="3"/>
    <x v="0"/>
  </r>
  <r>
    <s v="HC-00151"/>
    <s v="P-0785"/>
    <s v="Female"/>
    <n v="56"/>
    <x v="3"/>
    <s v="Specialist Consultation"/>
    <d v="2026-04-04T00:00:00"/>
    <d v="2026-04-13T00:00:00"/>
    <s v="Monday"/>
    <s v="Morning"/>
    <x v="0"/>
    <n v="9"/>
    <n v="4"/>
    <x v="0"/>
    <x v="0"/>
    <s v="SMS"/>
    <n v="5.5"/>
    <x v="37"/>
    <x v="1"/>
  </r>
  <r>
    <s v="HC-00152"/>
    <s v="P-0463"/>
    <s v="Male"/>
    <n v="32"/>
    <x v="1"/>
    <s v="General Consultation"/>
    <d v="2025-04-27T00:00:00"/>
    <d v="2025-06-03T00:00:00"/>
    <s v="Tuesday"/>
    <s v="Afternoon"/>
    <x v="2"/>
    <n v="37"/>
    <n v="0"/>
    <x v="0"/>
    <x v="0"/>
    <s v="SMS"/>
    <n v="5.2"/>
    <x v="6"/>
    <x v="1"/>
  </r>
  <r>
    <s v="HC-00153"/>
    <s v="P-0495"/>
    <s v="Female"/>
    <n v="43"/>
    <x v="0"/>
    <s v="Follow-up"/>
    <d v="2026-05-02T00:00:00"/>
    <d v="2026-05-17T00:00:00"/>
    <s v="Sunday"/>
    <s v="Morning"/>
    <x v="3"/>
    <n v="15"/>
    <n v="1"/>
    <x v="0"/>
    <x v="0"/>
    <s v="SMS"/>
    <n v="15.2"/>
    <x v="9"/>
    <x v="0"/>
  </r>
  <r>
    <s v="HC-00154"/>
    <s v="P-0029"/>
    <s v="Male"/>
    <n v="48"/>
    <x v="2"/>
    <s v="General Consultation"/>
    <d v="2025-04-29T00:00:00"/>
    <d v="2025-06-10T00:00:00"/>
    <s v="Tuesday"/>
    <s v="Afternoon"/>
    <x v="2"/>
    <n v="42"/>
    <n v="1"/>
    <x v="0"/>
    <x v="0"/>
    <s v="SMS"/>
    <n v="5.2"/>
    <x v="19"/>
    <x v="1"/>
  </r>
  <r>
    <s v="HC-00155"/>
    <s v="P-1117"/>
    <s v="Female"/>
    <n v="47"/>
    <x v="2"/>
    <s v="General Consultation"/>
    <d v="2025-07-09T00:00:00"/>
    <d v="2025-08-26T00:00:00"/>
    <s v="Tuesday"/>
    <s v="Morning"/>
    <x v="2"/>
    <n v="48"/>
    <n v="3"/>
    <x v="1"/>
    <x v="0"/>
    <s v="WhatsApp"/>
    <n v="18.399999999999999"/>
    <x v="38"/>
    <x v="0"/>
  </r>
  <r>
    <s v="HC-00156"/>
    <s v="P-1188"/>
    <s v="Male"/>
    <n v="27"/>
    <x v="1"/>
    <s v="Specialist Consultation"/>
    <d v="2025-11-06T00:00:00"/>
    <d v="2025-12-28T00:00:00"/>
    <s v="Sunday"/>
    <s v="Afternoon"/>
    <x v="2"/>
    <n v="52"/>
    <n v="3"/>
    <x v="0"/>
    <x v="0"/>
    <s v="SMS"/>
    <n v="3.8"/>
    <x v="46"/>
    <x v="0"/>
  </r>
  <r>
    <s v="HC-00157"/>
    <s v="P-0926"/>
    <s v="Male"/>
    <n v="24"/>
    <x v="5"/>
    <s v="Specialist Consultation"/>
    <d v="2025-01-13T00:00:00"/>
    <d v="2025-03-10T00:00:00"/>
    <s v="Monday"/>
    <s v="Morning"/>
    <x v="2"/>
    <n v="56"/>
    <n v="3"/>
    <x v="0"/>
    <x v="1"/>
    <s v="None"/>
    <n v="17.3"/>
    <x v="27"/>
    <x v="0"/>
  </r>
  <r>
    <s v="HC-00158"/>
    <s v="P-1395"/>
    <s v="Female"/>
    <n v="40"/>
    <x v="0"/>
    <s v="Specialist Consultation"/>
    <d v="2025-10-25T00:00:00"/>
    <d v="2025-11-01T00:00:00"/>
    <s v="Saturday"/>
    <s v="Afternoon"/>
    <x v="1"/>
    <n v="7"/>
    <n v="3"/>
    <x v="3"/>
    <x v="0"/>
    <s v="Email"/>
    <n v="10.9"/>
    <x v="5"/>
    <x v="2"/>
  </r>
  <r>
    <s v="HC-00159"/>
    <s v="P-1310"/>
    <s v="Female"/>
    <n v="75"/>
    <x v="4"/>
    <s v="General Consultation"/>
    <d v="2025-09-25T00:00:00"/>
    <d v="2025-10-03T00:00:00"/>
    <s v="Friday"/>
    <s v="Evening"/>
    <x v="0"/>
    <n v="8"/>
    <n v="2"/>
    <x v="0"/>
    <x v="1"/>
    <s v="None"/>
    <n v="2.9"/>
    <x v="10"/>
    <x v="1"/>
  </r>
  <r>
    <s v="HC-00160"/>
    <s v="P-1319"/>
    <s v="Female"/>
    <n v="63"/>
    <x v="3"/>
    <s v="Follow-up"/>
    <d v="2026-01-08T00:00:00"/>
    <d v="2026-03-05T00:00:00"/>
    <s v="Thursday"/>
    <s v="Morning"/>
    <x v="2"/>
    <n v="56"/>
    <n v="6"/>
    <x v="1"/>
    <x v="1"/>
    <s v="None"/>
    <n v="14.3"/>
    <x v="20"/>
    <x v="0"/>
  </r>
  <r>
    <s v="HC-00161"/>
    <s v="P-0105"/>
    <s v="Female"/>
    <n v="71"/>
    <x v="4"/>
    <s v="Follow-up"/>
    <d v="2026-06-05T00:00:00"/>
    <d v="2026-06-28T00:00:00"/>
    <s v="Sunday"/>
    <s v="Evening"/>
    <x v="3"/>
    <n v="23"/>
    <n v="1"/>
    <x v="0"/>
    <x v="0"/>
    <s v="SMS"/>
    <n v="10"/>
    <x v="21"/>
    <x v="0"/>
  </r>
  <r>
    <s v="HC-00162"/>
    <s v="P-0306"/>
    <s v="Female"/>
    <n v="28"/>
    <x v="1"/>
    <s v="Diagnostic Test"/>
    <d v="2025-12-28T00:00:00"/>
    <d v="2025-12-29T00:00:00"/>
    <s v="Monday"/>
    <s v="Morning"/>
    <x v="1"/>
    <n v="1"/>
    <n v="3"/>
    <x v="1"/>
    <x v="0"/>
    <s v="SMS"/>
    <n v="17.8"/>
    <x v="28"/>
    <x v="0"/>
  </r>
  <r>
    <s v="HC-00163"/>
    <s v="P-1573"/>
    <s v="Female"/>
    <n v="44"/>
    <x v="0"/>
    <s v="Follow-up"/>
    <d v="2025-07-26T00:00:00"/>
    <d v="2025-08-12T00:00:00"/>
    <s v="Tuesday"/>
    <s v="Afternoon"/>
    <x v="3"/>
    <n v="17"/>
    <n v="2"/>
    <x v="0"/>
    <x v="0"/>
    <s v="SMS"/>
    <n v="8.6"/>
    <x v="25"/>
    <x v="1"/>
  </r>
  <r>
    <s v="HC-00164"/>
    <s v="P-1021"/>
    <s v="Male"/>
    <n v="54"/>
    <x v="2"/>
    <s v="Diagnostic Test"/>
    <d v="2025-06-20T00:00:00"/>
    <d v="2025-08-10T00:00:00"/>
    <s v="Sunday"/>
    <s v="Afternoon"/>
    <x v="2"/>
    <n v="51"/>
    <n v="4"/>
    <x v="0"/>
    <x v="0"/>
    <s v="SMS"/>
    <n v="17.600000000000001"/>
    <x v="19"/>
    <x v="0"/>
  </r>
  <r>
    <s v="HC-00165"/>
    <s v="P-0240"/>
    <s v="Female"/>
    <n v="45"/>
    <x v="2"/>
    <s v="General Consultation"/>
    <d v="2025-07-27T00:00:00"/>
    <d v="2025-08-17T00:00:00"/>
    <s v="Sunday"/>
    <s v="Morning"/>
    <x v="3"/>
    <n v="21"/>
    <n v="5"/>
    <x v="2"/>
    <x v="1"/>
    <s v="None"/>
    <n v="17.5"/>
    <x v="22"/>
    <x v="0"/>
  </r>
  <r>
    <s v="HC-00166"/>
    <s v="P-0410"/>
    <s v="Female"/>
    <n v="44"/>
    <x v="0"/>
    <s v="Follow-up"/>
    <d v="2026-03-17T00:00:00"/>
    <d v="2026-03-21T00:00:00"/>
    <s v="Saturday"/>
    <s v="Morning"/>
    <x v="1"/>
    <n v="4"/>
    <n v="2"/>
    <x v="0"/>
    <x v="0"/>
    <s v="WhatsApp"/>
    <n v="31.6"/>
    <x v="12"/>
    <x v="0"/>
  </r>
  <r>
    <s v="HC-00167"/>
    <s v="P-1695"/>
    <s v="Female"/>
    <n v="40"/>
    <x v="0"/>
    <s v="Specialist Consultation"/>
    <d v="2025-05-12T00:00:00"/>
    <d v="2025-06-25T00:00:00"/>
    <s v="Wednesday"/>
    <s v="Morning"/>
    <x v="2"/>
    <n v="44"/>
    <n v="2"/>
    <x v="1"/>
    <x v="0"/>
    <s v="Email"/>
    <n v="6.7"/>
    <x v="25"/>
    <x v="0"/>
  </r>
  <r>
    <s v="HC-00168"/>
    <s v="P-1107"/>
    <s v="Female"/>
    <n v="21"/>
    <x v="5"/>
    <s v="General Consultation"/>
    <d v="2025-03-22T00:00:00"/>
    <d v="2025-04-02T00:00:00"/>
    <s v="Wednesday"/>
    <s v="Afternoon"/>
    <x v="0"/>
    <n v="11"/>
    <n v="3"/>
    <x v="0"/>
    <x v="0"/>
    <s v="SMS"/>
    <n v="14.1"/>
    <x v="23"/>
    <x v="1"/>
  </r>
  <r>
    <s v="HC-00169"/>
    <s v="P-0818"/>
    <s v="Male"/>
    <n v="72"/>
    <x v="4"/>
    <s v="Follow-up"/>
    <d v="2025-06-11T00:00:00"/>
    <d v="2025-07-02T00:00:00"/>
    <s v="Wednesday"/>
    <s v="Morning"/>
    <x v="3"/>
    <n v="21"/>
    <n v="1"/>
    <x v="0"/>
    <x v="0"/>
    <s v="SMS"/>
    <n v="3"/>
    <x v="15"/>
    <x v="1"/>
  </r>
  <r>
    <s v="HC-00170"/>
    <s v="P-0868"/>
    <s v="Male"/>
    <n v="76"/>
    <x v="4"/>
    <s v="Follow-up"/>
    <d v="2025-01-13T00:00:00"/>
    <d v="2025-01-13T00:00:00"/>
    <s v="Monday"/>
    <s v="Evening"/>
    <x v="1"/>
    <n v="0"/>
    <n v="5"/>
    <x v="1"/>
    <x v="0"/>
    <s v="WhatsApp"/>
    <n v="0.9"/>
    <x v="20"/>
    <x v="2"/>
  </r>
  <r>
    <s v="HC-00171"/>
    <s v="P-1060"/>
    <s v="Male"/>
    <n v="23"/>
    <x v="5"/>
    <s v="Diagnostic Test"/>
    <d v="2025-01-22T00:00:00"/>
    <d v="2025-02-27T00:00:00"/>
    <s v="Thursday"/>
    <s v="Morning"/>
    <x v="2"/>
    <n v="36"/>
    <n v="1"/>
    <x v="0"/>
    <x v="0"/>
    <s v="SMS"/>
    <n v="13.1"/>
    <x v="13"/>
    <x v="1"/>
  </r>
  <r>
    <s v="HC-00172"/>
    <s v="P-1027"/>
    <s v="Female"/>
    <n v="44"/>
    <x v="0"/>
    <s v="General Consultation"/>
    <d v="2025-01-23T00:00:00"/>
    <d v="2025-02-19T00:00:00"/>
    <s v="Wednesday"/>
    <s v="Evening"/>
    <x v="3"/>
    <n v="27"/>
    <n v="4"/>
    <x v="1"/>
    <x v="0"/>
    <s v="SMS"/>
    <n v="17.600000000000001"/>
    <x v="0"/>
    <x v="0"/>
  </r>
  <r>
    <s v="HC-00173"/>
    <s v="P-1051"/>
    <s v="Female"/>
    <n v="50"/>
    <x v="2"/>
    <s v="Diagnostic Test"/>
    <d v="2026-01-05T00:00:00"/>
    <d v="2026-02-26T00:00:00"/>
    <s v="Thursday"/>
    <s v="Morning"/>
    <x v="2"/>
    <n v="52"/>
    <n v="4"/>
    <x v="0"/>
    <x v="0"/>
    <s v="WhatsApp"/>
    <n v="3.9"/>
    <x v="31"/>
    <x v="1"/>
  </r>
  <r>
    <s v="HC-00174"/>
    <s v="P-0567"/>
    <s v="Female"/>
    <n v="67"/>
    <x v="4"/>
    <s v="General Consultation"/>
    <d v="2026-01-10T00:00:00"/>
    <d v="2026-01-30T00:00:00"/>
    <s v="Friday"/>
    <s v="Afternoon"/>
    <x v="3"/>
    <n v="20"/>
    <n v="5"/>
    <x v="1"/>
    <x v="0"/>
    <s v="SMS"/>
    <n v="5.9"/>
    <x v="19"/>
    <x v="0"/>
  </r>
  <r>
    <s v="HC-00175"/>
    <s v="P-0117"/>
    <s v="Male"/>
    <n v="80"/>
    <x v="4"/>
    <s v="Follow-up"/>
    <d v="2026-01-04T00:00:00"/>
    <d v="2026-01-16T00:00:00"/>
    <s v="Friday"/>
    <s v="Morning"/>
    <x v="0"/>
    <n v="12"/>
    <n v="2"/>
    <x v="1"/>
    <x v="0"/>
    <s v="WhatsApp"/>
    <n v="17.600000000000001"/>
    <x v="3"/>
    <x v="1"/>
  </r>
  <r>
    <s v="HC-00176"/>
    <s v="P-0949"/>
    <s v="Female"/>
    <n v="44"/>
    <x v="0"/>
    <s v="Follow-up"/>
    <d v="2025-08-31T00:00:00"/>
    <d v="2025-09-10T00:00:00"/>
    <s v="Wednesday"/>
    <s v="Morning"/>
    <x v="0"/>
    <n v="10"/>
    <n v="3"/>
    <x v="2"/>
    <x v="0"/>
    <s v="SMS"/>
    <n v="5"/>
    <x v="2"/>
    <x v="1"/>
  </r>
  <r>
    <s v="HC-00177"/>
    <s v="P-1036"/>
    <s v="Male"/>
    <n v="65"/>
    <x v="4"/>
    <s v="General Consultation"/>
    <d v="2026-01-15T00:00:00"/>
    <d v="2026-01-27T00:00:00"/>
    <s v="Tuesday"/>
    <s v="Morning"/>
    <x v="0"/>
    <n v="12"/>
    <n v="2"/>
    <x v="0"/>
    <x v="0"/>
    <s v="Email"/>
    <m/>
    <x v="25"/>
    <x v="0"/>
  </r>
  <r>
    <s v="HC-00178"/>
    <s v="P-0928"/>
    <s v="Male"/>
    <n v="77"/>
    <x v="4"/>
    <s v="Diagnostic Test"/>
    <d v="2025-03-03T00:00:00"/>
    <d v="2025-03-30T00:00:00"/>
    <s v="Sunday"/>
    <s v="Afternoon"/>
    <x v="3"/>
    <n v="27"/>
    <n v="7"/>
    <x v="0"/>
    <x v="0"/>
    <s v="SMS"/>
    <n v="21.7"/>
    <x v="25"/>
    <x v="1"/>
  </r>
  <r>
    <s v="HC-00179"/>
    <s v="P-1756"/>
    <s v="Male"/>
    <n v="70"/>
    <x v="4"/>
    <s v="Diagnostic Test"/>
    <d v="2026-05-02T00:00:00"/>
    <d v="2026-05-07T00:00:00"/>
    <s v="Thursday"/>
    <s v="Morning"/>
    <x v="1"/>
    <n v="5"/>
    <n v="3"/>
    <x v="1"/>
    <x v="0"/>
    <s v="WhatsApp"/>
    <n v="24.5"/>
    <x v="30"/>
    <x v="0"/>
  </r>
  <r>
    <s v="HC-00180"/>
    <s v="P-0310"/>
    <s v="Female"/>
    <n v="36"/>
    <x v="0"/>
    <s v="Diagnostic Test"/>
    <d v="2025-09-07T00:00:00"/>
    <d v="2025-10-01T00:00:00"/>
    <s v="Wednesday"/>
    <s v="Afternoon"/>
    <x v="3"/>
    <n v="24"/>
    <n v="5"/>
    <x v="1"/>
    <x v="0"/>
    <s v="SMS"/>
    <n v="9.8000000000000007"/>
    <x v="17"/>
    <x v="1"/>
  </r>
  <r>
    <s v="HC-00181"/>
    <s v="P-1343"/>
    <s v="Male"/>
    <n v="69"/>
    <x v="4"/>
    <s v="Diagnostic Test"/>
    <d v="2026-04-06T00:00:00"/>
    <d v="2026-05-28T00:00:00"/>
    <s v="Thursday"/>
    <s v="Evening"/>
    <x v="2"/>
    <n v="52"/>
    <n v="3"/>
    <x v="1"/>
    <x v="0"/>
    <s v="SMS"/>
    <n v="9.3000000000000007"/>
    <x v="2"/>
    <x v="2"/>
  </r>
  <r>
    <s v="HC-00182"/>
    <s v="P-0035"/>
    <s v="Female"/>
    <n v="43"/>
    <x v="0"/>
    <s v="Follow-up"/>
    <d v="2025-02-07T00:00:00"/>
    <d v="2025-03-25T00:00:00"/>
    <s v="Tuesday"/>
    <s v="Morning"/>
    <x v="2"/>
    <n v="46"/>
    <n v="2"/>
    <x v="1"/>
    <x v="0"/>
    <s v="WhatsApp"/>
    <n v="24.9"/>
    <x v="11"/>
    <x v="0"/>
  </r>
  <r>
    <s v="HC-00183"/>
    <s v="P-0585"/>
    <s v="Female"/>
    <n v="19"/>
    <x v="5"/>
    <s v="Follow-up"/>
    <d v="2025-08-22T00:00:00"/>
    <d v="2025-09-29T00:00:00"/>
    <s v="Monday"/>
    <s v="Morning"/>
    <x v="2"/>
    <n v="38"/>
    <n v="2"/>
    <x v="0"/>
    <x v="0"/>
    <s v="Email"/>
    <n v="18.2"/>
    <x v="17"/>
    <x v="1"/>
  </r>
  <r>
    <s v="HC-00184"/>
    <s v="P-1187"/>
    <s v="Male"/>
    <n v="65"/>
    <x v="4"/>
    <s v="Specialist Consultation"/>
    <d v="2025-11-23T00:00:00"/>
    <d v="2026-01-16T00:00:00"/>
    <s v="Friday"/>
    <s v="Morning"/>
    <x v="2"/>
    <n v="54"/>
    <n v="4"/>
    <x v="0"/>
    <x v="0"/>
    <s v="SMS"/>
    <n v="25.4"/>
    <x v="0"/>
    <x v="2"/>
  </r>
  <r>
    <s v="HC-00185"/>
    <s v="P-0889"/>
    <s v="Male"/>
    <n v="70"/>
    <x v="4"/>
    <s v="General Consultation"/>
    <d v="2025-08-12T00:00:00"/>
    <d v="2025-09-28T00:00:00"/>
    <s v="Sunday"/>
    <s v="Morning"/>
    <x v="2"/>
    <n v="47"/>
    <n v="8"/>
    <x v="3"/>
    <x v="0"/>
    <s v="SMS"/>
    <n v="5.6"/>
    <x v="22"/>
    <x v="0"/>
  </r>
  <r>
    <s v="HC-00186"/>
    <s v="P-0439"/>
    <s v="Female"/>
    <n v="39"/>
    <x v="0"/>
    <s v="Specialist Consultation"/>
    <d v="2025-07-24T00:00:00"/>
    <d v="2025-09-01T00:00:00"/>
    <s v="Monday"/>
    <s v="Afternoon"/>
    <x v="2"/>
    <n v="39"/>
    <n v="7"/>
    <x v="1"/>
    <x v="0"/>
    <s v="SMS"/>
    <n v="6.7"/>
    <x v="25"/>
    <x v="0"/>
  </r>
  <r>
    <s v="HC-00187"/>
    <s v="P-0864"/>
    <s v="Female"/>
    <n v="46"/>
    <x v="2"/>
    <s v="Follow-up"/>
    <d v="2025-02-08T00:00:00"/>
    <d v="2025-04-01T00:00:00"/>
    <s v="Tuesday"/>
    <s v="Afternoon"/>
    <x v="2"/>
    <n v="52"/>
    <n v="3"/>
    <x v="1"/>
    <x v="0"/>
    <s v="WhatsApp"/>
    <n v="1.7"/>
    <x v="20"/>
    <x v="0"/>
  </r>
  <r>
    <s v="HC-00188"/>
    <s v="P-0956"/>
    <s v="Female"/>
    <n v="40"/>
    <x v="0"/>
    <s v="Follow-up"/>
    <d v="2025-07-21T00:00:00"/>
    <d v="2025-07-28T00:00:00"/>
    <s v="Monday"/>
    <s v="Morning"/>
    <x v="1"/>
    <n v="7"/>
    <n v="6"/>
    <x v="2"/>
    <x v="1"/>
    <s v="None"/>
    <n v="2"/>
    <x v="47"/>
    <x v="1"/>
  </r>
  <r>
    <s v="HC-00189"/>
    <s v="P-0195"/>
    <s v="Male"/>
    <n v="25"/>
    <x v="1"/>
    <s v="General Consultation"/>
    <d v="2025-03-23T00:00:00"/>
    <d v="2025-05-11T00:00:00"/>
    <s v="Sunday"/>
    <s v="Morning"/>
    <x v="2"/>
    <n v="49"/>
    <n v="1"/>
    <x v="0"/>
    <x v="1"/>
    <s v="None"/>
    <n v="2.2000000000000002"/>
    <x v="13"/>
    <x v="1"/>
  </r>
  <r>
    <s v="HC-00190"/>
    <s v="P-0033"/>
    <s v="Female"/>
    <n v="80"/>
    <x v="4"/>
    <s v="General Consultation"/>
    <d v="2025-05-27T00:00:00"/>
    <d v="2025-06-14T00:00:00"/>
    <s v="Saturday"/>
    <s v="Afternoon"/>
    <x v="3"/>
    <n v="18"/>
    <n v="4"/>
    <x v="2"/>
    <x v="1"/>
    <s v="None"/>
    <n v="6.8"/>
    <x v="9"/>
    <x v="0"/>
  </r>
  <r>
    <s v="HC-00191"/>
    <s v="P-0414"/>
    <s v="Female"/>
    <n v="19"/>
    <x v="5"/>
    <s v="General Consultation"/>
    <d v="2025-11-26T00:00:00"/>
    <d v="2026-01-09T00:00:00"/>
    <s v="Friday"/>
    <s v="Morning"/>
    <x v="2"/>
    <n v="44"/>
    <n v="5"/>
    <x v="0"/>
    <x v="0"/>
    <s v="SMS"/>
    <n v="4.4000000000000004"/>
    <x v="0"/>
    <x v="0"/>
  </r>
  <r>
    <s v="HC-00192"/>
    <s v="P-0482"/>
    <s v="Female"/>
    <n v="53"/>
    <x v="2"/>
    <s v="Follow-up"/>
    <d v="2025-10-17T00:00:00"/>
    <d v="2025-12-11T00:00:00"/>
    <s v="Thursday"/>
    <s v="Afternoon"/>
    <x v="2"/>
    <n v="55"/>
    <n v="4"/>
    <x v="2"/>
    <x v="0"/>
    <s v="WhatsApp"/>
    <n v="9.6999999999999993"/>
    <x v="28"/>
    <x v="0"/>
  </r>
  <r>
    <s v="HC-00193"/>
    <s v="P-0954"/>
    <s v="Male"/>
    <n v="18"/>
    <x v="5"/>
    <s v="General Consultation"/>
    <d v="2025-10-29T00:00:00"/>
    <d v="2025-11-28T00:00:00"/>
    <s v="Friday"/>
    <s v="Evening"/>
    <x v="3"/>
    <n v="30"/>
    <n v="3"/>
    <x v="0"/>
    <x v="1"/>
    <s v="None"/>
    <n v="5.3"/>
    <x v="45"/>
    <x v="1"/>
  </r>
  <r>
    <s v="HC-00194"/>
    <s v="P-0073"/>
    <s v="Male"/>
    <n v="61"/>
    <x v="3"/>
    <s v="General Consultation"/>
    <d v="2025-07-12T00:00:00"/>
    <d v="2025-07-17T00:00:00"/>
    <s v="Thursday"/>
    <s v="Morning"/>
    <x v="1"/>
    <n v="5"/>
    <n v="0"/>
    <x v="0"/>
    <x v="0"/>
    <s v="SMS"/>
    <n v="20.100000000000001"/>
    <x v="45"/>
    <x v="1"/>
  </r>
  <r>
    <s v="HC-00195"/>
    <s v="P-0693"/>
    <s v="Female"/>
    <n v="74"/>
    <x v="4"/>
    <s v="General Consultation"/>
    <d v="2026-05-17T00:00:00"/>
    <d v="2026-06-08T00:00:00"/>
    <s v="Monday"/>
    <s v="Afternoon"/>
    <x v="3"/>
    <n v="22"/>
    <n v="1"/>
    <x v="0"/>
    <x v="1"/>
    <s v="None"/>
    <n v="4.0999999999999996"/>
    <x v="20"/>
    <x v="2"/>
  </r>
  <r>
    <s v="HC-00196"/>
    <s v="P-0531"/>
    <s v="Male"/>
    <n v="58"/>
    <x v="3"/>
    <s v="Follow-up"/>
    <d v="2025-01-24T00:00:00"/>
    <d v="2025-02-17T00:00:00"/>
    <s v="Monday"/>
    <s v="Afternoon"/>
    <x v="3"/>
    <n v="24"/>
    <n v="1"/>
    <x v="1"/>
    <x v="0"/>
    <s v="Email"/>
    <n v="1.5"/>
    <x v="14"/>
    <x v="1"/>
  </r>
  <r>
    <s v="HC-00197"/>
    <s v="P-1104"/>
    <s v="Female"/>
    <n v="56"/>
    <x v="3"/>
    <s v="General Consultation"/>
    <d v="2025-05-11T00:00:00"/>
    <d v="2025-07-07T00:00:00"/>
    <s v="Monday"/>
    <s v="Afternoon"/>
    <x v="2"/>
    <n v="57"/>
    <n v="3"/>
    <x v="1"/>
    <x v="0"/>
    <s v="WhatsApp"/>
    <n v="2.8"/>
    <x v="16"/>
    <x v="0"/>
  </r>
  <r>
    <s v="HC-00198"/>
    <s v="P-1314"/>
    <s v="Male"/>
    <n v="70"/>
    <x v="4"/>
    <s v="Specialist Consultation"/>
    <d v="2025-01-08T00:00:00"/>
    <d v="2025-03-06T00:00:00"/>
    <s v="Thursday"/>
    <s v="Afternoon"/>
    <x v="2"/>
    <n v="57"/>
    <n v="3"/>
    <x v="1"/>
    <x v="0"/>
    <s v="Email"/>
    <n v="18.5"/>
    <x v="6"/>
    <x v="1"/>
  </r>
  <r>
    <s v="HC-00199"/>
    <s v="P-1325"/>
    <s v="Male"/>
    <n v="79"/>
    <x v="4"/>
    <s v="General Consultation"/>
    <d v="2025-06-01T00:00:00"/>
    <d v="2025-07-05T00:00:00"/>
    <s v="Saturday"/>
    <s v="Afternoon"/>
    <x v="2"/>
    <n v="34"/>
    <n v="4"/>
    <x v="2"/>
    <x v="0"/>
    <s v="WhatsApp"/>
    <n v="4.2"/>
    <x v="22"/>
    <x v="1"/>
  </r>
  <r>
    <s v="HC-00200"/>
    <s v="P-1129"/>
    <s v="Female"/>
    <n v="72"/>
    <x v="4"/>
    <s v="Follow-up"/>
    <d v="2026-04-14T00:00:00"/>
    <d v="2026-06-10T00:00:00"/>
    <s v="Wednesday"/>
    <s v="Afternoon"/>
    <x v="2"/>
    <n v="57"/>
    <n v="3"/>
    <x v="1"/>
    <x v="0"/>
    <s v="WhatsApp"/>
    <n v="13.7"/>
    <x v="7"/>
    <x v="0"/>
  </r>
  <r>
    <s v="HC-00201"/>
    <s v="P-0904"/>
    <s v="Male"/>
    <n v="32"/>
    <x v="1"/>
    <s v="General Consultation"/>
    <d v="2025-06-23T00:00:00"/>
    <d v="2025-07-19T00:00:00"/>
    <s v="Saturday"/>
    <s v="Afternoon"/>
    <x v="3"/>
    <n v="26"/>
    <n v="3"/>
    <x v="1"/>
    <x v="1"/>
    <s v="None"/>
    <n v="9.6"/>
    <x v="20"/>
    <x v="0"/>
  </r>
  <r>
    <s v="HC-00202"/>
    <s v="P-0297"/>
    <s v="Male"/>
    <n v="53"/>
    <x v="2"/>
    <s v="Follow-up"/>
    <d v="2026-04-17T00:00:00"/>
    <d v="2026-05-12T00:00:00"/>
    <s v="Tuesday"/>
    <s v="Afternoon"/>
    <x v="3"/>
    <n v="25"/>
    <n v="3"/>
    <x v="0"/>
    <x v="0"/>
    <s v="SMS"/>
    <n v="16.8"/>
    <x v="6"/>
    <x v="1"/>
  </r>
  <r>
    <s v="HC-00203"/>
    <s v="P-1104"/>
    <s v="Female"/>
    <n v="69"/>
    <x v="4"/>
    <s v="Follow-up"/>
    <d v="2025-08-08T00:00:00"/>
    <d v="2025-09-28T00:00:00"/>
    <s v="Sunday"/>
    <s v="Afternoon"/>
    <x v="2"/>
    <n v="51"/>
    <n v="2"/>
    <x v="0"/>
    <x v="0"/>
    <s v="SMS"/>
    <n v="21.6"/>
    <x v="23"/>
    <x v="1"/>
  </r>
  <r>
    <s v="HC-00204"/>
    <s v="P-0219"/>
    <s v="Female"/>
    <n v="36"/>
    <x v="0"/>
    <s v="Follow-up"/>
    <d v="2025-12-09T00:00:00"/>
    <d v="2026-01-18T00:00:00"/>
    <s v="Sunday"/>
    <s v="Afternoon"/>
    <x v="2"/>
    <n v="40"/>
    <n v="2"/>
    <x v="0"/>
    <x v="0"/>
    <s v="SMS"/>
    <n v="10.1"/>
    <x v="31"/>
    <x v="0"/>
  </r>
  <r>
    <s v="HC-00205"/>
    <s v="P-0763"/>
    <s v="Male"/>
    <n v="60"/>
    <x v="3"/>
    <s v="Follow-up"/>
    <d v="2025-08-07T00:00:00"/>
    <d v="2025-09-07T00:00:00"/>
    <s v="Sunday"/>
    <s v="Morning"/>
    <x v="2"/>
    <n v="31"/>
    <n v="0"/>
    <x v="0"/>
    <x v="0"/>
    <s v="WhatsApp"/>
    <n v="10.3"/>
    <x v="1"/>
    <x v="1"/>
  </r>
  <r>
    <s v="HC-00206"/>
    <s v="P-0213"/>
    <s v="Female"/>
    <n v="19"/>
    <x v="5"/>
    <s v="Follow-up"/>
    <d v="2025-04-29T00:00:00"/>
    <d v="2025-05-26T00:00:00"/>
    <s v="Monday"/>
    <s v="Afternoon"/>
    <x v="3"/>
    <n v="27"/>
    <n v="4"/>
    <x v="0"/>
    <x v="1"/>
    <s v="None"/>
    <n v="0.9"/>
    <x v="38"/>
    <x v="1"/>
  </r>
  <r>
    <s v="HC-00207"/>
    <s v="P-0490"/>
    <s v="Male"/>
    <n v="73"/>
    <x v="4"/>
    <s v="General Consultation"/>
    <d v="2026-01-10T00:00:00"/>
    <d v="2026-02-22T00:00:00"/>
    <s v="Sunday"/>
    <s v="Morning"/>
    <x v="2"/>
    <n v="43"/>
    <n v="2"/>
    <x v="0"/>
    <x v="0"/>
    <s v="SMS"/>
    <n v="9"/>
    <x v="39"/>
    <x v="1"/>
  </r>
  <r>
    <s v="HC-00208"/>
    <s v="P-1530"/>
    <s v="Female"/>
    <n v="56"/>
    <x v="3"/>
    <s v="Follow-up"/>
    <d v="2026-04-30T00:00:00"/>
    <d v="2026-06-14T00:00:00"/>
    <s v="Sunday"/>
    <s v="Morning"/>
    <x v="2"/>
    <n v="45"/>
    <n v="4"/>
    <x v="0"/>
    <x v="0"/>
    <s v="WhatsApp"/>
    <n v="6"/>
    <x v="5"/>
    <x v="0"/>
  </r>
  <r>
    <s v="HC-00209"/>
    <s v="P-0018"/>
    <s v="Male"/>
    <n v="64"/>
    <x v="3"/>
    <s v="General Consultation"/>
    <d v="2025-04-25T00:00:00"/>
    <d v="2025-05-24T00:00:00"/>
    <s v="Saturday"/>
    <s v="Morning"/>
    <x v="3"/>
    <n v="29"/>
    <n v="1"/>
    <x v="0"/>
    <x v="0"/>
    <s v="SMS"/>
    <n v="12.6"/>
    <x v="13"/>
    <x v="1"/>
  </r>
  <r>
    <s v="HC-00210"/>
    <s v="P-0513"/>
    <s v="Male"/>
    <n v="70"/>
    <x v="4"/>
    <s v="Follow-up"/>
    <d v="2026-03-01T00:00:00"/>
    <d v="2026-03-02T00:00:00"/>
    <s v="Monday"/>
    <s v="Morning"/>
    <x v="1"/>
    <n v="1"/>
    <n v="3"/>
    <x v="1"/>
    <x v="0"/>
    <s v="Email"/>
    <n v="13.7"/>
    <x v="11"/>
    <x v="1"/>
  </r>
  <r>
    <s v="HC-00211"/>
    <s v="P-0157"/>
    <s v="Male"/>
    <n v="31"/>
    <x v="1"/>
    <s v="Follow-up"/>
    <d v="2025-05-17T00:00:00"/>
    <d v="2025-05-23T00:00:00"/>
    <s v="Friday"/>
    <s v="Afternoon"/>
    <x v="1"/>
    <n v="6"/>
    <n v="2"/>
    <x v="0"/>
    <x v="0"/>
    <s v="WhatsApp"/>
    <n v="3.1"/>
    <x v="23"/>
    <x v="1"/>
  </r>
  <r>
    <s v="HC-00212"/>
    <s v="P-1792"/>
    <s v="Female"/>
    <n v="46"/>
    <x v="2"/>
    <s v="Specialist Consultation"/>
    <d v="2026-01-19T00:00:00"/>
    <d v="2026-01-27T00:00:00"/>
    <s v="Tuesday"/>
    <s v="Morning"/>
    <x v="0"/>
    <n v="8"/>
    <n v="3"/>
    <x v="1"/>
    <x v="0"/>
    <s v="WhatsApp"/>
    <n v="7.6"/>
    <x v="47"/>
    <x v="1"/>
  </r>
  <r>
    <s v="HC-00213"/>
    <s v="P-1572"/>
    <s v="Male"/>
    <n v="72"/>
    <x v="4"/>
    <s v="Follow-up"/>
    <d v="2026-02-07T00:00:00"/>
    <d v="2026-03-07T00:00:00"/>
    <s v="Saturday"/>
    <s v="Afternoon"/>
    <x v="3"/>
    <n v="28"/>
    <n v="2"/>
    <x v="1"/>
    <x v="1"/>
    <s v="None"/>
    <n v="19.3"/>
    <x v="48"/>
    <x v="1"/>
  </r>
  <r>
    <s v="HC-00214"/>
    <s v="P-0999"/>
    <s v="Male"/>
    <n v="28"/>
    <x v="1"/>
    <s v="General Consultation"/>
    <d v="2025-07-28T00:00:00"/>
    <d v="2025-09-03T00:00:00"/>
    <s v="Wednesday"/>
    <s v="Afternoon"/>
    <x v="2"/>
    <n v="37"/>
    <n v="1"/>
    <x v="0"/>
    <x v="0"/>
    <s v="SMS"/>
    <n v="13.8"/>
    <x v="24"/>
    <x v="0"/>
  </r>
  <r>
    <s v="HC-00215"/>
    <s v="P-0309"/>
    <s v="Male"/>
    <n v="69"/>
    <x v="4"/>
    <s v="General Consultation"/>
    <d v="2025-12-20T00:00:00"/>
    <d v="2026-02-07T00:00:00"/>
    <s v="Saturday"/>
    <s v="Morning"/>
    <x v="2"/>
    <n v="49"/>
    <n v="1"/>
    <x v="0"/>
    <x v="0"/>
    <s v="SMS"/>
    <n v="11"/>
    <x v="17"/>
    <x v="1"/>
  </r>
  <r>
    <s v="HC-00216"/>
    <s v="P-1798"/>
    <s v="Male"/>
    <n v="36"/>
    <x v="0"/>
    <s v="General Consultation"/>
    <d v="2025-05-15T00:00:00"/>
    <d v="2025-05-29T00:00:00"/>
    <s v="Thursday"/>
    <s v="Morning"/>
    <x v="0"/>
    <n v="14"/>
    <n v="4"/>
    <x v="2"/>
    <x v="0"/>
    <s v="SMS"/>
    <n v="12.1"/>
    <x v="23"/>
    <x v="0"/>
  </r>
  <r>
    <s v="HC-00217"/>
    <s v="P-0146"/>
    <s v="Female"/>
    <n v="54"/>
    <x v="2"/>
    <s v="Follow-up"/>
    <d v="2024-12-28T00:00:00"/>
    <d v="2025-02-13T00:00:00"/>
    <s v="Thursday"/>
    <s v="Afternoon"/>
    <x v="2"/>
    <n v="47"/>
    <n v="8"/>
    <x v="1"/>
    <x v="0"/>
    <s v="SMS"/>
    <n v="0.8"/>
    <x v="9"/>
    <x v="0"/>
  </r>
  <r>
    <s v="HC-00218"/>
    <s v="P-0434"/>
    <s v="Male"/>
    <n v="50"/>
    <x v="2"/>
    <s v="Specialist Consultation"/>
    <d v="2025-01-13T00:00:00"/>
    <d v="2025-02-22T00:00:00"/>
    <s v="Saturday"/>
    <s v="Afternoon"/>
    <x v="2"/>
    <n v="40"/>
    <n v="2"/>
    <x v="0"/>
    <x v="0"/>
    <s v="WhatsApp"/>
    <n v="8.6"/>
    <x v="4"/>
    <x v="1"/>
  </r>
  <r>
    <s v="HC-00219"/>
    <s v="P-1004"/>
    <s v="Female"/>
    <n v="61"/>
    <x v="3"/>
    <s v="Specialist Consultation"/>
    <d v="2025-08-30T00:00:00"/>
    <d v="2025-09-02T00:00:00"/>
    <s v="Tuesday"/>
    <s v="Morning"/>
    <x v="1"/>
    <n v="3"/>
    <n v="4"/>
    <x v="0"/>
    <x v="0"/>
    <s v="Email"/>
    <n v="5.2"/>
    <x v="15"/>
    <x v="1"/>
  </r>
  <r>
    <s v="HC-00220"/>
    <s v="P-1708"/>
    <s v="Female"/>
    <n v="70"/>
    <x v="4"/>
    <s v="Follow-up"/>
    <d v="2026-04-17T00:00:00"/>
    <d v="2026-05-08T00:00:00"/>
    <s v="Friday"/>
    <s v="Morning"/>
    <x v="3"/>
    <n v="21"/>
    <n v="4"/>
    <x v="0"/>
    <x v="0"/>
    <s v="WhatsApp"/>
    <n v="21.5"/>
    <x v="36"/>
    <x v="1"/>
  </r>
  <r>
    <s v="HC-00221"/>
    <s v="P-0269"/>
    <s v="Male"/>
    <n v="39"/>
    <x v="0"/>
    <s v="General Consultation"/>
    <d v="2025-02-21T00:00:00"/>
    <d v="2025-03-11T00:00:00"/>
    <s v="Tuesday"/>
    <s v="Morning"/>
    <x v="3"/>
    <n v="18"/>
    <n v="0"/>
    <x v="0"/>
    <x v="0"/>
    <s v="WhatsApp"/>
    <n v="30"/>
    <x v="37"/>
    <x v="0"/>
  </r>
  <r>
    <s v="HC-00222"/>
    <s v="P-1661"/>
    <s v="Female"/>
    <n v="28"/>
    <x v="1"/>
    <s v="Specialist Consultation"/>
    <d v="2025-07-14T00:00:00"/>
    <d v="2025-09-06T00:00:00"/>
    <s v="Saturday"/>
    <s v="Morning"/>
    <x v="2"/>
    <n v="54"/>
    <n v="1"/>
    <x v="0"/>
    <x v="0"/>
    <s v="Email"/>
    <n v="5.2"/>
    <x v="27"/>
    <x v="1"/>
  </r>
  <r>
    <s v="HC-00223"/>
    <s v="P-0391"/>
    <s v="Male"/>
    <n v="44"/>
    <x v="0"/>
    <s v="General Consultation"/>
    <d v="2025-11-25T00:00:00"/>
    <d v="2026-01-20T00:00:00"/>
    <s v="Tuesday"/>
    <s v="Morning"/>
    <x v="2"/>
    <n v="56"/>
    <n v="4"/>
    <x v="1"/>
    <x v="1"/>
    <s v="None"/>
    <n v="23.3"/>
    <x v="49"/>
    <x v="0"/>
  </r>
  <r>
    <s v="HC-00224"/>
    <s v="P-0308"/>
    <s v="Female"/>
    <n v="56"/>
    <x v="3"/>
    <s v="General Consultation"/>
    <d v="2025-03-03T00:00:00"/>
    <d v="2025-04-21T00:00:00"/>
    <s v="Monday"/>
    <s v="Evening"/>
    <x v="2"/>
    <n v="49"/>
    <n v="2"/>
    <x v="0"/>
    <x v="0"/>
    <s v="SMS"/>
    <n v="13.2"/>
    <x v="12"/>
    <x v="2"/>
  </r>
  <r>
    <s v="HC-00225"/>
    <s v="P-1746"/>
    <s v="Female"/>
    <n v="65"/>
    <x v="4"/>
    <s v="Specialist Consultation"/>
    <d v="2025-12-29T00:00:00"/>
    <d v="2026-01-30T00:00:00"/>
    <s v="Friday"/>
    <s v="Morning"/>
    <x v="2"/>
    <n v="32"/>
    <n v="3"/>
    <x v="0"/>
    <x v="0"/>
    <s v="SMS"/>
    <n v="0.8"/>
    <x v="36"/>
    <x v="1"/>
  </r>
  <r>
    <s v="HC-00226"/>
    <s v="P-1776"/>
    <s v="Male"/>
    <n v="65"/>
    <x v="4"/>
    <s v="General Consultation"/>
    <d v="2025-05-18T00:00:00"/>
    <d v="2025-06-17T00:00:00"/>
    <s v="Tuesday"/>
    <s v="Morning"/>
    <x v="3"/>
    <n v="30"/>
    <n v="3"/>
    <x v="0"/>
    <x v="0"/>
    <s v="SMS"/>
    <n v="19.600000000000001"/>
    <x v="18"/>
    <x v="1"/>
  </r>
  <r>
    <s v="HC-00227"/>
    <s v="P-0235"/>
    <s v="Female"/>
    <n v="39"/>
    <x v="0"/>
    <s v="General Consultation"/>
    <d v="2026-02-27T00:00:00"/>
    <d v="2026-03-18T00:00:00"/>
    <s v="Wednesday"/>
    <s v="Evening"/>
    <x v="3"/>
    <n v="19"/>
    <n v="0"/>
    <x v="0"/>
    <x v="1"/>
    <s v="None"/>
    <n v="16.600000000000001"/>
    <x v="10"/>
    <x v="1"/>
  </r>
  <r>
    <s v="HC-00228"/>
    <s v="P-0631"/>
    <s v="Male"/>
    <n v="76"/>
    <x v="4"/>
    <s v="General Consultation"/>
    <d v="2025-09-27T00:00:00"/>
    <d v="2025-11-13T00:00:00"/>
    <s v="Thursday"/>
    <s v="Afternoon"/>
    <x v="2"/>
    <n v="47"/>
    <n v="4"/>
    <x v="0"/>
    <x v="0"/>
    <s v="WhatsApp"/>
    <n v="8.6"/>
    <x v="11"/>
    <x v="1"/>
  </r>
  <r>
    <s v="HC-00229"/>
    <s v="P-0711"/>
    <s v="Prefer not to say"/>
    <n v="23"/>
    <x v="5"/>
    <s v="Follow-up"/>
    <d v="2025-10-21T00:00:00"/>
    <d v="2025-10-26T00:00:00"/>
    <s v="Sunday"/>
    <s v="Morning"/>
    <x v="1"/>
    <n v="5"/>
    <n v="7"/>
    <x v="0"/>
    <x v="0"/>
    <s v="WhatsApp"/>
    <n v="13.2"/>
    <x v="31"/>
    <x v="1"/>
  </r>
  <r>
    <s v="HC-00230"/>
    <s v="P-0266"/>
    <s v="Female"/>
    <n v="25"/>
    <x v="1"/>
    <s v="General Consultation"/>
    <d v="2025-03-22T00:00:00"/>
    <d v="2025-04-07T00:00:00"/>
    <s v="Monday"/>
    <s v="Afternoon"/>
    <x v="3"/>
    <n v="16"/>
    <n v="0"/>
    <x v="0"/>
    <x v="0"/>
    <s v="SMS"/>
    <n v="14.2"/>
    <x v="18"/>
    <x v="0"/>
  </r>
  <r>
    <s v="HC-00231"/>
    <s v="P-1666"/>
    <s v="Female"/>
    <n v="19"/>
    <x v="5"/>
    <s v="Follow-up"/>
    <d v="2025-09-02T00:00:00"/>
    <d v="2025-09-10T00:00:00"/>
    <s v="Wednesday"/>
    <s v="Evening"/>
    <x v="0"/>
    <n v="8"/>
    <n v="3"/>
    <x v="0"/>
    <x v="0"/>
    <s v="WhatsApp"/>
    <n v="21.4"/>
    <x v="26"/>
    <x v="1"/>
  </r>
  <r>
    <s v="HC-00232"/>
    <s v="P-0657"/>
    <s v="Female"/>
    <n v="76"/>
    <x v="4"/>
    <s v="Follow-up"/>
    <d v="2026-03-14T00:00:00"/>
    <d v="2026-04-13T00:00:00"/>
    <s v="Monday"/>
    <s v="Morning"/>
    <x v="3"/>
    <n v="30"/>
    <n v="0"/>
    <x v="0"/>
    <x v="0"/>
    <s v="WhatsApp"/>
    <n v="21.7"/>
    <x v="23"/>
    <x v="1"/>
  </r>
  <r>
    <s v="HC-00233"/>
    <s v="P-1451"/>
    <s v="Male"/>
    <n v="29"/>
    <x v="1"/>
    <s v="General Consultation"/>
    <d v="2024-12-24T00:00:00"/>
    <d v="2025-01-11T00:00:00"/>
    <s v="Saturday"/>
    <s v="Morning"/>
    <x v="3"/>
    <n v="18"/>
    <n v="4"/>
    <x v="1"/>
    <x v="1"/>
    <s v="None"/>
    <n v="6.4"/>
    <x v="4"/>
    <x v="0"/>
  </r>
  <r>
    <s v="HC-00234"/>
    <s v="P-0147"/>
    <s v="Female"/>
    <n v="55"/>
    <x v="3"/>
    <s v="General Consultation"/>
    <d v="2026-02-07T00:00:00"/>
    <d v="2026-02-19T00:00:00"/>
    <s v="Thursday"/>
    <s v="Afternoon"/>
    <x v="0"/>
    <n v="12"/>
    <n v="0"/>
    <x v="0"/>
    <x v="1"/>
    <s v="None"/>
    <n v="4.8"/>
    <x v="6"/>
    <x v="1"/>
  </r>
  <r>
    <s v="HC-00235"/>
    <s v="P-0699"/>
    <s v="Male"/>
    <n v="69"/>
    <x v="4"/>
    <s v="Specialist Consultation"/>
    <d v="2025-09-05T00:00:00"/>
    <d v="2025-09-27T00:00:00"/>
    <s v="Saturday"/>
    <s v="Afternoon"/>
    <x v="3"/>
    <n v="22"/>
    <n v="1"/>
    <x v="0"/>
    <x v="1"/>
    <s v="None"/>
    <n v="5.2"/>
    <x v="4"/>
    <x v="1"/>
  </r>
  <r>
    <s v="HC-00236"/>
    <s v="P-1076"/>
    <s v="Prefer not to say"/>
    <n v="66"/>
    <x v="4"/>
    <s v="General Consultation"/>
    <d v="2025-12-07T00:00:00"/>
    <d v="2026-01-28T00:00:00"/>
    <s v="Wednesday"/>
    <s v="Evening"/>
    <x v="2"/>
    <n v="52"/>
    <n v="3"/>
    <x v="1"/>
    <x v="1"/>
    <s v="None"/>
    <n v="4.7"/>
    <x v="31"/>
    <x v="0"/>
  </r>
  <r>
    <s v="HC-00237"/>
    <s v="P-0343"/>
    <s v="Female"/>
    <n v="77"/>
    <x v="4"/>
    <s v="Specialist Consultation"/>
    <d v="2025-11-25T00:00:00"/>
    <d v="2025-12-29T00:00:00"/>
    <s v="Monday"/>
    <s v="Morning"/>
    <x v="2"/>
    <n v="34"/>
    <n v="2"/>
    <x v="0"/>
    <x v="0"/>
    <s v="WhatsApp"/>
    <n v="6.6"/>
    <x v="16"/>
    <x v="1"/>
  </r>
  <r>
    <s v="HC-00238"/>
    <s v="P-1080"/>
    <s v="Male"/>
    <n v="21"/>
    <x v="5"/>
    <s v="Follow-up"/>
    <d v="2025-07-05T00:00:00"/>
    <d v="2025-08-24T00:00:00"/>
    <s v="Sunday"/>
    <s v="Evening"/>
    <x v="2"/>
    <n v="50"/>
    <n v="3"/>
    <x v="0"/>
    <x v="1"/>
    <s v="None"/>
    <n v="6.8"/>
    <x v="7"/>
    <x v="2"/>
  </r>
  <r>
    <s v="HC-00239"/>
    <s v="P-0773"/>
    <s v="Female"/>
    <n v="43"/>
    <x v="0"/>
    <s v="General Consultation"/>
    <d v="2025-04-24T00:00:00"/>
    <d v="2025-06-18T00:00:00"/>
    <s v="Wednesday"/>
    <s v="Morning"/>
    <x v="2"/>
    <n v="55"/>
    <n v="3"/>
    <x v="1"/>
    <x v="1"/>
    <s v="None"/>
    <n v="4.4000000000000004"/>
    <x v="6"/>
    <x v="0"/>
  </r>
  <r>
    <s v="HC-00240"/>
    <s v="P-0598"/>
    <s v="Male"/>
    <n v="49"/>
    <x v="2"/>
    <s v="Follow-up"/>
    <d v="2025-10-15T00:00:00"/>
    <d v="2025-12-09T00:00:00"/>
    <s v="Tuesday"/>
    <s v="Afternoon"/>
    <x v="2"/>
    <n v="55"/>
    <n v="2"/>
    <x v="0"/>
    <x v="0"/>
    <s v="SMS"/>
    <n v="7.6"/>
    <x v="23"/>
    <x v="0"/>
  </r>
  <r>
    <s v="HC-00241"/>
    <s v="P-0714"/>
    <s v="Female"/>
    <n v="61"/>
    <x v="3"/>
    <s v="Follow-up"/>
    <d v="2025-02-25T00:00:00"/>
    <d v="2025-03-18T00:00:00"/>
    <s v="Tuesday"/>
    <s v="Evening"/>
    <x v="3"/>
    <n v="21"/>
    <n v="3"/>
    <x v="2"/>
    <x v="1"/>
    <s v="None"/>
    <n v="19.5"/>
    <x v="47"/>
    <x v="0"/>
  </r>
  <r>
    <s v="HC-00242"/>
    <s v="P-0566"/>
    <s v="Male"/>
    <n v="57"/>
    <x v="3"/>
    <s v="Follow-up"/>
    <d v="2025-09-23T00:00:00"/>
    <d v="2025-11-15T00:00:00"/>
    <s v="Saturday"/>
    <s v="Morning"/>
    <x v="2"/>
    <n v="53"/>
    <n v="0"/>
    <x v="0"/>
    <x v="1"/>
    <s v="None"/>
    <n v="9"/>
    <x v="24"/>
    <x v="0"/>
  </r>
  <r>
    <s v="HC-00243"/>
    <s v="P-0504"/>
    <s v="Female"/>
    <n v="53"/>
    <x v="2"/>
    <s v="Specialist Consultation"/>
    <d v="2024-12-28T00:00:00"/>
    <d v="2025-02-21T00:00:00"/>
    <s v="Friday"/>
    <s v="Morning"/>
    <x v="2"/>
    <n v="55"/>
    <n v="3"/>
    <x v="0"/>
    <x v="0"/>
    <s v="SMS"/>
    <n v="3.1"/>
    <x v="14"/>
    <x v="1"/>
  </r>
  <r>
    <s v="HC-00244"/>
    <s v="P-0065"/>
    <s v="Male"/>
    <n v="37"/>
    <x v="0"/>
    <s v="Diagnostic Test"/>
    <d v="2025-10-24T00:00:00"/>
    <d v="2025-12-21T00:00:00"/>
    <s v="Sunday"/>
    <s v="Afternoon"/>
    <x v="2"/>
    <n v="58"/>
    <n v="3"/>
    <x v="1"/>
    <x v="0"/>
    <s v="SMS"/>
    <n v="5.4"/>
    <x v="25"/>
    <x v="0"/>
  </r>
  <r>
    <s v="HC-00245"/>
    <s v="P-0984"/>
    <s v="Female"/>
    <n v="24"/>
    <x v="5"/>
    <s v="Specialist Consultation"/>
    <d v="2025-11-19T00:00:00"/>
    <d v="2025-12-10T00:00:00"/>
    <s v="Wednesday"/>
    <s v="Afternoon"/>
    <x v="3"/>
    <n v="21"/>
    <n v="5"/>
    <x v="2"/>
    <x v="0"/>
    <s v="WhatsApp"/>
    <n v="25.1"/>
    <x v="12"/>
    <x v="1"/>
  </r>
  <r>
    <s v="HC-00246"/>
    <s v="P-1199"/>
    <s v="Male"/>
    <n v="45"/>
    <x v="2"/>
    <s v="Follow-up"/>
    <d v="2025-02-03T00:00:00"/>
    <d v="2025-02-16T00:00:00"/>
    <s v="Sunday"/>
    <s v="Morning"/>
    <x v="0"/>
    <n v="13"/>
    <n v="4"/>
    <x v="1"/>
    <x v="0"/>
    <s v="SMS"/>
    <n v="18.899999999999999"/>
    <x v="7"/>
    <x v="1"/>
  </r>
  <r>
    <s v="HC-00247"/>
    <s v="P-1682"/>
    <s v="Male"/>
    <n v="34"/>
    <x v="1"/>
    <s v="Follow-up"/>
    <d v="2026-01-14T00:00:00"/>
    <d v="2026-02-18T00:00:00"/>
    <s v="Wednesday"/>
    <s v="Afternoon"/>
    <x v="2"/>
    <n v="35"/>
    <n v="3"/>
    <x v="1"/>
    <x v="0"/>
    <s v="SMS"/>
    <n v="4.4000000000000004"/>
    <x v="35"/>
    <x v="0"/>
  </r>
  <r>
    <s v="HC-00248"/>
    <s v="P-0452"/>
    <s v="Male"/>
    <n v="52"/>
    <x v="2"/>
    <s v="Follow-up"/>
    <d v="2025-06-21T00:00:00"/>
    <d v="2025-08-16T00:00:00"/>
    <s v="Saturday"/>
    <s v="Morning"/>
    <x v="2"/>
    <n v="56"/>
    <n v="1"/>
    <x v="0"/>
    <x v="0"/>
    <s v="WhatsApp"/>
    <n v="21.5"/>
    <x v="10"/>
    <x v="0"/>
  </r>
  <r>
    <s v="HC-00249"/>
    <s v="P-0786"/>
    <s v="Male"/>
    <n v="68"/>
    <x v="4"/>
    <s v="General Consultation"/>
    <d v="2026-01-11T00:00:00"/>
    <d v="2026-03-06T00:00:00"/>
    <s v="Friday"/>
    <s v="Morning"/>
    <x v="2"/>
    <n v="54"/>
    <n v="2"/>
    <x v="0"/>
    <x v="0"/>
    <s v="WhatsApp"/>
    <n v="14.5"/>
    <x v="9"/>
    <x v="1"/>
  </r>
  <r>
    <s v="HC-00250"/>
    <s v="P-0852"/>
    <s v="Female"/>
    <n v="52"/>
    <x v="2"/>
    <s v="Specialist Consultation"/>
    <d v="2024-12-20T00:00:00"/>
    <d v="2025-01-23T00:00:00"/>
    <s v="Thursday"/>
    <s v="Morning"/>
    <x v="2"/>
    <n v="34"/>
    <n v="5"/>
    <x v="1"/>
    <x v="0"/>
    <s v="WhatsApp"/>
    <n v="23.7"/>
    <x v="15"/>
    <x v="0"/>
  </r>
  <r>
    <s v="HC-00251"/>
    <s v="P-1164"/>
    <s v="Female"/>
    <n v="54"/>
    <x v="2"/>
    <s v="Specialist Consultation"/>
    <d v="2025-03-30T00:00:00"/>
    <d v="2025-04-08T00:00:00"/>
    <s v="Tuesday"/>
    <s v="Evening"/>
    <x v="0"/>
    <n v="9"/>
    <n v="2"/>
    <x v="0"/>
    <x v="0"/>
    <s v="SMS"/>
    <n v="2.1"/>
    <x v="10"/>
    <x v="1"/>
  </r>
  <r>
    <s v="HC-00252"/>
    <s v="P-0912"/>
    <s v="Female"/>
    <n v="20"/>
    <x v="5"/>
    <s v="General Consultation"/>
    <d v="2025-09-02T00:00:00"/>
    <d v="2025-09-27T00:00:00"/>
    <s v="Saturday"/>
    <s v="Morning"/>
    <x v="3"/>
    <n v="25"/>
    <n v="2"/>
    <x v="0"/>
    <x v="0"/>
    <s v="SMS"/>
    <n v="5.6"/>
    <x v="3"/>
    <x v="1"/>
  </r>
  <r>
    <s v="HC-00253"/>
    <s v="P-0822"/>
    <s v="Male"/>
    <n v="58"/>
    <x v="3"/>
    <s v="Diagnostic Test"/>
    <d v="2025-03-01T00:00:00"/>
    <d v="2025-04-13T00:00:00"/>
    <s v="Sunday"/>
    <s v="Afternoon"/>
    <x v="2"/>
    <n v="43"/>
    <n v="2"/>
    <x v="0"/>
    <x v="0"/>
    <s v="WhatsApp"/>
    <n v="15.1"/>
    <x v="18"/>
    <x v="0"/>
  </r>
  <r>
    <s v="HC-00254"/>
    <s v="P-1418"/>
    <s v="Female"/>
    <n v="45"/>
    <x v="2"/>
    <s v="Specialist Consultation"/>
    <d v="2025-05-27T00:00:00"/>
    <d v="2025-06-30T00:00:00"/>
    <s v="Monday"/>
    <s v="Morning"/>
    <x v="2"/>
    <n v="34"/>
    <n v="2"/>
    <x v="0"/>
    <x v="1"/>
    <s v="None"/>
    <n v="11.7"/>
    <x v="17"/>
    <x v="0"/>
  </r>
  <r>
    <s v="HC-00255"/>
    <s v="P-0251"/>
    <s v="Female"/>
    <n v="25"/>
    <x v="1"/>
    <s v="Follow-up"/>
    <d v="2025-12-06T00:00:00"/>
    <d v="2025-12-27T00:00:00"/>
    <s v="Saturday"/>
    <s v="Evening"/>
    <x v="3"/>
    <n v="21"/>
    <n v="3"/>
    <x v="0"/>
    <x v="0"/>
    <s v="WhatsApp"/>
    <n v="22.4"/>
    <x v="12"/>
    <x v="1"/>
  </r>
  <r>
    <s v="HC-00256"/>
    <s v="P-1140"/>
    <s v="Male"/>
    <n v="31"/>
    <x v="1"/>
    <s v="Diagnostic Test"/>
    <d v="2025-02-28T00:00:00"/>
    <d v="2025-03-20T00:00:00"/>
    <s v="Thursday"/>
    <s v="Afternoon"/>
    <x v="3"/>
    <n v="20"/>
    <n v="5"/>
    <x v="0"/>
    <x v="1"/>
    <s v="None"/>
    <n v="16.899999999999999"/>
    <x v="19"/>
    <x v="0"/>
  </r>
  <r>
    <s v="HC-00257"/>
    <s v="P-0345"/>
    <s v="Female"/>
    <n v="67"/>
    <x v="4"/>
    <s v="General Consultation"/>
    <d v="2026-01-03T00:00:00"/>
    <d v="2026-01-06T00:00:00"/>
    <s v="Tuesday"/>
    <s v="Morning"/>
    <x v="1"/>
    <n v="3"/>
    <n v="4"/>
    <x v="0"/>
    <x v="0"/>
    <s v="Email"/>
    <n v="1.9"/>
    <x v="4"/>
    <x v="1"/>
  </r>
  <r>
    <s v="HC-00258"/>
    <s v="P-1748"/>
    <s v="Male"/>
    <n v="75"/>
    <x v="4"/>
    <s v="General Consultation"/>
    <d v="2025-02-09T00:00:00"/>
    <d v="2025-02-26T00:00:00"/>
    <s v="Wednesday"/>
    <s v="Morning"/>
    <x v="3"/>
    <n v="17"/>
    <n v="1"/>
    <x v="0"/>
    <x v="0"/>
    <s v="WhatsApp"/>
    <n v="12.9"/>
    <x v="15"/>
    <x v="1"/>
  </r>
  <r>
    <s v="HC-00259"/>
    <s v="P-1229"/>
    <s v="Female"/>
    <n v="49"/>
    <x v="2"/>
    <s v="General Consultation"/>
    <d v="2025-02-25T00:00:00"/>
    <d v="2025-04-06T00:00:00"/>
    <s v="Sunday"/>
    <s v="Morning"/>
    <x v="2"/>
    <n v="40"/>
    <n v="1"/>
    <x v="0"/>
    <x v="0"/>
    <s v="WhatsApp"/>
    <n v="17.600000000000001"/>
    <x v="50"/>
    <x v="0"/>
  </r>
  <r>
    <s v="HC-00260"/>
    <s v="P-1138"/>
    <s v="Female"/>
    <n v="79"/>
    <x v="4"/>
    <s v="Follow-up"/>
    <d v="2025-11-03T00:00:00"/>
    <d v="2025-11-17T00:00:00"/>
    <s v="Monday"/>
    <s v="Morning"/>
    <x v="0"/>
    <n v="14"/>
    <n v="4"/>
    <x v="0"/>
    <x v="1"/>
    <s v="None"/>
    <n v="3.8"/>
    <x v="21"/>
    <x v="1"/>
  </r>
  <r>
    <s v="HC-00261"/>
    <s v="P-1569"/>
    <s v="Male"/>
    <n v="29"/>
    <x v="1"/>
    <s v="General Consultation"/>
    <d v="2026-01-09T00:00:00"/>
    <d v="2026-03-10T00:00:00"/>
    <s v="Tuesday"/>
    <s v="Afternoon"/>
    <x v="2"/>
    <n v="60"/>
    <n v="5"/>
    <x v="1"/>
    <x v="0"/>
    <s v="SMS"/>
    <n v="9.8000000000000007"/>
    <x v="28"/>
    <x v="0"/>
  </r>
  <r>
    <s v="HC-00262"/>
    <s v="P-0643"/>
    <s v="Female"/>
    <n v="36"/>
    <x v="0"/>
    <s v="Diagnostic Test"/>
    <d v="2025-03-30T00:00:00"/>
    <d v="2025-04-04T00:00:00"/>
    <s v="Friday"/>
    <s v="Afternoon"/>
    <x v="1"/>
    <n v="5"/>
    <n v="7"/>
    <x v="0"/>
    <x v="1"/>
    <s v="None"/>
    <n v="4.2"/>
    <x v="19"/>
    <x v="1"/>
  </r>
  <r>
    <s v="HC-00263"/>
    <s v="P-0179"/>
    <s v="Male"/>
    <n v="76"/>
    <x v="4"/>
    <s v="General Consultation"/>
    <d v="2025-05-09T00:00:00"/>
    <d v="2025-06-13T00:00:00"/>
    <s v="Friday"/>
    <s v="Morning"/>
    <x v="2"/>
    <n v="35"/>
    <n v="0"/>
    <x v="0"/>
    <x v="0"/>
    <s v="WhatsApp"/>
    <n v="11.3"/>
    <x v="27"/>
    <x v="1"/>
  </r>
  <r>
    <s v="HC-00264"/>
    <s v="P-1566"/>
    <s v="Female"/>
    <n v="29"/>
    <x v="1"/>
    <s v="General Consultation"/>
    <d v="2026-04-21T00:00:00"/>
    <d v="2026-05-21T00:00:00"/>
    <s v="Thursday"/>
    <s v="Afternoon"/>
    <x v="3"/>
    <n v="30"/>
    <n v="8"/>
    <x v="3"/>
    <x v="0"/>
    <s v="WhatsApp"/>
    <n v="7.5"/>
    <x v="10"/>
    <x v="0"/>
  </r>
  <r>
    <s v="HC-00265"/>
    <s v="P-1669"/>
    <s v="Female"/>
    <n v="59"/>
    <x v="3"/>
    <s v="Follow-up"/>
    <d v="2026-05-06T00:00:00"/>
    <d v="2026-06-25T00:00:00"/>
    <s v="Thursday"/>
    <s v="Afternoon"/>
    <x v="2"/>
    <n v="50"/>
    <n v="3"/>
    <x v="1"/>
    <x v="1"/>
    <s v="None"/>
    <n v="8.9"/>
    <x v="17"/>
    <x v="0"/>
  </r>
  <r>
    <s v="HC-00266"/>
    <s v="P-0929"/>
    <s v="Female"/>
    <n v="31"/>
    <x v="1"/>
    <s v="General Consultation"/>
    <d v="2025-09-21T00:00:00"/>
    <d v="2025-11-14T00:00:00"/>
    <s v="Friday"/>
    <s v="Morning"/>
    <x v="2"/>
    <n v="54"/>
    <n v="3"/>
    <x v="1"/>
    <x v="0"/>
    <s v="SMS"/>
    <n v="17.7"/>
    <x v="20"/>
    <x v="1"/>
  </r>
  <r>
    <s v="HC-00267"/>
    <s v="P-0805"/>
    <s v="Female"/>
    <n v="38"/>
    <x v="0"/>
    <s v="Specialist Consultation"/>
    <d v="2025-07-31T00:00:00"/>
    <d v="2025-09-02T00:00:00"/>
    <s v="Tuesday"/>
    <s v="Morning"/>
    <x v="2"/>
    <n v="33"/>
    <n v="3"/>
    <x v="1"/>
    <x v="0"/>
    <s v="Email"/>
    <n v="6.3"/>
    <x v="12"/>
    <x v="1"/>
  </r>
  <r>
    <s v="HC-00268"/>
    <s v="P-0338"/>
    <s v="Male"/>
    <n v="48"/>
    <x v="2"/>
    <s v="General Consultation"/>
    <d v="2025-06-01T00:00:00"/>
    <d v="2025-07-09T00:00:00"/>
    <s v="Wednesday"/>
    <s v="Morning"/>
    <x v="2"/>
    <n v="38"/>
    <n v="3"/>
    <x v="0"/>
    <x v="0"/>
    <s v="SMS"/>
    <n v="7"/>
    <x v="4"/>
    <x v="1"/>
  </r>
  <r>
    <s v="HC-00269"/>
    <s v="P-0429"/>
    <s v="Female"/>
    <n v="40"/>
    <x v="0"/>
    <s v="Diagnostic Test"/>
    <d v="2025-10-20T00:00:00"/>
    <d v="2025-12-01T00:00:00"/>
    <s v="Monday"/>
    <s v="Afternoon"/>
    <x v="2"/>
    <n v="42"/>
    <n v="2"/>
    <x v="0"/>
    <x v="1"/>
    <s v="None"/>
    <n v="7.3"/>
    <x v="10"/>
    <x v="2"/>
  </r>
  <r>
    <s v="HC-00270"/>
    <s v="P-1018"/>
    <s v="Male"/>
    <n v="73"/>
    <x v="4"/>
    <s v="Follow-up"/>
    <d v="2025-10-19T00:00:00"/>
    <d v="2025-11-19T00:00:00"/>
    <s v="Wednesday"/>
    <s v="Morning"/>
    <x v="2"/>
    <n v="31"/>
    <n v="0"/>
    <x v="0"/>
    <x v="0"/>
    <s v="SMS"/>
    <n v="10.5"/>
    <x v="8"/>
    <x v="1"/>
  </r>
  <r>
    <s v="HC-00271"/>
    <s v="P-0302"/>
    <s v="Male"/>
    <n v="79"/>
    <x v="4"/>
    <s v="General Consultation"/>
    <d v="2025-05-30T00:00:00"/>
    <d v="2025-06-10T00:00:00"/>
    <s v="Tuesday"/>
    <s v="Afternoon"/>
    <x v="0"/>
    <n v="11"/>
    <n v="1"/>
    <x v="0"/>
    <x v="0"/>
    <s v="WhatsApp"/>
    <n v="6.4"/>
    <x v="6"/>
    <x v="1"/>
  </r>
  <r>
    <s v="HC-00272"/>
    <s v="P-0221"/>
    <s v="Female"/>
    <n v="49"/>
    <x v="2"/>
    <s v="General Consultation"/>
    <d v="2024-12-18T00:00:00"/>
    <d v="2025-01-13T00:00:00"/>
    <s v="Monday"/>
    <s v="Morning"/>
    <x v="3"/>
    <n v="26"/>
    <n v="5"/>
    <x v="2"/>
    <x v="0"/>
    <s v="SMS"/>
    <n v="4.8"/>
    <x v="27"/>
    <x v="1"/>
  </r>
  <r>
    <s v="HC-00273"/>
    <s v="P-0496"/>
    <s v="Male"/>
    <n v="51"/>
    <x v="2"/>
    <s v="General Consultation"/>
    <d v="2025-03-10T00:00:00"/>
    <d v="2025-03-24T00:00:00"/>
    <s v="Monday"/>
    <s v="Afternoon"/>
    <x v="0"/>
    <n v="14"/>
    <n v="2"/>
    <x v="1"/>
    <x v="0"/>
    <s v="WhatsApp"/>
    <n v="15.3"/>
    <x v="0"/>
    <x v="0"/>
  </r>
  <r>
    <s v="HC-00274"/>
    <s v="P-0622"/>
    <s v="Female"/>
    <n v="21"/>
    <x v="5"/>
    <s v="Diagnostic Test"/>
    <d v="2026-05-11T00:00:00"/>
    <d v="2026-06-08T00:00:00"/>
    <s v="Monday"/>
    <s v="Morning"/>
    <x v="3"/>
    <n v="28"/>
    <n v="2"/>
    <x v="0"/>
    <x v="0"/>
    <s v="SMS"/>
    <n v="6.9"/>
    <x v="27"/>
    <x v="0"/>
  </r>
  <r>
    <s v="HC-00275"/>
    <s v="P-0437"/>
    <s v="Male"/>
    <n v="32"/>
    <x v="1"/>
    <s v="Follow-up"/>
    <d v="2025-07-11T00:00:00"/>
    <d v="2025-08-17T00:00:00"/>
    <s v="Sunday"/>
    <s v="Afternoon"/>
    <x v="2"/>
    <n v="37"/>
    <n v="2"/>
    <x v="1"/>
    <x v="0"/>
    <s v="SMS"/>
    <n v="8.1999999999999993"/>
    <x v="20"/>
    <x v="1"/>
  </r>
  <r>
    <s v="HC-00276"/>
    <s v="P-0055"/>
    <s v="Female"/>
    <n v="20"/>
    <x v="5"/>
    <s v="Follow-up"/>
    <d v="2025-09-09T00:00:00"/>
    <d v="2025-09-21T00:00:00"/>
    <s v="Sunday"/>
    <s v="Morning"/>
    <x v="0"/>
    <n v="12"/>
    <n v="0"/>
    <x v="0"/>
    <x v="0"/>
    <s v="SMS"/>
    <n v="13.6"/>
    <x v="6"/>
    <x v="0"/>
  </r>
  <r>
    <s v="HC-00277"/>
    <s v="P-0586"/>
    <s v="Male"/>
    <n v="71"/>
    <x v="4"/>
    <s v="General Consultation"/>
    <d v="2025-08-29T00:00:00"/>
    <d v="2025-09-13T00:00:00"/>
    <s v="Saturday"/>
    <s v="Morning"/>
    <x v="3"/>
    <n v="15"/>
    <n v="3"/>
    <x v="0"/>
    <x v="0"/>
    <s v="SMS"/>
    <n v="5.8"/>
    <x v="4"/>
    <x v="1"/>
  </r>
  <r>
    <s v="HC-00278"/>
    <s v="P-0141"/>
    <s v="Female"/>
    <n v="32"/>
    <x v="1"/>
    <s v="Specialist Consultation"/>
    <d v="2026-01-13T00:00:00"/>
    <d v="2026-03-04T00:00:00"/>
    <s v="Wednesday"/>
    <s v="Morning"/>
    <x v="2"/>
    <n v="50"/>
    <n v="3"/>
    <x v="1"/>
    <x v="1"/>
    <s v="None"/>
    <n v="3"/>
    <x v="17"/>
    <x v="0"/>
  </r>
  <r>
    <s v="HC-00279"/>
    <s v="P-1352"/>
    <s v="Female"/>
    <n v="39"/>
    <x v="0"/>
    <s v="General Consultation"/>
    <d v="2025-01-13T00:00:00"/>
    <d v="2025-02-05T00:00:00"/>
    <s v="Wednesday"/>
    <s v="Afternoon"/>
    <x v="3"/>
    <n v="23"/>
    <n v="3"/>
    <x v="1"/>
    <x v="0"/>
    <s v="WhatsApp"/>
    <n v="21.1"/>
    <x v="4"/>
    <x v="0"/>
  </r>
  <r>
    <s v="HC-00280"/>
    <s v="P-0394"/>
    <s v="Female"/>
    <n v="71"/>
    <x v="4"/>
    <s v="Specialist Consultation"/>
    <d v="2025-02-03T00:00:00"/>
    <d v="2025-02-15T00:00:00"/>
    <s v="Saturday"/>
    <s v="Afternoon"/>
    <x v="0"/>
    <n v="12"/>
    <n v="6"/>
    <x v="2"/>
    <x v="0"/>
    <s v="SMS"/>
    <n v="11.6"/>
    <x v="36"/>
    <x v="1"/>
  </r>
  <r>
    <s v="HC-00281"/>
    <s v="P-0048"/>
    <s v="Female"/>
    <n v="62"/>
    <x v="3"/>
    <s v="Specialist Consultation"/>
    <d v="2025-04-18T00:00:00"/>
    <d v="2025-05-31T00:00:00"/>
    <s v="Saturday"/>
    <s v="Morning"/>
    <x v="2"/>
    <n v="43"/>
    <n v="2"/>
    <x v="0"/>
    <x v="0"/>
    <s v="WhatsApp"/>
    <n v="8.8000000000000007"/>
    <x v="24"/>
    <x v="2"/>
  </r>
  <r>
    <s v="HC-00282"/>
    <s v="P-1120"/>
    <s v="Male"/>
    <n v="57"/>
    <x v="3"/>
    <s v="General Consultation"/>
    <d v="2025-08-11T00:00:00"/>
    <d v="2025-09-23T00:00:00"/>
    <s v="Tuesday"/>
    <s v="Afternoon"/>
    <x v="2"/>
    <n v="43"/>
    <n v="4"/>
    <x v="1"/>
    <x v="0"/>
    <s v="SMS"/>
    <n v="9.4"/>
    <x v="9"/>
    <x v="2"/>
  </r>
  <r>
    <s v="HC-00283"/>
    <s v="P-0692"/>
    <s v="Female"/>
    <n v="20"/>
    <x v="5"/>
    <s v="Follow-up"/>
    <d v="2025-11-13T00:00:00"/>
    <d v="2026-01-02T00:00:00"/>
    <s v="Friday"/>
    <s v="Afternoon"/>
    <x v="2"/>
    <n v="50"/>
    <n v="8"/>
    <x v="1"/>
    <x v="0"/>
    <s v="SMS"/>
    <n v="23.9"/>
    <x v="36"/>
    <x v="1"/>
  </r>
  <r>
    <s v="HC-00284"/>
    <s v="P-0888"/>
    <s v="Male"/>
    <n v="53"/>
    <x v="2"/>
    <s v="General Consultation"/>
    <d v="2025-08-10T00:00:00"/>
    <d v="2025-09-25T00:00:00"/>
    <s v="Thursday"/>
    <s v="Afternoon"/>
    <x v="2"/>
    <n v="46"/>
    <n v="1"/>
    <x v="0"/>
    <x v="0"/>
    <s v="SMS"/>
    <n v="13.7"/>
    <x v="24"/>
    <x v="1"/>
  </r>
  <r>
    <s v="HC-00285"/>
    <s v="P-1117"/>
    <s v="Female"/>
    <n v="53"/>
    <x v="2"/>
    <s v="General Consultation"/>
    <d v="2025-06-30T00:00:00"/>
    <d v="2025-08-29T00:00:00"/>
    <s v="Friday"/>
    <s v="Afternoon"/>
    <x v="2"/>
    <n v="60"/>
    <n v="3"/>
    <x v="1"/>
    <x v="0"/>
    <s v="WhatsApp"/>
    <n v="0.7"/>
    <x v="26"/>
    <x v="1"/>
  </r>
  <r>
    <s v="HC-00286"/>
    <s v="P-0780"/>
    <s v="Female"/>
    <n v="38"/>
    <x v="0"/>
    <s v="Diagnostic Test"/>
    <d v="2026-04-23T00:00:00"/>
    <d v="2026-05-28T00:00:00"/>
    <s v="Thursday"/>
    <s v="Morning"/>
    <x v="2"/>
    <n v="35"/>
    <n v="1"/>
    <x v="1"/>
    <x v="0"/>
    <s v="SMS"/>
    <n v="8.6999999999999993"/>
    <x v="21"/>
    <x v="0"/>
  </r>
  <r>
    <s v="HC-00287"/>
    <s v="P-0183"/>
    <s v="Female"/>
    <n v="64"/>
    <x v="3"/>
    <s v="Follow-up"/>
    <d v="2025-03-12T00:00:00"/>
    <d v="2025-03-29T00:00:00"/>
    <s v="Saturday"/>
    <s v="Afternoon"/>
    <x v="3"/>
    <n v="17"/>
    <n v="2"/>
    <x v="1"/>
    <x v="1"/>
    <s v="None"/>
    <n v="9.5"/>
    <x v="31"/>
    <x v="1"/>
  </r>
  <r>
    <s v="HC-00288"/>
    <s v="P-1029"/>
    <s v="Female"/>
    <n v="76"/>
    <x v="4"/>
    <s v="Specialist Consultation"/>
    <d v="2025-09-18T00:00:00"/>
    <d v="2025-11-09T00:00:00"/>
    <s v="Sunday"/>
    <s v="Afternoon"/>
    <x v="2"/>
    <n v="52"/>
    <n v="3"/>
    <x v="0"/>
    <x v="0"/>
    <s v="SMS"/>
    <n v="8.9"/>
    <x v="1"/>
    <x v="0"/>
  </r>
  <r>
    <s v="HC-00289"/>
    <s v="P-1010"/>
    <s v="Male"/>
    <n v="34"/>
    <x v="1"/>
    <s v="Follow-up"/>
    <d v="2025-10-08T00:00:00"/>
    <d v="2025-10-24T00:00:00"/>
    <s v="Friday"/>
    <s v="Afternoon"/>
    <x v="3"/>
    <n v="16"/>
    <n v="4"/>
    <x v="0"/>
    <x v="0"/>
    <s v="SMS"/>
    <n v="1.6"/>
    <x v="7"/>
    <x v="1"/>
  </r>
  <r>
    <s v="HC-00290"/>
    <s v="P-0352"/>
    <s v="Female"/>
    <n v="38"/>
    <x v="0"/>
    <s v="General Consultation"/>
    <d v="2025-08-30T00:00:00"/>
    <d v="2025-09-16T00:00:00"/>
    <s v="Tuesday"/>
    <s v="Morning"/>
    <x v="3"/>
    <n v="17"/>
    <n v="2"/>
    <x v="0"/>
    <x v="0"/>
    <s v="SMS"/>
    <n v="3.6"/>
    <x v="25"/>
    <x v="1"/>
  </r>
  <r>
    <s v="HC-00291"/>
    <s v="P-1347"/>
    <s v="Male"/>
    <n v="38"/>
    <x v="0"/>
    <s v="Specialist Consultation"/>
    <d v="2026-01-26T00:00:00"/>
    <d v="2026-03-17T00:00:00"/>
    <s v="Tuesday"/>
    <s v="Afternoon"/>
    <x v="2"/>
    <n v="50"/>
    <n v="4"/>
    <x v="0"/>
    <x v="0"/>
    <s v="SMS"/>
    <n v="2.1"/>
    <x v="20"/>
    <x v="1"/>
  </r>
  <r>
    <s v="HC-00292"/>
    <s v="P-1229"/>
    <s v="Female"/>
    <n v="70"/>
    <x v="4"/>
    <s v="Follow-up"/>
    <d v="2025-04-03T00:00:00"/>
    <d v="2025-05-26T00:00:00"/>
    <s v="Monday"/>
    <s v="Morning"/>
    <x v="2"/>
    <n v="53"/>
    <n v="1"/>
    <x v="0"/>
    <x v="0"/>
    <s v="WhatsApp"/>
    <n v="26.3"/>
    <x v="6"/>
    <x v="0"/>
  </r>
  <r>
    <s v="HC-00293"/>
    <s v="P-1217"/>
    <s v="Female"/>
    <n v="22"/>
    <x v="5"/>
    <s v="General Consultation"/>
    <d v="2026-05-16T00:00:00"/>
    <d v="2026-06-05T00:00:00"/>
    <s v="Friday"/>
    <s v="Afternoon"/>
    <x v="3"/>
    <n v="20"/>
    <n v="4"/>
    <x v="0"/>
    <x v="0"/>
    <s v="SMS"/>
    <n v="9"/>
    <x v="9"/>
    <x v="1"/>
  </r>
  <r>
    <s v="HC-00294"/>
    <s v="P-0980"/>
    <s v="Female"/>
    <n v="74"/>
    <x v="4"/>
    <s v="General Consultation"/>
    <d v="2025-05-18T00:00:00"/>
    <d v="2025-07-01T00:00:00"/>
    <s v="Tuesday"/>
    <s v="Morning"/>
    <x v="2"/>
    <n v="44"/>
    <n v="6"/>
    <x v="1"/>
    <x v="0"/>
    <s v="SMS"/>
    <n v="10"/>
    <x v="3"/>
    <x v="0"/>
  </r>
  <r>
    <s v="HC-00295"/>
    <s v="P-1144"/>
    <s v="Male"/>
    <n v="66"/>
    <x v="4"/>
    <s v="Follow-up"/>
    <d v="2025-08-30T00:00:00"/>
    <d v="2025-10-25T00:00:00"/>
    <s v="Saturday"/>
    <s v="Morning"/>
    <x v="2"/>
    <n v="56"/>
    <n v="1"/>
    <x v="0"/>
    <x v="0"/>
    <s v="Email"/>
    <n v="7.7"/>
    <x v="48"/>
    <x v="0"/>
  </r>
  <r>
    <s v="HC-00296"/>
    <s v="P-0252"/>
    <s v="Male"/>
    <n v="48"/>
    <x v="2"/>
    <s v="Specialist Consultation"/>
    <d v="2025-08-25T00:00:00"/>
    <d v="2025-10-12T00:00:00"/>
    <s v="Sunday"/>
    <s v="Afternoon"/>
    <x v="2"/>
    <n v="48"/>
    <n v="4"/>
    <x v="0"/>
    <x v="0"/>
    <s v="SMS"/>
    <n v="2.4"/>
    <x v="23"/>
    <x v="0"/>
  </r>
  <r>
    <s v="HC-00297"/>
    <s v="P-0214"/>
    <s v="Male"/>
    <n v="54"/>
    <x v="2"/>
    <s v="General Consultation"/>
    <d v="2026-04-09T00:00:00"/>
    <d v="2026-04-09T00:00:00"/>
    <s v="Thursday"/>
    <s v="Evening"/>
    <x v="1"/>
    <n v="0"/>
    <n v="1"/>
    <x v="1"/>
    <x v="1"/>
    <s v="None"/>
    <n v="4.4000000000000004"/>
    <x v="3"/>
    <x v="0"/>
  </r>
  <r>
    <s v="HC-00298"/>
    <s v="P-0998"/>
    <s v="Female"/>
    <n v="74"/>
    <x v="4"/>
    <s v="Specialist Consultation"/>
    <d v="2025-07-19T00:00:00"/>
    <d v="2025-08-28T00:00:00"/>
    <s v="Thursday"/>
    <s v="Morning"/>
    <x v="2"/>
    <n v="40"/>
    <n v="5"/>
    <x v="3"/>
    <x v="0"/>
    <s v="WhatsApp"/>
    <n v="4.8"/>
    <x v="11"/>
    <x v="0"/>
  </r>
  <r>
    <s v="HC-00299"/>
    <s v="P-1363"/>
    <s v="Female"/>
    <n v="66"/>
    <x v="4"/>
    <s v="General Consultation"/>
    <d v="2025-05-26T00:00:00"/>
    <d v="2025-06-05T00:00:00"/>
    <s v="Thursday"/>
    <s v="Afternoon"/>
    <x v="0"/>
    <n v="10"/>
    <n v="1"/>
    <x v="0"/>
    <x v="1"/>
    <s v="None"/>
    <n v="26.4"/>
    <x v="25"/>
    <x v="0"/>
  </r>
  <r>
    <s v="HC-00300"/>
    <s v="P-0203"/>
    <s v="Male"/>
    <n v="35"/>
    <x v="0"/>
    <s v="General Consultation"/>
    <d v="2024-11-22T00:00:00"/>
    <d v="2025-01-12T00:00:00"/>
    <s v="Sunday"/>
    <s v="Afternoon"/>
    <x v="2"/>
    <n v="51"/>
    <n v="1"/>
    <x v="0"/>
    <x v="0"/>
    <s v="WhatsApp"/>
    <n v="7.9"/>
    <x v="36"/>
    <x v="1"/>
  </r>
  <r>
    <s v="HC-00301"/>
    <s v="P-1116"/>
    <s v="Male"/>
    <n v="21"/>
    <x v="5"/>
    <s v="General Consultation"/>
    <d v="2025-07-14T00:00:00"/>
    <d v="2025-07-18T00:00:00"/>
    <s v="Friday"/>
    <s v="Evening"/>
    <x v="1"/>
    <n v="4"/>
    <n v="3"/>
    <x v="0"/>
    <x v="0"/>
    <s v="Email"/>
    <n v="5.7"/>
    <x v="13"/>
    <x v="1"/>
  </r>
  <r>
    <s v="HC-00302"/>
    <s v="P-1214"/>
    <s v="Male"/>
    <n v="59"/>
    <x v="3"/>
    <s v="Specialist Consultation"/>
    <d v="2026-01-27T00:00:00"/>
    <d v="2026-03-28T00:00:00"/>
    <s v="Saturday"/>
    <s v="Afternoon"/>
    <x v="2"/>
    <n v="60"/>
    <n v="6"/>
    <x v="1"/>
    <x v="0"/>
    <s v="WhatsApp"/>
    <n v="17"/>
    <x v="20"/>
    <x v="0"/>
  </r>
  <r>
    <s v="HC-00303"/>
    <s v="P-1799"/>
    <s v="Female"/>
    <n v="27"/>
    <x v="1"/>
    <s v="General Consultation"/>
    <d v="2024-12-27T00:00:00"/>
    <d v="2025-01-06T00:00:00"/>
    <s v="Monday"/>
    <s v="Morning"/>
    <x v="0"/>
    <n v="10"/>
    <n v="3"/>
    <x v="1"/>
    <x v="0"/>
    <s v="SMS"/>
    <n v="7"/>
    <x v="13"/>
    <x v="1"/>
  </r>
  <r>
    <s v="HC-00304"/>
    <s v="P-0407"/>
    <s v="Male"/>
    <n v="23"/>
    <x v="5"/>
    <s v="Follow-up"/>
    <d v="2026-04-10T00:00:00"/>
    <d v="2026-05-05T00:00:00"/>
    <s v="Tuesday"/>
    <s v="Morning"/>
    <x v="3"/>
    <n v="25"/>
    <n v="4"/>
    <x v="1"/>
    <x v="0"/>
    <s v="Email"/>
    <n v="3.1"/>
    <x v="25"/>
    <x v="1"/>
  </r>
  <r>
    <s v="HC-00305"/>
    <s v="P-1414"/>
    <s v="Female"/>
    <n v="79"/>
    <x v="4"/>
    <s v="General Consultation"/>
    <d v="2025-10-10T00:00:00"/>
    <d v="2025-10-24T00:00:00"/>
    <s v="Friday"/>
    <s v="Afternoon"/>
    <x v="0"/>
    <n v="14"/>
    <n v="2"/>
    <x v="1"/>
    <x v="1"/>
    <s v="None"/>
    <n v="4.3"/>
    <x v="51"/>
    <x v="2"/>
  </r>
  <r>
    <s v="HC-00306"/>
    <s v="P-0088"/>
    <s v="Prefer not to say"/>
    <n v="47"/>
    <x v="2"/>
    <s v="Follow-up"/>
    <d v="2025-01-28T00:00:00"/>
    <d v="2025-03-18T00:00:00"/>
    <s v="Tuesday"/>
    <s v="Morning"/>
    <x v="2"/>
    <n v="49"/>
    <n v="2"/>
    <x v="0"/>
    <x v="0"/>
    <s v="WhatsApp"/>
    <n v="16.899999999999999"/>
    <x v="52"/>
    <x v="2"/>
  </r>
  <r>
    <s v="HC-00307"/>
    <s v="P-1397"/>
    <s v="Female"/>
    <n v="59"/>
    <x v="3"/>
    <s v="Specialist Consultation"/>
    <d v="2025-05-21T00:00:00"/>
    <d v="2025-06-14T00:00:00"/>
    <s v="Saturday"/>
    <s v="Evening"/>
    <x v="3"/>
    <n v="24"/>
    <n v="6"/>
    <x v="3"/>
    <x v="0"/>
    <s v="SMS"/>
    <n v="6"/>
    <x v="22"/>
    <x v="0"/>
  </r>
  <r>
    <s v="HC-00308"/>
    <s v="P-0338"/>
    <s v="Male"/>
    <n v="31"/>
    <x v="1"/>
    <s v="General Consultation"/>
    <d v="2025-09-15T00:00:00"/>
    <d v="2025-10-30T00:00:00"/>
    <s v="Thursday"/>
    <s v="Evening"/>
    <x v="2"/>
    <n v="45"/>
    <n v="1"/>
    <x v="0"/>
    <x v="0"/>
    <s v="Email"/>
    <n v="10.7"/>
    <x v="53"/>
    <x v="1"/>
  </r>
  <r>
    <s v="HC-00309"/>
    <s v="P-0827"/>
    <s v="Female"/>
    <n v="24"/>
    <x v="5"/>
    <s v="Diagnostic Test"/>
    <d v="2025-06-18T00:00:00"/>
    <d v="2025-06-22T00:00:00"/>
    <s v="Sunday"/>
    <s v="Evening"/>
    <x v="1"/>
    <n v="4"/>
    <n v="5"/>
    <x v="0"/>
    <x v="0"/>
    <s v="SMS"/>
    <n v="7.8"/>
    <x v="27"/>
    <x v="2"/>
  </r>
  <r>
    <s v="HC-00310"/>
    <s v="P-0870"/>
    <s v="Male"/>
    <n v="21"/>
    <x v="5"/>
    <s v="General Consultation"/>
    <d v="2025-02-02T00:00:00"/>
    <d v="2025-03-01T00:00:00"/>
    <s v="Saturday"/>
    <s v="Morning"/>
    <x v="3"/>
    <n v="27"/>
    <n v="4"/>
    <x v="0"/>
    <x v="1"/>
    <s v="None"/>
    <n v="14.3"/>
    <x v="14"/>
    <x v="0"/>
  </r>
  <r>
    <s v="HC-00311"/>
    <s v="P-1701"/>
    <s v="Male"/>
    <n v="40"/>
    <x v="0"/>
    <s v="General Consultation"/>
    <d v="2025-11-05T00:00:00"/>
    <d v="2025-12-30T00:00:00"/>
    <s v="Tuesday"/>
    <s v="Afternoon"/>
    <x v="2"/>
    <n v="55"/>
    <n v="1"/>
    <x v="0"/>
    <x v="1"/>
    <s v="None"/>
    <n v="7.1"/>
    <x v="51"/>
    <x v="1"/>
  </r>
  <r>
    <s v="HC-00312"/>
    <s v="P-1281"/>
    <s v="Male"/>
    <n v="18"/>
    <x v="5"/>
    <s v="Follow-up"/>
    <d v="2025-11-08T00:00:00"/>
    <d v="2026-01-03T00:00:00"/>
    <s v="Saturday"/>
    <s v="Afternoon"/>
    <x v="2"/>
    <n v="56"/>
    <n v="3"/>
    <x v="0"/>
    <x v="1"/>
    <s v="None"/>
    <n v="4.9000000000000004"/>
    <x v="1"/>
    <x v="1"/>
  </r>
  <r>
    <s v="HC-00313"/>
    <s v="P-0885"/>
    <s v="Female"/>
    <n v="44"/>
    <x v="0"/>
    <s v="Specialist Consultation"/>
    <d v="2025-02-22T00:00:00"/>
    <d v="2025-03-06T00:00:00"/>
    <s v="Thursday"/>
    <s v="Morning"/>
    <x v="0"/>
    <n v="12"/>
    <n v="4"/>
    <x v="0"/>
    <x v="0"/>
    <s v="Email"/>
    <n v="4.2"/>
    <x v="16"/>
    <x v="1"/>
  </r>
  <r>
    <s v="HC-00314"/>
    <s v="P-0668"/>
    <s v="Female"/>
    <n v="38"/>
    <x v="0"/>
    <s v="General Consultation"/>
    <d v="2025-05-10T00:00:00"/>
    <d v="2025-06-03T00:00:00"/>
    <s v="Tuesday"/>
    <s v="Morning"/>
    <x v="3"/>
    <n v="24"/>
    <n v="3"/>
    <x v="1"/>
    <x v="0"/>
    <s v="Email"/>
    <n v="15.2"/>
    <x v="21"/>
    <x v="1"/>
  </r>
  <r>
    <s v="HC-00315"/>
    <s v="P-1764"/>
    <s v="Male"/>
    <n v="51"/>
    <x v="2"/>
    <s v="Follow-up"/>
    <d v="2025-04-20T00:00:00"/>
    <d v="2025-05-14T00:00:00"/>
    <s v="Wednesday"/>
    <s v="Morning"/>
    <x v="3"/>
    <n v="24"/>
    <n v="3"/>
    <x v="1"/>
    <x v="0"/>
    <s v="WhatsApp"/>
    <n v="5.7"/>
    <x v="20"/>
    <x v="0"/>
  </r>
  <r>
    <s v="HC-00316"/>
    <s v="P-0658"/>
    <s v="Male"/>
    <n v="55"/>
    <x v="3"/>
    <s v="General Consultation"/>
    <d v="2025-11-23T00:00:00"/>
    <d v="2025-12-27T00:00:00"/>
    <s v="Saturday"/>
    <s v="Morning"/>
    <x v="2"/>
    <n v="34"/>
    <n v="1"/>
    <x v="1"/>
    <x v="0"/>
    <s v="SMS"/>
    <n v="10.199999999999999"/>
    <x v="49"/>
    <x v="1"/>
  </r>
  <r>
    <s v="HC-00317"/>
    <s v="P-1517"/>
    <s v="Male"/>
    <n v="37"/>
    <x v="0"/>
    <s v="Follow-up"/>
    <d v="2026-01-02T00:00:00"/>
    <d v="2026-02-03T00:00:00"/>
    <s v="Tuesday"/>
    <s v="Evening"/>
    <x v="2"/>
    <n v="32"/>
    <n v="5"/>
    <x v="0"/>
    <x v="1"/>
    <s v="None"/>
    <n v="18.7"/>
    <x v="35"/>
    <x v="0"/>
  </r>
  <r>
    <s v="HC-00318"/>
    <s v="P-0791"/>
    <s v="Female"/>
    <n v="46"/>
    <x v="2"/>
    <s v="Follow-up"/>
    <d v="2026-01-26T00:00:00"/>
    <d v="2026-02-01T00:00:00"/>
    <s v="Sunday"/>
    <s v="Afternoon"/>
    <x v="1"/>
    <n v="6"/>
    <n v="2"/>
    <x v="1"/>
    <x v="0"/>
    <s v="Email"/>
    <n v="8.9"/>
    <x v="12"/>
    <x v="0"/>
  </r>
  <r>
    <s v="HC-00319"/>
    <s v="P-0357"/>
    <s v="Female"/>
    <n v="22"/>
    <x v="5"/>
    <s v="Diagnostic Test"/>
    <d v="2026-04-12T00:00:00"/>
    <d v="2026-05-28T00:00:00"/>
    <s v="Thursday"/>
    <s v="Morning"/>
    <x v="2"/>
    <n v="46"/>
    <n v="3"/>
    <x v="0"/>
    <x v="0"/>
    <s v="WhatsApp"/>
    <n v="11.5"/>
    <x v="8"/>
    <x v="1"/>
  </r>
  <r>
    <s v="HC-00320"/>
    <s v="P-1560"/>
    <s v="Female"/>
    <n v="37"/>
    <x v="0"/>
    <s v="Follow-up"/>
    <d v="2026-02-11T00:00:00"/>
    <d v="2026-02-24T00:00:00"/>
    <s v="Tuesday"/>
    <s v="Afternoon"/>
    <x v="0"/>
    <n v="13"/>
    <n v="2"/>
    <x v="1"/>
    <x v="0"/>
    <s v="Email"/>
    <n v="5.8"/>
    <x v="6"/>
    <x v="1"/>
  </r>
  <r>
    <s v="HC-00321"/>
    <s v="P-0170"/>
    <s v="Male"/>
    <n v="79"/>
    <x v="4"/>
    <s v="Follow-up"/>
    <d v="2025-06-06T00:00:00"/>
    <d v="2025-06-25T00:00:00"/>
    <s v="Wednesday"/>
    <s v="Morning"/>
    <x v="3"/>
    <n v="19"/>
    <n v="3"/>
    <x v="0"/>
    <x v="0"/>
    <s v="SMS"/>
    <n v="7"/>
    <x v="19"/>
    <x v="2"/>
  </r>
  <r>
    <s v="HC-00322"/>
    <s v="P-1442"/>
    <s v="Female"/>
    <n v="80"/>
    <x v="4"/>
    <s v="Follow-up"/>
    <d v="2025-01-08T00:00:00"/>
    <d v="2025-02-28T00:00:00"/>
    <s v="Friday"/>
    <s v="Morning"/>
    <x v="2"/>
    <n v="51"/>
    <n v="2"/>
    <x v="0"/>
    <x v="0"/>
    <s v="Email"/>
    <n v="19"/>
    <x v="14"/>
    <x v="1"/>
  </r>
  <r>
    <s v="HC-00323"/>
    <s v="P-1434"/>
    <s v="Female"/>
    <n v="48"/>
    <x v="2"/>
    <s v="General Consultation"/>
    <d v="2025-10-21T00:00:00"/>
    <d v="2025-12-02T00:00:00"/>
    <s v="Tuesday"/>
    <s v="Morning"/>
    <x v="2"/>
    <n v="42"/>
    <n v="1"/>
    <x v="1"/>
    <x v="0"/>
    <s v="Email"/>
    <n v="14.2"/>
    <x v="12"/>
    <x v="0"/>
  </r>
  <r>
    <s v="HC-00324"/>
    <s v="P-1669"/>
    <s v="Male"/>
    <n v="77"/>
    <x v="4"/>
    <s v="General Consultation"/>
    <d v="2026-04-22T00:00:00"/>
    <d v="2026-05-16T00:00:00"/>
    <s v="Saturday"/>
    <s v="Afternoon"/>
    <x v="3"/>
    <n v="24"/>
    <n v="1"/>
    <x v="0"/>
    <x v="0"/>
    <s v="SMS"/>
    <n v="7.6"/>
    <x v="13"/>
    <x v="2"/>
  </r>
  <r>
    <s v="HC-00325"/>
    <s v="P-1793"/>
    <s v="Male"/>
    <n v="49"/>
    <x v="2"/>
    <s v="Diagnostic Test"/>
    <d v="2026-04-23T00:00:00"/>
    <d v="2026-06-17T00:00:00"/>
    <s v="Wednesday"/>
    <s v="Afternoon"/>
    <x v="2"/>
    <n v="55"/>
    <n v="2"/>
    <x v="1"/>
    <x v="0"/>
    <s v="Email"/>
    <n v="9"/>
    <x v="0"/>
    <x v="0"/>
  </r>
  <r>
    <s v="HC-00326"/>
    <s v="P-1415"/>
    <s v="Male"/>
    <n v="25"/>
    <x v="1"/>
    <s v="General Consultation"/>
    <d v="2025-04-12T00:00:00"/>
    <d v="2025-05-06T00:00:00"/>
    <s v="Tuesday"/>
    <s v="Afternoon"/>
    <x v="3"/>
    <n v="24"/>
    <n v="2"/>
    <x v="0"/>
    <x v="1"/>
    <s v="None"/>
    <n v="7.4"/>
    <x v="38"/>
    <x v="1"/>
  </r>
  <r>
    <s v="HC-00327"/>
    <s v="P-0062"/>
    <s v="Female"/>
    <n v="72"/>
    <x v="4"/>
    <s v="Specialist Consultation"/>
    <d v="2025-04-06T00:00:00"/>
    <d v="2025-05-10T00:00:00"/>
    <s v="Saturday"/>
    <s v="Evening"/>
    <x v="2"/>
    <n v="34"/>
    <n v="4"/>
    <x v="0"/>
    <x v="0"/>
    <s v="SMS"/>
    <n v="13.1"/>
    <x v="17"/>
    <x v="0"/>
  </r>
  <r>
    <s v="HC-00328"/>
    <s v="P-0802"/>
    <s v="Female"/>
    <n v="44"/>
    <x v="0"/>
    <s v="General Consultation"/>
    <d v="2025-01-06T00:00:00"/>
    <d v="2025-01-21T00:00:00"/>
    <s v="Tuesday"/>
    <s v="Morning"/>
    <x v="3"/>
    <n v="15"/>
    <n v="2"/>
    <x v="0"/>
    <x v="0"/>
    <s v="WhatsApp"/>
    <n v="5.6"/>
    <x v="17"/>
    <x v="0"/>
  </r>
  <r>
    <s v="HC-00329"/>
    <s v="P-1485"/>
    <s v="Female"/>
    <n v="56"/>
    <x v="3"/>
    <s v="Specialist Consultation"/>
    <d v="2025-03-08T00:00:00"/>
    <d v="2025-03-19T00:00:00"/>
    <s v="Wednesday"/>
    <s v="Afternoon"/>
    <x v="0"/>
    <n v="11"/>
    <n v="1"/>
    <x v="0"/>
    <x v="0"/>
    <s v="SMS"/>
    <n v="13.1"/>
    <x v="19"/>
    <x v="1"/>
  </r>
  <r>
    <s v="HC-00330"/>
    <s v="P-1030"/>
    <s v="Female"/>
    <n v="58"/>
    <x v="3"/>
    <s v="General Consultation"/>
    <d v="2025-10-01T00:00:00"/>
    <d v="2025-10-30T00:00:00"/>
    <s v="Thursday"/>
    <s v="Morning"/>
    <x v="3"/>
    <n v="29"/>
    <n v="1"/>
    <x v="0"/>
    <x v="0"/>
    <s v="WhatsApp"/>
    <n v="23.4"/>
    <x v="12"/>
    <x v="0"/>
  </r>
  <r>
    <s v="HC-00331"/>
    <s v="P-0908"/>
    <s v="Male"/>
    <n v="37"/>
    <x v="0"/>
    <s v="Diagnostic Test"/>
    <d v="2025-09-22T00:00:00"/>
    <d v="2025-10-26T00:00:00"/>
    <s v="Sunday"/>
    <s v="Morning"/>
    <x v="2"/>
    <n v="34"/>
    <n v="4"/>
    <x v="0"/>
    <x v="0"/>
    <s v="Email"/>
    <n v="9.6"/>
    <x v="9"/>
    <x v="1"/>
  </r>
  <r>
    <s v="HC-00332"/>
    <s v="P-0994"/>
    <s v="Female"/>
    <n v="64"/>
    <x v="3"/>
    <s v="Follow-up"/>
    <d v="2025-06-03T00:00:00"/>
    <d v="2025-07-22T00:00:00"/>
    <s v="Tuesday"/>
    <s v="Afternoon"/>
    <x v="2"/>
    <n v="49"/>
    <n v="2"/>
    <x v="1"/>
    <x v="0"/>
    <s v="SMS"/>
    <n v="3.3"/>
    <x v="21"/>
    <x v="0"/>
  </r>
  <r>
    <s v="HC-00333"/>
    <s v="P-0409"/>
    <s v="Male"/>
    <n v="49"/>
    <x v="2"/>
    <s v="General Consultation"/>
    <d v="2025-05-27T00:00:00"/>
    <d v="2025-06-19T00:00:00"/>
    <s v="Thursday"/>
    <s v="Morning"/>
    <x v="3"/>
    <n v="23"/>
    <n v="3"/>
    <x v="1"/>
    <x v="1"/>
    <s v="None"/>
    <n v="8.1"/>
    <x v="35"/>
    <x v="0"/>
  </r>
  <r>
    <s v="HC-00334"/>
    <s v="P-1780"/>
    <s v="Female"/>
    <n v="41"/>
    <x v="0"/>
    <s v="Follow-up"/>
    <d v="2026-02-04T00:00:00"/>
    <d v="2026-03-30T00:00:00"/>
    <s v="Monday"/>
    <s v="Morning"/>
    <x v="2"/>
    <n v="54"/>
    <n v="2"/>
    <x v="0"/>
    <x v="0"/>
    <s v="SMS"/>
    <n v="22.1"/>
    <x v="7"/>
    <x v="0"/>
  </r>
  <r>
    <s v="HC-00335"/>
    <s v="P-0310"/>
    <s v="Male"/>
    <n v="36"/>
    <x v="0"/>
    <s v="Follow-up"/>
    <d v="2025-08-03T00:00:00"/>
    <d v="2025-09-09T00:00:00"/>
    <s v="Tuesday"/>
    <s v="Morning"/>
    <x v="2"/>
    <n v="37"/>
    <n v="3"/>
    <x v="0"/>
    <x v="0"/>
    <s v="SMS"/>
    <n v="8.9"/>
    <x v="31"/>
    <x v="1"/>
  </r>
  <r>
    <s v="HC-00336"/>
    <s v="P-1328"/>
    <s v="Male"/>
    <n v="65"/>
    <x v="4"/>
    <s v="General Consultation"/>
    <d v="2026-03-14T00:00:00"/>
    <d v="2026-03-18T00:00:00"/>
    <s v="Wednesday"/>
    <s v="Morning"/>
    <x v="1"/>
    <n v="4"/>
    <n v="2"/>
    <x v="0"/>
    <x v="0"/>
    <s v="SMS"/>
    <n v="3.9"/>
    <x v="54"/>
    <x v="0"/>
  </r>
  <r>
    <s v="HC-00337"/>
    <s v="P-0126"/>
    <s v="Female"/>
    <n v="33"/>
    <x v="1"/>
    <s v="General Consultation"/>
    <d v="2026-04-26T00:00:00"/>
    <d v="2026-06-10T00:00:00"/>
    <s v="Wednesday"/>
    <s v="Evening"/>
    <x v="2"/>
    <n v="45"/>
    <n v="4"/>
    <x v="0"/>
    <x v="0"/>
    <s v="Email"/>
    <n v="7.8"/>
    <x v="3"/>
    <x v="0"/>
  </r>
  <r>
    <s v="HC-00338"/>
    <s v="P-0961"/>
    <s v="Female"/>
    <n v="25"/>
    <x v="1"/>
    <s v="Specialist Consultation"/>
    <d v="2025-05-19T00:00:00"/>
    <d v="2025-06-23T00:00:00"/>
    <s v="Monday"/>
    <s v="Morning"/>
    <x v="2"/>
    <n v="35"/>
    <n v="2"/>
    <x v="0"/>
    <x v="0"/>
    <s v="SMS"/>
    <n v="19.899999999999999"/>
    <x v="13"/>
    <x v="0"/>
  </r>
  <r>
    <s v="HC-00339"/>
    <s v="P-1775"/>
    <s v="Female"/>
    <n v="73"/>
    <x v="4"/>
    <s v="Specialist Consultation"/>
    <d v="2025-03-29T00:00:00"/>
    <d v="2025-04-21T00:00:00"/>
    <s v="Monday"/>
    <s v="Afternoon"/>
    <x v="3"/>
    <n v="23"/>
    <n v="5"/>
    <x v="4"/>
    <x v="0"/>
    <s v="SMS"/>
    <n v="5.6"/>
    <x v="5"/>
    <x v="1"/>
  </r>
  <r>
    <s v="HC-00340"/>
    <s v="P-1163"/>
    <s v="Male"/>
    <n v="38"/>
    <x v="0"/>
    <s v="General Consultation"/>
    <d v="2026-05-08T00:00:00"/>
    <d v="2026-06-05T00:00:00"/>
    <s v="Friday"/>
    <s v="Evening"/>
    <x v="3"/>
    <n v="28"/>
    <n v="2"/>
    <x v="0"/>
    <x v="1"/>
    <s v="None"/>
    <n v="20.2"/>
    <x v="7"/>
    <x v="1"/>
  </r>
  <r>
    <s v="HC-00341"/>
    <s v="P-1465"/>
    <s v="Female"/>
    <n v="58"/>
    <x v="3"/>
    <s v="Specialist Consultation"/>
    <d v="2025-11-25T00:00:00"/>
    <d v="2025-12-13T00:00:00"/>
    <s v="Saturday"/>
    <s v="Afternoon"/>
    <x v="3"/>
    <n v="18"/>
    <n v="0"/>
    <x v="0"/>
    <x v="0"/>
    <s v="WhatsApp"/>
    <n v="7.4"/>
    <x v="4"/>
    <x v="0"/>
  </r>
  <r>
    <s v="HC-00342"/>
    <s v="P-1725"/>
    <s v="Female"/>
    <n v="63"/>
    <x v="3"/>
    <s v="General Consultation"/>
    <d v="2025-05-02T00:00:00"/>
    <d v="2025-06-08T00:00:00"/>
    <s v="Sunday"/>
    <s v="Morning"/>
    <x v="2"/>
    <n v="37"/>
    <n v="5"/>
    <x v="2"/>
    <x v="0"/>
    <s v="WhatsApp"/>
    <n v="33.4"/>
    <x v="17"/>
    <x v="0"/>
  </r>
  <r>
    <s v="HC-00343"/>
    <s v="P-1054"/>
    <s v="Male"/>
    <n v="70"/>
    <x v="4"/>
    <s v="General Consultation"/>
    <d v="2025-11-02T00:00:00"/>
    <d v="2025-12-06T00:00:00"/>
    <s v="Saturday"/>
    <s v="Evening"/>
    <x v="2"/>
    <n v="34"/>
    <n v="4"/>
    <x v="2"/>
    <x v="0"/>
    <s v="SMS"/>
    <n v="6"/>
    <x v="17"/>
    <x v="2"/>
  </r>
  <r>
    <s v="HC-00344"/>
    <s v="P-0344"/>
    <s v="Male"/>
    <n v="57"/>
    <x v="3"/>
    <s v="Follow-up"/>
    <d v="2025-09-12T00:00:00"/>
    <d v="2025-10-09T00:00:00"/>
    <s v="Thursday"/>
    <s v="Morning"/>
    <x v="3"/>
    <n v="27"/>
    <n v="2"/>
    <x v="0"/>
    <x v="0"/>
    <s v="WhatsApp"/>
    <n v="4.5999999999999996"/>
    <x v="28"/>
    <x v="1"/>
  </r>
  <r>
    <s v="HC-00345"/>
    <s v="P-1239"/>
    <s v="Male"/>
    <n v="62"/>
    <x v="3"/>
    <s v="General Consultation"/>
    <d v="2026-04-23T00:00:00"/>
    <d v="2026-05-10T00:00:00"/>
    <s v="Sunday"/>
    <s v="Morning"/>
    <x v="3"/>
    <n v="17"/>
    <n v="2"/>
    <x v="1"/>
    <x v="1"/>
    <s v="None"/>
    <n v="0.9"/>
    <x v="14"/>
    <x v="2"/>
  </r>
  <r>
    <s v="HC-00346"/>
    <s v="P-1698"/>
    <s v="Female"/>
    <n v="70"/>
    <x v="4"/>
    <s v="General Consultation"/>
    <d v="2025-04-26T00:00:00"/>
    <d v="2025-05-20T00:00:00"/>
    <s v="Tuesday"/>
    <s v="Afternoon"/>
    <x v="3"/>
    <n v="24"/>
    <n v="3"/>
    <x v="0"/>
    <x v="1"/>
    <s v="None"/>
    <n v="8.3000000000000007"/>
    <x v="0"/>
    <x v="0"/>
  </r>
  <r>
    <s v="HC-00347"/>
    <s v="P-1273"/>
    <s v="Male"/>
    <n v="77"/>
    <x v="4"/>
    <s v="Follow-up"/>
    <d v="2026-05-27T00:00:00"/>
    <d v="2026-06-26T00:00:00"/>
    <s v="Friday"/>
    <s v="Morning"/>
    <x v="3"/>
    <n v="30"/>
    <n v="5"/>
    <x v="1"/>
    <x v="1"/>
    <s v="None"/>
    <n v="7.2"/>
    <x v="14"/>
    <x v="1"/>
  </r>
  <r>
    <s v="HC-00348"/>
    <s v="P-0635"/>
    <s v="Female"/>
    <n v="20"/>
    <x v="5"/>
    <s v="General Consultation"/>
    <d v="2026-04-29T00:00:00"/>
    <d v="2026-05-27T00:00:00"/>
    <s v="Wednesday"/>
    <s v="Afternoon"/>
    <x v="3"/>
    <n v="28"/>
    <n v="6"/>
    <x v="1"/>
    <x v="0"/>
    <s v="SMS"/>
    <n v="22"/>
    <x v="7"/>
    <x v="0"/>
  </r>
  <r>
    <s v="HC-00349"/>
    <s v="P-0358"/>
    <s v="Female"/>
    <n v="64"/>
    <x v="3"/>
    <s v="General Consultation"/>
    <d v="2025-03-22T00:00:00"/>
    <d v="2025-04-09T00:00:00"/>
    <s v="Wednesday"/>
    <s v="Morning"/>
    <x v="3"/>
    <n v="18"/>
    <n v="5"/>
    <x v="0"/>
    <x v="1"/>
    <s v="None"/>
    <n v="15.5"/>
    <x v="47"/>
    <x v="0"/>
  </r>
  <r>
    <s v="HC-00350"/>
    <s v="P-0628"/>
    <s v="Male"/>
    <n v="28"/>
    <x v="1"/>
    <s v="Specialist Consultation"/>
    <d v="2025-02-24T00:00:00"/>
    <d v="2025-03-31T00:00:00"/>
    <s v="Monday"/>
    <s v="Afternoon"/>
    <x v="2"/>
    <n v="35"/>
    <n v="7"/>
    <x v="1"/>
    <x v="0"/>
    <s v="Email"/>
    <n v="19.600000000000001"/>
    <x v="17"/>
    <x v="1"/>
  </r>
  <r>
    <s v="HC-00351"/>
    <s v="P-1349"/>
    <s v="Female"/>
    <n v="74"/>
    <x v="4"/>
    <s v="Follow-up"/>
    <d v="2025-10-06T00:00:00"/>
    <d v="2025-10-19T00:00:00"/>
    <s v="Sunday"/>
    <s v="Afternoon"/>
    <x v="0"/>
    <n v="13"/>
    <n v="2"/>
    <x v="0"/>
    <x v="1"/>
    <s v="None"/>
    <n v="16.899999999999999"/>
    <x v="4"/>
    <x v="1"/>
  </r>
  <r>
    <s v="HC-00352"/>
    <s v="P-0405"/>
    <s v="Male"/>
    <n v="21"/>
    <x v="5"/>
    <s v="Specialist Consultation"/>
    <d v="2024-12-26T00:00:00"/>
    <d v="2025-01-25T00:00:00"/>
    <s v="Saturday"/>
    <s v="Evening"/>
    <x v="3"/>
    <n v="30"/>
    <n v="4"/>
    <x v="0"/>
    <x v="0"/>
    <s v="SMS"/>
    <n v="8.5"/>
    <x v="31"/>
    <x v="0"/>
  </r>
  <r>
    <s v="HC-00353"/>
    <s v="P-0457"/>
    <s v="Female"/>
    <n v="33"/>
    <x v="1"/>
    <s v="Follow-up"/>
    <d v="2025-06-06T00:00:00"/>
    <d v="2025-06-13T00:00:00"/>
    <s v="Friday"/>
    <s v="Morning"/>
    <x v="1"/>
    <n v="7"/>
    <n v="2"/>
    <x v="0"/>
    <x v="0"/>
    <s v="WhatsApp"/>
    <n v="45"/>
    <x v="18"/>
    <x v="1"/>
  </r>
  <r>
    <s v="HC-00354"/>
    <s v="P-0638"/>
    <s v="Female"/>
    <n v="30"/>
    <x v="1"/>
    <s v="Follow-up"/>
    <d v="2025-07-29T00:00:00"/>
    <d v="2025-08-26T00:00:00"/>
    <s v="Tuesday"/>
    <s v="Morning"/>
    <x v="3"/>
    <n v="28"/>
    <n v="5"/>
    <x v="3"/>
    <x v="0"/>
    <s v="Email"/>
    <n v="8"/>
    <x v="20"/>
    <x v="1"/>
  </r>
  <r>
    <s v="HC-00355"/>
    <s v="P-0489"/>
    <s v="Male"/>
    <n v="56"/>
    <x v="3"/>
    <s v="General Consultation"/>
    <d v="2026-04-28T00:00:00"/>
    <d v="2026-06-14T00:00:00"/>
    <s v="Sunday"/>
    <s v="Evening"/>
    <x v="2"/>
    <n v="47"/>
    <n v="1"/>
    <x v="0"/>
    <x v="0"/>
    <s v="WhatsApp"/>
    <n v="11.4"/>
    <x v="48"/>
    <x v="1"/>
  </r>
  <r>
    <s v="HC-00356"/>
    <s v="P-0911"/>
    <s v="Female"/>
    <n v="18"/>
    <x v="5"/>
    <s v="Specialist Consultation"/>
    <d v="2026-05-08T00:00:00"/>
    <d v="2026-06-26T00:00:00"/>
    <s v="Friday"/>
    <s v="Afternoon"/>
    <x v="2"/>
    <n v="49"/>
    <n v="1"/>
    <x v="0"/>
    <x v="0"/>
    <s v="SMS"/>
    <n v="26.5"/>
    <x v="8"/>
    <x v="0"/>
  </r>
  <r>
    <s v="HC-00357"/>
    <s v="P-1206"/>
    <s v="Male"/>
    <n v="19"/>
    <x v="5"/>
    <s v="General Consultation"/>
    <d v="2025-02-10T00:00:00"/>
    <d v="2025-03-24T00:00:00"/>
    <s v="Monday"/>
    <s v="Morning"/>
    <x v="2"/>
    <n v="42"/>
    <n v="5"/>
    <x v="0"/>
    <x v="0"/>
    <s v="WhatsApp"/>
    <n v="15.8"/>
    <x v="52"/>
    <x v="0"/>
  </r>
  <r>
    <s v="HC-00358"/>
    <s v="P-0308"/>
    <s v="Male"/>
    <n v="49"/>
    <x v="2"/>
    <s v="General Consultation"/>
    <d v="2026-03-18T00:00:00"/>
    <d v="2026-05-02T00:00:00"/>
    <s v="Saturday"/>
    <s v="Morning"/>
    <x v="2"/>
    <n v="45"/>
    <n v="7"/>
    <x v="5"/>
    <x v="0"/>
    <s v="SMS"/>
    <n v="9.6"/>
    <x v="7"/>
    <x v="0"/>
  </r>
  <r>
    <s v="HC-00359"/>
    <s v="P-1473"/>
    <s v="Female"/>
    <n v="79"/>
    <x v="4"/>
    <s v="Specialist Consultation"/>
    <d v="2025-02-15T00:00:00"/>
    <d v="2025-02-19T00:00:00"/>
    <s v="Wednesday"/>
    <s v="Afternoon"/>
    <x v="1"/>
    <n v="4"/>
    <n v="3"/>
    <x v="0"/>
    <x v="1"/>
    <s v="None"/>
    <n v="12.8"/>
    <x v="20"/>
    <x v="1"/>
  </r>
  <r>
    <s v="HC-00360"/>
    <s v="P-0304"/>
    <s v="Male"/>
    <n v="51"/>
    <x v="2"/>
    <s v="Specialist Consultation"/>
    <d v="2026-01-24T00:00:00"/>
    <d v="2026-02-13T00:00:00"/>
    <s v="Friday"/>
    <s v="Afternoon"/>
    <x v="3"/>
    <n v="20"/>
    <n v="4"/>
    <x v="0"/>
    <x v="1"/>
    <s v="None"/>
    <n v="5.5"/>
    <x v="26"/>
    <x v="0"/>
  </r>
  <r>
    <s v="HC-00361"/>
    <s v="P-1291"/>
    <s v="Male"/>
    <n v="46"/>
    <x v="2"/>
    <s v="Follow-up"/>
    <d v="2026-02-27T00:00:00"/>
    <d v="2026-04-07T00:00:00"/>
    <s v="Tuesday"/>
    <s v="Afternoon"/>
    <x v="2"/>
    <n v="39"/>
    <n v="8"/>
    <x v="2"/>
    <x v="0"/>
    <s v="SMS"/>
    <n v="6.7"/>
    <x v="0"/>
    <x v="1"/>
  </r>
  <r>
    <s v="HC-00362"/>
    <s v="P-0519"/>
    <s v="Male"/>
    <n v="59"/>
    <x v="3"/>
    <s v="General Consultation"/>
    <d v="2026-03-15T00:00:00"/>
    <d v="2026-05-02T00:00:00"/>
    <s v="Saturday"/>
    <s v="Evening"/>
    <x v="2"/>
    <n v="48"/>
    <n v="4"/>
    <x v="0"/>
    <x v="1"/>
    <s v="None"/>
    <n v="11.4"/>
    <x v="17"/>
    <x v="0"/>
  </r>
  <r>
    <s v="HC-00363"/>
    <s v="P-1070"/>
    <s v="Female"/>
    <n v="52"/>
    <x v="2"/>
    <s v="General Consultation"/>
    <d v="2025-03-28T00:00:00"/>
    <d v="2025-05-02T00:00:00"/>
    <s v="Friday"/>
    <s v="Morning"/>
    <x v="2"/>
    <n v="35"/>
    <n v="2"/>
    <x v="0"/>
    <x v="0"/>
    <s v="SMS"/>
    <n v="3.9"/>
    <x v="18"/>
    <x v="0"/>
  </r>
  <r>
    <s v="HC-00364"/>
    <s v="P-0015"/>
    <s v="Male"/>
    <n v="42"/>
    <x v="0"/>
    <s v="Follow-up"/>
    <d v="2026-03-12T00:00:00"/>
    <d v="2026-05-03T00:00:00"/>
    <s v="Sunday"/>
    <s v="Morning"/>
    <x v="2"/>
    <n v="52"/>
    <n v="2"/>
    <x v="0"/>
    <x v="0"/>
    <s v="WhatsApp"/>
    <n v="5.2"/>
    <x v="25"/>
    <x v="0"/>
  </r>
  <r>
    <s v="HC-00365"/>
    <s v="P-0315"/>
    <s v="Male"/>
    <n v="55"/>
    <x v="3"/>
    <s v="Specialist Consultation"/>
    <d v="2025-02-17T00:00:00"/>
    <d v="2025-03-05T00:00:00"/>
    <s v="Wednesday"/>
    <s v="Afternoon"/>
    <x v="3"/>
    <n v="16"/>
    <n v="2"/>
    <x v="0"/>
    <x v="1"/>
    <s v="None"/>
    <n v="1.8"/>
    <x v="42"/>
    <x v="1"/>
  </r>
  <r>
    <s v="HC-00366"/>
    <s v="P-1164"/>
    <s v="Male"/>
    <n v="18"/>
    <x v="5"/>
    <s v="Follow-up"/>
    <d v="2025-10-02T00:00:00"/>
    <d v="2025-10-11T00:00:00"/>
    <s v="Saturday"/>
    <s v="Evening"/>
    <x v="0"/>
    <n v="9"/>
    <n v="1"/>
    <x v="0"/>
    <x v="0"/>
    <s v="SMS"/>
    <n v="8.6999999999999993"/>
    <x v="27"/>
    <x v="1"/>
  </r>
  <r>
    <s v="HC-00367"/>
    <s v="P-0241"/>
    <s v="Female"/>
    <n v="33"/>
    <x v="1"/>
    <s v="General Consultation"/>
    <d v="2025-09-09T00:00:00"/>
    <d v="2025-09-14T00:00:00"/>
    <s v="Sunday"/>
    <s v="Morning"/>
    <x v="1"/>
    <n v="5"/>
    <n v="1"/>
    <x v="0"/>
    <x v="1"/>
    <s v="None"/>
    <n v="9.6"/>
    <x v="23"/>
    <x v="1"/>
  </r>
  <r>
    <s v="HC-00368"/>
    <s v="P-0363"/>
    <s v="Female"/>
    <n v="60"/>
    <x v="3"/>
    <s v="General Consultation"/>
    <d v="2025-05-18T00:00:00"/>
    <d v="2025-06-22T00:00:00"/>
    <s v="Sunday"/>
    <s v="Afternoon"/>
    <x v="2"/>
    <n v="35"/>
    <n v="4"/>
    <x v="0"/>
    <x v="0"/>
    <s v="WhatsApp"/>
    <n v="17.399999999999999"/>
    <x v="2"/>
    <x v="0"/>
  </r>
  <r>
    <s v="HC-00369"/>
    <s v="P-1361"/>
    <s v="Male"/>
    <n v="39"/>
    <x v="0"/>
    <s v="Follow-up"/>
    <d v="2024-12-04T00:00:00"/>
    <d v="2025-01-13T00:00:00"/>
    <s v="Monday"/>
    <s v="Morning"/>
    <x v="2"/>
    <n v="40"/>
    <n v="2"/>
    <x v="0"/>
    <x v="1"/>
    <s v="None"/>
    <n v="4.5999999999999996"/>
    <x v="4"/>
    <x v="0"/>
  </r>
  <r>
    <s v="HC-00370"/>
    <s v="P-1572"/>
    <s v="Male"/>
    <n v="21"/>
    <x v="5"/>
    <s v="Follow-up"/>
    <d v="2026-02-09T00:00:00"/>
    <d v="2026-02-26T00:00:00"/>
    <s v="Thursday"/>
    <s v="Morning"/>
    <x v="3"/>
    <n v="17"/>
    <n v="6"/>
    <x v="0"/>
    <x v="1"/>
    <s v="None"/>
    <n v="6.7"/>
    <x v="8"/>
    <x v="0"/>
  </r>
  <r>
    <s v="HC-00371"/>
    <s v="P-1456"/>
    <s v="Male"/>
    <n v="25"/>
    <x v="1"/>
    <s v="General Consultation"/>
    <d v="2025-05-17T00:00:00"/>
    <d v="2025-07-03T00:00:00"/>
    <s v="Thursday"/>
    <s v="Evening"/>
    <x v="2"/>
    <n v="47"/>
    <n v="3"/>
    <x v="0"/>
    <x v="0"/>
    <s v="WhatsApp"/>
    <n v="14.6"/>
    <x v="0"/>
    <x v="0"/>
  </r>
  <r>
    <s v="HC-00372"/>
    <s v="P-0682"/>
    <s v="Male"/>
    <n v="72"/>
    <x v="4"/>
    <s v="General Consultation"/>
    <d v="2025-11-13T00:00:00"/>
    <d v="2025-12-28T00:00:00"/>
    <s v="Sunday"/>
    <s v="Morning"/>
    <x v="2"/>
    <n v="45"/>
    <n v="3"/>
    <x v="0"/>
    <x v="0"/>
    <s v="Email"/>
    <n v="16.3"/>
    <x v="0"/>
    <x v="0"/>
  </r>
  <r>
    <s v="HC-00373"/>
    <s v="P-1034"/>
    <s v="Female"/>
    <n v="38"/>
    <x v="0"/>
    <s v="General Consultation"/>
    <d v="2025-07-22T00:00:00"/>
    <d v="2025-08-12T00:00:00"/>
    <s v="Tuesday"/>
    <s v="Morning"/>
    <x v="3"/>
    <n v="21"/>
    <n v="2"/>
    <x v="0"/>
    <x v="0"/>
    <s v="SMS"/>
    <n v="15.8"/>
    <x v="16"/>
    <x v="1"/>
  </r>
  <r>
    <s v="HC-00374"/>
    <s v="P-0819"/>
    <s v="Male"/>
    <n v="19"/>
    <x v="5"/>
    <s v="General Consultation"/>
    <d v="2025-07-10T00:00:00"/>
    <d v="2025-07-24T00:00:00"/>
    <s v="Thursday"/>
    <s v="Afternoon"/>
    <x v="0"/>
    <n v="14"/>
    <n v="5"/>
    <x v="0"/>
    <x v="0"/>
    <s v="SMS"/>
    <n v="4.9000000000000004"/>
    <x v="8"/>
    <x v="0"/>
  </r>
  <r>
    <s v="HC-00375"/>
    <s v="P-0227"/>
    <s v="Female"/>
    <n v="63"/>
    <x v="3"/>
    <s v="Follow-up"/>
    <d v="2026-03-15T00:00:00"/>
    <d v="2026-04-29T00:00:00"/>
    <s v="Wednesday"/>
    <s v="Morning"/>
    <x v="2"/>
    <n v="45"/>
    <n v="3"/>
    <x v="2"/>
    <x v="1"/>
    <s v="None"/>
    <n v="2.2000000000000002"/>
    <x v="23"/>
    <x v="0"/>
  </r>
  <r>
    <s v="HC-00376"/>
    <s v="P-1671"/>
    <s v="Female"/>
    <n v="51"/>
    <x v="2"/>
    <s v="General Consultation"/>
    <d v="2025-01-12T00:00:00"/>
    <d v="2025-02-21T00:00:00"/>
    <s v="Friday"/>
    <s v="Morning"/>
    <x v="2"/>
    <n v="40"/>
    <n v="6"/>
    <x v="0"/>
    <x v="0"/>
    <s v="SMS"/>
    <n v="9.5"/>
    <x v="47"/>
    <x v="1"/>
  </r>
  <r>
    <s v="HC-00377"/>
    <s v="P-1398"/>
    <s v="Female"/>
    <n v="46"/>
    <x v="2"/>
    <s v="Follow-up"/>
    <d v="2026-01-28T00:00:00"/>
    <d v="2026-02-07T00:00:00"/>
    <s v="Saturday"/>
    <s v="Afternoon"/>
    <x v="0"/>
    <n v="10"/>
    <n v="3"/>
    <x v="0"/>
    <x v="0"/>
    <s v="SMS"/>
    <n v="8.5"/>
    <x v="12"/>
    <x v="1"/>
  </r>
  <r>
    <s v="HC-00378"/>
    <s v="P-0046"/>
    <s v="Male"/>
    <n v="74"/>
    <x v="4"/>
    <s v="Specialist Consultation"/>
    <d v="2026-01-28T00:00:00"/>
    <d v="2026-02-12T00:00:00"/>
    <s v="Thursday"/>
    <s v="Morning"/>
    <x v="3"/>
    <n v="15"/>
    <n v="3"/>
    <x v="1"/>
    <x v="0"/>
    <s v="SMS"/>
    <n v="9.9"/>
    <x v="35"/>
    <x v="1"/>
  </r>
  <r>
    <s v="HC-00379"/>
    <s v="P-0019"/>
    <s v="Female"/>
    <n v="37"/>
    <x v="0"/>
    <s v="Diagnostic Test"/>
    <d v="2025-06-28T00:00:00"/>
    <d v="2025-07-27T00:00:00"/>
    <s v="Sunday"/>
    <s v="Afternoon"/>
    <x v="3"/>
    <n v="29"/>
    <n v="2"/>
    <x v="0"/>
    <x v="0"/>
    <s v="WhatsApp"/>
    <n v="11.1"/>
    <x v="35"/>
    <x v="0"/>
  </r>
  <r>
    <s v="HC-00380"/>
    <s v="P-1274"/>
    <s v="Female"/>
    <n v="54"/>
    <x v="2"/>
    <s v="Diagnostic Test"/>
    <d v="2025-04-23T00:00:00"/>
    <d v="2025-05-24T00:00:00"/>
    <s v="Saturday"/>
    <s v="Morning"/>
    <x v="2"/>
    <n v="31"/>
    <n v="6"/>
    <x v="0"/>
    <x v="0"/>
    <s v="SMS"/>
    <n v="12.4"/>
    <x v="19"/>
    <x v="0"/>
  </r>
  <r>
    <s v="HC-00381"/>
    <s v="P-0597"/>
    <s v="Female"/>
    <n v="64"/>
    <x v="3"/>
    <s v="General Consultation"/>
    <d v="2024-12-24T00:00:00"/>
    <d v="2025-01-03T00:00:00"/>
    <s v="Friday"/>
    <s v="Morning"/>
    <x v="0"/>
    <n v="10"/>
    <n v="4"/>
    <x v="2"/>
    <x v="0"/>
    <s v="SMS"/>
    <n v="12.4"/>
    <x v="17"/>
    <x v="0"/>
  </r>
  <r>
    <s v="HC-00382"/>
    <s v="P-0911"/>
    <s v="Female"/>
    <n v="56"/>
    <x v="3"/>
    <s v="General Consultation"/>
    <d v="2026-03-31T00:00:00"/>
    <d v="2026-05-27T00:00:00"/>
    <s v="Wednesday"/>
    <s v="Afternoon"/>
    <x v="2"/>
    <n v="57"/>
    <n v="3"/>
    <x v="1"/>
    <x v="1"/>
    <s v="None"/>
    <n v="6.9"/>
    <x v="36"/>
    <x v="0"/>
  </r>
  <r>
    <s v="HC-00383"/>
    <s v="P-0823"/>
    <s v="Male"/>
    <n v="31"/>
    <x v="1"/>
    <s v="General Consultation"/>
    <d v="2026-05-10T00:00:00"/>
    <d v="2026-06-02T00:00:00"/>
    <s v="Tuesday"/>
    <s v="Morning"/>
    <x v="3"/>
    <n v="23"/>
    <n v="3"/>
    <x v="0"/>
    <x v="0"/>
    <s v="Email"/>
    <n v="7.7"/>
    <x v="18"/>
    <x v="0"/>
  </r>
  <r>
    <s v="HC-00384"/>
    <s v="P-1146"/>
    <s v="Female"/>
    <n v="60"/>
    <x v="3"/>
    <s v="Specialist Consultation"/>
    <d v="2025-04-19T00:00:00"/>
    <d v="2025-05-12T00:00:00"/>
    <s v="Monday"/>
    <s v="Afternoon"/>
    <x v="3"/>
    <n v="23"/>
    <n v="4"/>
    <x v="1"/>
    <x v="0"/>
    <s v="SMS"/>
    <n v="6.1"/>
    <x v="19"/>
    <x v="1"/>
  </r>
  <r>
    <s v="HC-00385"/>
    <s v="P-1491"/>
    <s v="Female"/>
    <n v="64"/>
    <x v="3"/>
    <s v="General Consultation"/>
    <d v="2025-01-15T00:00:00"/>
    <d v="2025-01-18T00:00:00"/>
    <s v="Saturday"/>
    <s v="Evening"/>
    <x v="1"/>
    <n v="3"/>
    <n v="3"/>
    <x v="1"/>
    <x v="0"/>
    <s v="Email"/>
    <n v="14.9"/>
    <x v="11"/>
    <x v="1"/>
  </r>
  <r>
    <s v="HC-00386"/>
    <s v="P-1747"/>
    <s v="Female"/>
    <n v="25"/>
    <x v="1"/>
    <s v="General Consultation"/>
    <d v="2025-01-15T00:00:00"/>
    <d v="2025-03-09T00:00:00"/>
    <s v="Sunday"/>
    <s v="Afternoon"/>
    <x v="2"/>
    <n v="53"/>
    <n v="0"/>
    <x v="0"/>
    <x v="0"/>
    <s v="SMS"/>
    <n v="3.9"/>
    <x v="47"/>
    <x v="1"/>
  </r>
  <r>
    <s v="HC-00387"/>
    <s v="P-0422"/>
    <s v="Male"/>
    <n v="28"/>
    <x v="1"/>
    <s v="General Consultation"/>
    <d v="2025-01-23T00:00:00"/>
    <d v="2025-02-06T00:00:00"/>
    <s v="Thursday"/>
    <s v="Morning"/>
    <x v="0"/>
    <n v="14"/>
    <n v="4"/>
    <x v="2"/>
    <x v="1"/>
    <s v="None"/>
    <n v="25.4"/>
    <x v="47"/>
    <x v="0"/>
  </r>
  <r>
    <s v="HC-00388"/>
    <s v="P-0234"/>
    <s v="Male"/>
    <n v="60"/>
    <x v="3"/>
    <s v="General Consultation"/>
    <d v="2026-01-29T00:00:00"/>
    <d v="2026-03-30T00:00:00"/>
    <s v="Monday"/>
    <s v="Morning"/>
    <x v="2"/>
    <n v="60"/>
    <n v="3"/>
    <x v="0"/>
    <x v="0"/>
    <s v="Email"/>
    <n v="8.6999999999999993"/>
    <x v="36"/>
    <x v="0"/>
  </r>
  <r>
    <s v="HC-00389"/>
    <s v="P-0516"/>
    <s v="Male"/>
    <n v="25"/>
    <x v="1"/>
    <s v="Specialist Consultation"/>
    <d v="2026-04-02T00:00:00"/>
    <d v="2026-05-02T00:00:00"/>
    <s v="Saturday"/>
    <s v="Evening"/>
    <x v="3"/>
    <n v="30"/>
    <n v="2"/>
    <x v="0"/>
    <x v="0"/>
    <s v="WhatsApp"/>
    <n v="8.6"/>
    <x v="25"/>
    <x v="1"/>
  </r>
  <r>
    <s v="HC-00390"/>
    <s v="P-1216"/>
    <s v="Female"/>
    <n v="73"/>
    <x v="4"/>
    <s v="Follow-up"/>
    <d v="2025-01-31T00:00:00"/>
    <d v="2025-03-25T00:00:00"/>
    <s v="Tuesday"/>
    <s v="Afternoon"/>
    <x v="2"/>
    <n v="53"/>
    <n v="3"/>
    <x v="0"/>
    <x v="0"/>
    <s v="WhatsApp"/>
    <n v="7.5"/>
    <x v="6"/>
    <x v="1"/>
  </r>
  <r>
    <s v="HC-00391"/>
    <s v="P-0528"/>
    <s v="Female"/>
    <n v="24"/>
    <x v="5"/>
    <s v="Follow-up"/>
    <d v="2026-02-02T00:00:00"/>
    <d v="2026-02-12T00:00:00"/>
    <s v="Thursday"/>
    <s v="Afternoon"/>
    <x v="0"/>
    <n v="10"/>
    <n v="2"/>
    <x v="0"/>
    <x v="0"/>
    <s v="SMS"/>
    <n v="15.2"/>
    <x v="50"/>
    <x v="1"/>
  </r>
  <r>
    <s v="HC-00392"/>
    <s v="P-1268"/>
    <s v="Female"/>
    <n v="79"/>
    <x v="4"/>
    <s v="Diagnostic Test"/>
    <d v="2025-03-29T00:00:00"/>
    <d v="2025-04-08T00:00:00"/>
    <s v="Tuesday"/>
    <s v="Afternoon"/>
    <x v="0"/>
    <n v="10"/>
    <n v="1"/>
    <x v="1"/>
    <x v="0"/>
    <s v="SMS"/>
    <n v="9.1999999999999993"/>
    <x v="12"/>
    <x v="1"/>
  </r>
  <r>
    <s v="HC-00393"/>
    <s v="P-0378"/>
    <s v="Male"/>
    <n v="60"/>
    <x v="3"/>
    <s v="General Consultation"/>
    <d v="2025-06-02T00:00:00"/>
    <d v="2025-07-20T00:00:00"/>
    <s v="Sunday"/>
    <s v="Morning"/>
    <x v="2"/>
    <n v="48"/>
    <n v="2"/>
    <x v="0"/>
    <x v="0"/>
    <s v="SMS"/>
    <n v="6.3"/>
    <x v="20"/>
    <x v="0"/>
  </r>
  <r>
    <s v="HC-00394"/>
    <s v="P-0816"/>
    <s v="Female"/>
    <n v="45"/>
    <x v="2"/>
    <s v="General Consultation"/>
    <d v="2025-10-06T00:00:00"/>
    <d v="2025-11-24T00:00:00"/>
    <s v="Monday"/>
    <s v="Morning"/>
    <x v="2"/>
    <n v="49"/>
    <n v="2"/>
    <x v="0"/>
    <x v="0"/>
    <s v="SMS"/>
    <n v="14.7"/>
    <x v="13"/>
    <x v="0"/>
  </r>
  <r>
    <s v="HC-00395"/>
    <s v="P-0182"/>
    <s v="Female"/>
    <n v="34"/>
    <x v="1"/>
    <s v="General Consultation"/>
    <d v="2025-12-27T00:00:00"/>
    <d v="2026-01-29T00:00:00"/>
    <s v="Thursday"/>
    <s v="Afternoon"/>
    <x v="2"/>
    <n v="33"/>
    <n v="4"/>
    <x v="1"/>
    <x v="0"/>
    <s v="SMS"/>
    <n v="5.5"/>
    <x v="35"/>
    <x v="1"/>
  </r>
  <r>
    <s v="HC-00396"/>
    <s v="P-0324"/>
    <s v="Male"/>
    <n v="39"/>
    <x v="0"/>
    <s v="Follow-up"/>
    <d v="2026-04-22T00:00:00"/>
    <d v="2026-04-23T00:00:00"/>
    <s v="Thursday"/>
    <s v="Afternoon"/>
    <x v="1"/>
    <n v="1"/>
    <n v="3"/>
    <x v="2"/>
    <x v="1"/>
    <s v="None"/>
    <n v="15.4"/>
    <x v="25"/>
    <x v="2"/>
  </r>
  <r>
    <s v="HC-00397"/>
    <s v="P-1742"/>
    <s v="Male"/>
    <n v="65"/>
    <x v="4"/>
    <s v="Follow-up"/>
    <d v="2024-11-29T00:00:00"/>
    <d v="2025-01-25T00:00:00"/>
    <s v="Saturday"/>
    <s v="Morning"/>
    <x v="2"/>
    <n v="57"/>
    <n v="2"/>
    <x v="0"/>
    <x v="1"/>
    <s v="None"/>
    <n v="2.7"/>
    <x v="26"/>
    <x v="0"/>
  </r>
  <r>
    <s v="HC-00398"/>
    <s v="P-0310"/>
    <s v="Female"/>
    <n v="65"/>
    <x v="4"/>
    <s v="General Consultation"/>
    <d v="2025-03-26T00:00:00"/>
    <d v="2025-04-18T00:00:00"/>
    <s v="Friday"/>
    <s v="Afternoon"/>
    <x v="3"/>
    <n v="23"/>
    <n v="3"/>
    <x v="0"/>
    <x v="0"/>
    <s v="SMS"/>
    <n v="19.7"/>
    <x v="23"/>
    <x v="0"/>
  </r>
  <r>
    <s v="HC-00399"/>
    <s v="P-0764"/>
    <s v="Male"/>
    <n v="31"/>
    <x v="1"/>
    <s v="Diagnostic Test"/>
    <d v="2025-04-07T00:00:00"/>
    <d v="2025-06-03T00:00:00"/>
    <s v="Tuesday"/>
    <s v="Afternoon"/>
    <x v="2"/>
    <n v="57"/>
    <n v="3"/>
    <x v="0"/>
    <x v="0"/>
    <s v="SMS"/>
    <n v="5.3"/>
    <x v="8"/>
    <x v="1"/>
  </r>
  <r>
    <s v="HC-00400"/>
    <s v="P-0757"/>
    <s v="Female"/>
    <n v="52"/>
    <x v="2"/>
    <s v="General Consultation"/>
    <d v="2025-04-27T00:00:00"/>
    <d v="2025-06-19T00:00:00"/>
    <s v="Thursday"/>
    <s v="Morning"/>
    <x v="2"/>
    <n v="53"/>
    <n v="4"/>
    <x v="1"/>
    <x v="0"/>
    <s v="SMS"/>
    <n v="3.4"/>
    <x v="12"/>
    <x v="1"/>
  </r>
  <r>
    <s v="HC-00401"/>
    <s v="P-1243"/>
    <s v="Female"/>
    <n v="80"/>
    <x v="4"/>
    <s v="General Consultation"/>
    <d v="2026-05-09T00:00:00"/>
    <d v="2026-06-29T00:00:00"/>
    <s v="Monday"/>
    <s v="Morning"/>
    <x v="2"/>
    <n v="51"/>
    <n v="1"/>
    <x v="0"/>
    <x v="0"/>
    <s v="SMS"/>
    <n v="7.2"/>
    <x v="18"/>
    <x v="1"/>
  </r>
  <r>
    <s v="HC-00402"/>
    <s v="P-1216"/>
    <s v="Female"/>
    <n v="34"/>
    <x v="1"/>
    <s v="Follow-up"/>
    <d v="2026-01-18T00:00:00"/>
    <d v="2026-03-01T00:00:00"/>
    <s v="Sunday"/>
    <s v="Afternoon"/>
    <x v="2"/>
    <n v="42"/>
    <n v="6"/>
    <x v="0"/>
    <x v="0"/>
    <s v="SMS"/>
    <n v="6.5"/>
    <x v="0"/>
    <x v="0"/>
  </r>
  <r>
    <s v="HC-00403"/>
    <s v="P-0907"/>
    <s v="Male"/>
    <n v="61"/>
    <x v="3"/>
    <s v="Diagnostic Test"/>
    <d v="2025-05-14T00:00:00"/>
    <d v="2025-06-24T00:00:00"/>
    <s v="Tuesday"/>
    <s v="Afternoon"/>
    <x v="2"/>
    <n v="41"/>
    <n v="4"/>
    <x v="1"/>
    <x v="0"/>
    <s v="SMS"/>
    <n v="11.2"/>
    <x v="11"/>
    <x v="1"/>
  </r>
  <r>
    <s v="HC-00404"/>
    <s v="P-0990"/>
    <s v="Female"/>
    <n v="28"/>
    <x v="1"/>
    <s v="Follow-up"/>
    <d v="2026-05-14T00:00:00"/>
    <d v="2026-06-15T00:00:00"/>
    <s v="Monday"/>
    <s v="Evening"/>
    <x v="2"/>
    <n v="32"/>
    <n v="3"/>
    <x v="1"/>
    <x v="0"/>
    <s v="SMS"/>
    <n v="3.3"/>
    <x v="9"/>
    <x v="0"/>
  </r>
  <r>
    <s v="HC-00405"/>
    <s v="P-1410"/>
    <s v="Male"/>
    <n v="70"/>
    <x v="4"/>
    <s v="Diagnostic Test"/>
    <d v="2025-09-29T00:00:00"/>
    <d v="2025-09-30T00:00:00"/>
    <s v="Tuesday"/>
    <s v="Morning"/>
    <x v="1"/>
    <n v="1"/>
    <n v="2"/>
    <x v="0"/>
    <x v="0"/>
    <s v="SMS"/>
    <n v="10.9"/>
    <x v="12"/>
    <x v="1"/>
  </r>
  <r>
    <s v="HC-00406"/>
    <s v="P-0186"/>
    <s v="Female"/>
    <n v="28"/>
    <x v="1"/>
    <s v="General Consultation"/>
    <d v="2025-09-08T00:00:00"/>
    <d v="2025-10-01T00:00:00"/>
    <s v="Wednesday"/>
    <s v="Evening"/>
    <x v="3"/>
    <n v="23"/>
    <n v="1"/>
    <x v="0"/>
    <x v="0"/>
    <s v="SMS"/>
    <n v="7.1"/>
    <x v="12"/>
    <x v="0"/>
  </r>
  <r>
    <s v="HC-00407"/>
    <s v="P-0374"/>
    <s v="Male"/>
    <n v="36"/>
    <x v="0"/>
    <s v="Follow-up"/>
    <d v="2025-07-12T00:00:00"/>
    <d v="2025-08-25T00:00:00"/>
    <s v="Monday"/>
    <s v="Afternoon"/>
    <x v="2"/>
    <n v="44"/>
    <n v="2"/>
    <x v="1"/>
    <x v="0"/>
    <s v="WhatsApp"/>
    <n v="9.1999999999999993"/>
    <x v="18"/>
    <x v="0"/>
  </r>
  <r>
    <s v="HC-00408"/>
    <s v="P-0096"/>
    <s v="Male"/>
    <n v="46"/>
    <x v="2"/>
    <s v="Specialist Consultation"/>
    <d v="2025-01-30T00:00:00"/>
    <d v="2025-03-20T00:00:00"/>
    <s v="Thursday"/>
    <s v="Afternoon"/>
    <x v="2"/>
    <n v="49"/>
    <n v="2"/>
    <x v="0"/>
    <x v="1"/>
    <s v="None"/>
    <n v="3.9"/>
    <x v="47"/>
    <x v="0"/>
  </r>
  <r>
    <s v="HC-00409"/>
    <s v="P-0546"/>
    <s v="Male"/>
    <n v="41"/>
    <x v="0"/>
    <s v="Follow-up"/>
    <d v="2026-04-22T00:00:00"/>
    <d v="2026-05-26T00:00:00"/>
    <s v="Tuesday"/>
    <s v="Morning"/>
    <x v="2"/>
    <n v="34"/>
    <n v="3"/>
    <x v="0"/>
    <x v="0"/>
    <s v="Email"/>
    <n v="8.8000000000000007"/>
    <x v="25"/>
    <x v="0"/>
  </r>
  <r>
    <s v="HC-00410"/>
    <s v="P-0668"/>
    <s v="Male"/>
    <n v="28"/>
    <x v="1"/>
    <s v="General Consultation"/>
    <d v="2024-11-26T00:00:00"/>
    <d v="2025-01-08T00:00:00"/>
    <s v="Wednesday"/>
    <s v="Morning"/>
    <x v="2"/>
    <n v="43"/>
    <n v="4"/>
    <x v="0"/>
    <x v="0"/>
    <s v="WhatsApp"/>
    <n v="5.4"/>
    <x v="29"/>
    <x v="0"/>
  </r>
  <r>
    <s v="HC-00411"/>
    <s v="P-0218"/>
    <s v="Male"/>
    <n v="58"/>
    <x v="3"/>
    <s v="Diagnostic Test"/>
    <d v="2025-04-05T00:00:00"/>
    <d v="2025-04-06T00:00:00"/>
    <s v="Sunday"/>
    <s v="Afternoon"/>
    <x v="1"/>
    <n v="1"/>
    <n v="1"/>
    <x v="0"/>
    <x v="0"/>
    <s v="Email"/>
    <n v="2.2999999999999998"/>
    <x v="32"/>
    <x v="1"/>
  </r>
  <r>
    <s v="HC-00412"/>
    <s v="P-0202"/>
    <s v="Male"/>
    <n v="19"/>
    <x v="5"/>
    <s v="General Consultation"/>
    <d v="2025-04-08T00:00:00"/>
    <d v="2025-05-06T00:00:00"/>
    <s v="Tuesday"/>
    <s v="Morning"/>
    <x v="3"/>
    <n v="28"/>
    <n v="2"/>
    <x v="0"/>
    <x v="0"/>
    <s v="Email"/>
    <n v="13.1"/>
    <x v="3"/>
    <x v="1"/>
  </r>
  <r>
    <s v="HC-00413"/>
    <s v="P-0845"/>
    <s v="Female"/>
    <n v="79"/>
    <x v="4"/>
    <s v="General Consultation"/>
    <d v="2025-05-03T00:00:00"/>
    <d v="2025-06-02T00:00:00"/>
    <s v="Monday"/>
    <s v="Morning"/>
    <x v="3"/>
    <n v="30"/>
    <n v="1"/>
    <x v="1"/>
    <x v="1"/>
    <s v="None"/>
    <n v="4.7"/>
    <x v="16"/>
    <x v="0"/>
  </r>
  <r>
    <s v="HC-00414"/>
    <s v="P-0253"/>
    <s v="Prefer not to say"/>
    <n v="21"/>
    <x v="5"/>
    <s v="Specialist Consultation"/>
    <d v="2025-01-18T00:00:00"/>
    <d v="2025-03-13T00:00:00"/>
    <s v="Thursday"/>
    <s v="Evening"/>
    <x v="2"/>
    <n v="54"/>
    <n v="2"/>
    <x v="0"/>
    <x v="0"/>
    <s v="SMS"/>
    <n v="11"/>
    <x v="20"/>
    <x v="0"/>
  </r>
  <r>
    <s v="HC-00415"/>
    <s v="P-1313"/>
    <s v="Female"/>
    <n v="39"/>
    <x v="0"/>
    <s v="Diagnostic Test"/>
    <d v="2024-12-23T00:00:00"/>
    <d v="2025-01-10T00:00:00"/>
    <s v="Friday"/>
    <s v="Morning"/>
    <x v="3"/>
    <n v="18"/>
    <n v="6"/>
    <x v="0"/>
    <x v="0"/>
    <s v="SMS"/>
    <n v="4.7"/>
    <x v="20"/>
    <x v="1"/>
  </r>
  <r>
    <s v="HC-00416"/>
    <s v="P-1224"/>
    <s v="Female"/>
    <n v="76"/>
    <x v="4"/>
    <s v="Diagnostic Test"/>
    <d v="2025-12-23T00:00:00"/>
    <d v="2026-01-06T00:00:00"/>
    <s v="Tuesday"/>
    <s v="Evening"/>
    <x v="0"/>
    <n v="14"/>
    <n v="3"/>
    <x v="0"/>
    <x v="0"/>
    <s v="SMS"/>
    <n v="8.6"/>
    <x v="19"/>
    <x v="0"/>
  </r>
  <r>
    <s v="HC-00417"/>
    <s v="P-1039"/>
    <s v="Female"/>
    <n v="27"/>
    <x v="1"/>
    <s v="Diagnostic Test"/>
    <d v="2026-05-24T00:00:00"/>
    <d v="2026-06-14T00:00:00"/>
    <s v="Sunday"/>
    <s v="Afternoon"/>
    <x v="3"/>
    <n v="21"/>
    <n v="3"/>
    <x v="0"/>
    <x v="0"/>
    <s v="SMS"/>
    <n v="31.1"/>
    <x v="36"/>
    <x v="0"/>
  </r>
  <r>
    <s v="HC-00418"/>
    <s v="P-0856"/>
    <s v="Female"/>
    <n v="22"/>
    <x v="5"/>
    <s v="General Consultation"/>
    <d v="2025-02-26T00:00:00"/>
    <d v="2025-03-08T00:00:00"/>
    <s v="Saturday"/>
    <s v="Afternoon"/>
    <x v="0"/>
    <n v="10"/>
    <n v="3"/>
    <x v="1"/>
    <x v="0"/>
    <s v="SMS"/>
    <n v="17"/>
    <x v="51"/>
    <x v="1"/>
  </r>
  <r>
    <s v="HC-00419"/>
    <s v="P-1582"/>
    <s v="Male"/>
    <n v="64"/>
    <x v="3"/>
    <s v="Diagnostic Test"/>
    <d v="2025-05-08T00:00:00"/>
    <d v="2025-06-11T00:00:00"/>
    <s v="Wednesday"/>
    <s v="Morning"/>
    <x v="2"/>
    <n v="34"/>
    <n v="4"/>
    <x v="2"/>
    <x v="1"/>
    <s v="None"/>
    <n v="23.7"/>
    <x v="32"/>
    <x v="1"/>
  </r>
  <r>
    <s v="HC-00420"/>
    <s v="P-1167"/>
    <s v="Female"/>
    <n v="22"/>
    <x v="5"/>
    <s v="Follow-up"/>
    <d v="2025-08-26T00:00:00"/>
    <d v="2025-10-04T00:00:00"/>
    <s v="Saturday"/>
    <s v="Afternoon"/>
    <x v="2"/>
    <n v="39"/>
    <n v="1"/>
    <x v="0"/>
    <x v="1"/>
    <s v="None"/>
    <n v="17.600000000000001"/>
    <x v="12"/>
    <x v="2"/>
  </r>
  <r>
    <s v="HC-00421"/>
    <s v="P-1611"/>
    <s v="Female"/>
    <n v="74"/>
    <x v="4"/>
    <s v="Follow-up"/>
    <d v="2026-04-04T00:00:00"/>
    <d v="2026-05-22T00:00:00"/>
    <s v="Friday"/>
    <s v="Afternoon"/>
    <x v="2"/>
    <n v="48"/>
    <n v="2"/>
    <x v="0"/>
    <x v="0"/>
    <s v="SMS"/>
    <n v="8.4"/>
    <x v="26"/>
    <x v="0"/>
  </r>
  <r>
    <s v="HC-00422"/>
    <s v="P-0626"/>
    <s v="Male"/>
    <n v="46"/>
    <x v="2"/>
    <s v="General Consultation"/>
    <d v="2025-11-17T00:00:00"/>
    <d v="2026-01-15T00:00:00"/>
    <s v="Thursday"/>
    <s v="Evening"/>
    <x v="2"/>
    <n v="59"/>
    <n v="4"/>
    <x v="0"/>
    <x v="1"/>
    <s v="None"/>
    <n v="15.2"/>
    <x v="13"/>
    <x v="0"/>
  </r>
  <r>
    <s v="HC-00423"/>
    <s v="P-0955"/>
    <s v="Male"/>
    <n v="72"/>
    <x v="4"/>
    <s v="Specialist Consultation"/>
    <d v="2026-02-19T00:00:00"/>
    <d v="2026-02-23T00:00:00"/>
    <s v="Monday"/>
    <s v="Morning"/>
    <x v="1"/>
    <n v="4"/>
    <n v="2"/>
    <x v="0"/>
    <x v="0"/>
    <s v="Email"/>
    <n v="7.7"/>
    <x v="31"/>
    <x v="2"/>
  </r>
  <r>
    <s v="HC-00424"/>
    <s v="P-0170"/>
    <s v="Female"/>
    <n v="33"/>
    <x v="1"/>
    <s v="Follow-up"/>
    <d v="2025-10-30T00:00:00"/>
    <d v="2025-11-14T00:00:00"/>
    <s v="Friday"/>
    <s v="Morning"/>
    <x v="3"/>
    <n v="15"/>
    <n v="1"/>
    <x v="0"/>
    <x v="0"/>
    <s v="WhatsApp"/>
    <n v="3.2"/>
    <x v="9"/>
    <x v="1"/>
  </r>
  <r>
    <s v="HC-00425"/>
    <s v="P-0879"/>
    <s v="Male"/>
    <n v="26"/>
    <x v="1"/>
    <s v="Specialist Consultation"/>
    <d v="2025-07-29T00:00:00"/>
    <d v="2025-08-16T00:00:00"/>
    <s v="Saturday"/>
    <s v="Evening"/>
    <x v="3"/>
    <n v="18"/>
    <n v="5"/>
    <x v="1"/>
    <x v="1"/>
    <s v="None"/>
    <n v="10.199999999999999"/>
    <x v="3"/>
    <x v="0"/>
  </r>
  <r>
    <s v="HC-00426"/>
    <s v="P-0117"/>
    <s v="Female"/>
    <n v="78"/>
    <x v="4"/>
    <s v="General Consultation"/>
    <d v="2025-04-05T00:00:00"/>
    <d v="2025-04-20T00:00:00"/>
    <s v="Sunday"/>
    <s v="Morning"/>
    <x v="3"/>
    <n v="15"/>
    <n v="2"/>
    <x v="2"/>
    <x v="1"/>
    <s v="None"/>
    <n v="2.5"/>
    <x v="16"/>
    <x v="0"/>
  </r>
  <r>
    <s v="HC-00427"/>
    <s v="P-0667"/>
    <s v="Female"/>
    <n v="66"/>
    <x v="4"/>
    <s v="General Consultation"/>
    <d v="2026-02-26T00:00:00"/>
    <d v="2026-04-17T00:00:00"/>
    <s v="Friday"/>
    <s v="Afternoon"/>
    <x v="2"/>
    <n v="50"/>
    <n v="4"/>
    <x v="3"/>
    <x v="0"/>
    <s v="SMS"/>
    <n v="7.5"/>
    <x v="5"/>
    <x v="0"/>
  </r>
  <r>
    <s v="HC-00428"/>
    <s v="P-0031"/>
    <s v="Male"/>
    <n v="75"/>
    <x v="4"/>
    <s v="Follow-up"/>
    <d v="2026-03-08T00:00:00"/>
    <d v="2026-03-16T00:00:00"/>
    <s v="Monday"/>
    <s v="Morning"/>
    <x v="0"/>
    <n v="8"/>
    <n v="4"/>
    <x v="1"/>
    <x v="1"/>
    <s v="None"/>
    <n v="18.600000000000001"/>
    <x v="25"/>
    <x v="0"/>
  </r>
  <r>
    <s v="HC-00429"/>
    <s v="P-0438"/>
    <s v="Male"/>
    <n v="38"/>
    <x v="0"/>
    <s v="General Consultation"/>
    <d v="2025-01-13T00:00:00"/>
    <d v="2025-01-14T00:00:00"/>
    <s v="Tuesday"/>
    <s v="Morning"/>
    <x v="1"/>
    <n v="1"/>
    <n v="3"/>
    <x v="1"/>
    <x v="0"/>
    <s v="Email"/>
    <n v="16.399999999999999"/>
    <x v="22"/>
    <x v="1"/>
  </r>
  <r>
    <s v="HC-00430"/>
    <s v="P-1554"/>
    <s v="Male"/>
    <n v="43"/>
    <x v="0"/>
    <s v="Follow-up"/>
    <d v="2025-12-05T00:00:00"/>
    <d v="2026-01-26T00:00:00"/>
    <s v="Monday"/>
    <s v="Afternoon"/>
    <x v="2"/>
    <n v="52"/>
    <n v="3"/>
    <x v="1"/>
    <x v="0"/>
    <s v="SMS"/>
    <n v="7.6"/>
    <x v="5"/>
    <x v="0"/>
  </r>
  <r>
    <s v="HC-00431"/>
    <s v="P-1294"/>
    <s v="Female"/>
    <n v="54"/>
    <x v="2"/>
    <s v="General Consultation"/>
    <d v="2024-12-20T00:00:00"/>
    <d v="2025-02-16T00:00:00"/>
    <s v="Sunday"/>
    <s v="Afternoon"/>
    <x v="2"/>
    <n v="58"/>
    <n v="1"/>
    <x v="0"/>
    <x v="1"/>
    <s v="None"/>
    <n v="23.6"/>
    <x v="36"/>
    <x v="1"/>
  </r>
  <r>
    <s v="HC-00432"/>
    <s v="P-1737"/>
    <s v="Female"/>
    <n v="46"/>
    <x v="2"/>
    <s v="Follow-up"/>
    <d v="2026-01-26T00:00:00"/>
    <d v="2026-02-08T00:00:00"/>
    <s v="Sunday"/>
    <s v="Afternoon"/>
    <x v="0"/>
    <n v="13"/>
    <n v="4"/>
    <x v="0"/>
    <x v="1"/>
    <s v="None"/>
    <n v="12"/>
    <x v="16"/>
    <x v="1"/>
  </r>
  <r>
    <s v="HC-00433"/>
    <s v="P-1722"/>
    <s v="Female"/>
    <n v="33"/>
    <x v="1"/>
    <s v="General Consultation"/>
    <d v="2026-03-07T00:00:00"/>
    <d v="2026-03-27T00:00:00"/>
    <s v="Friday"/>
    <s v="Afternoon"/>
    <x v="3"/>
    <n v="20"/>
    <n v="3"/>
    <x v="2"/>
    <x v="0"/>
    <s v="SMS"/>
    <n v="13.6"/>
    <x v="38"/>
    <x v="0"/>
  </r>
  <r>
    <s v="HC-00434"/>
    <s v="P-0270"/>
    <s v="Male"/>
    <n v="41"/>
    <x v="0"/>
    <s v="General Consultation"/>
    <d v="2025-02-11T00:00:00"/>
    <d v="2025-03-13T00:00:00"/>
    <s v="Thursday"/>
    <s v="Afternoon"/>
    <x v="3"/>
    <n v="30"/>
    <n v="1"/>
    <x v="1"/>
    <x v="0"/>
    <s v="SMS"/>
    <n v="6.5"/>
    <x v="4"/>
    <x v="1"/>
  </r>
  <r>
    <s v="HC-00435"/>
    <s v="P-0325"/>
    <s v="Female"/>
    <n v="56"/>
    <x v="3"/>
    <s v="Follow-up"/>
    <d v="2025-07-24T00:00:00"/>
    <d v="2025-08-25T00:00:00"/>
    <s v="Monday"/>
    <s v="Evening"/>
    <x v="2"/>
    <n v="32"/>
    <n v="2"/>
    <x v="0"/>
    <x v="1"/>
    <s v="None"/>
    <n v="14.9"/>
    <x v="16"/>
    <x v="1"/>
  </r>
  <r>
    <s v="HC-00436"/>
    <s v="P-1704"/>
    <s v="Female"/>
    <n v="20"/>
    <x v="5"/>
    <s v="General Consultation"/>
    <d v="2025-01-08T00:00:00"/>
    <d v="2025-03-09T00:00:00"/>
    <s v="Sunday"/>
    <s v="Morning"/>
    <x v="2"/>
    <n v="60"/>
    <n v="1"/>
    <x v="0"/>
    <x v="1"/>
    <s v="None"/>
    <n v="8"/>
    <x v="23"/>
    <x v="0"/>
  </r>
  <r>
    <s v="HC-00437"/>
    <s v="P-1453"/>
    <s v="Female"/>
    <n v="39"/>
    <x v="0"/>
    <s v="General Consultation"/>
    <d v="2025-10-13T00:00:00"/>
    <d v="2025-11-06T00:00:00"/>
    <s v="Thursday"/>
    <s v="Morning"/>
    <x v="3"/>
    <n v="24"/>
    <n v="6"/>
    <x v="0"/>
    <x v="0"/>
    <s v="SMS"/>
    <n v="4.2"/>
    <x v="5"/>
    <x v="1"/>
  </r>
  <r>
    <s v="HC-00438"/>
    <s v="P-0475"/>
    <s v="Male"/>
    <n v="36"/>
    <x v="0"/>
    <s v="General Consultation"/>
    <d v="2026-05-22T00:00:00"/>
    <d v="2026-05-22T00:00:00"/>
    <s v="Friday"/>
    <s v="Morning"/>
    <x v="1"/>
    <n v="0"/>
    <n v="2"/>
    <x v="0"/>
    <x v="0"/>
    <s v="Email"/>
    <n v="12"/>
    <x v="2"/>
    <x v="1"/>
  </r>
  <r>
    <s v="HC-00439"/>
    <s v="P-0560"/>
    <s v="Female"/>
    <n v="22"/>
    <x v="5"/>
    <s v="General Consultation"/>
    <d v="2025-01-20T00:00:00"/>
    <d v="2025-02-14T00:00:00"/>
    <s v="Friday"/>
    <s v="Afternoon"/>
    <x v="3"/>
    <n v="25"/>
    <n v="3"/>
    <x v="1"/>
    <x v="0"/>
    <s v="Email"/>
    <n v="8.8000000000000007"/>
    <x v="19"/>
    <x v="1"/>
  </r>
  <r>
    <s v="HC-00440"/>
    <s v="P-1161"/>
    <s v="Male"/>
    <n v="25"/>
    <x v="1"/>
    <s v="Follow-up"/>
    <d v="2025-07-04T00:00:00"/>
    <d v="2025-08-06T00:00:00"/>
    <s v="Wednesday"/>
    <s v="Morning"/>
    <x v="2"/>
    <n v="33"/>
    <n v="4"/>
    <x v="0"/>
    <x v="0"/>
    <s v="SMS"/>
    <n v="8.4"/>
    <x v="19"/>
    <x v="1"/>
  </r>
  <r>
    <s v="HC-00441"/>
    <s v="P-0986"/>
    <s v="Male"/>
    <n v="49"/>
    <x v="2"/>
    <s v="General Consultation"/>
    <d v="2026-05-16T00:00:00"/>
    <d v="2026-06-16T00:00:00"/>
    <s v="Tuesday"/>
    <s v="Afternoon"/>
    <x v="2"/>
    <n v="31"/>
    <n v="1"/>
    <x v="0"/>
    <x v="0"/>
    <s v="Email"/>
    <n v="12.7"/>
    <x v="34"/>
    <x v="1"/>
  </r>
  <r>
    <s v="HC-00442"/>
    <s v="P-0684"/>
    <s v="Female"/>
    <n v="24"/>
    <x v="5"/>
    <s v="General Consultation"/>
    <d v="2025-05-14T00:00:00"/>
    <d v="2025-06-14T00:00:00"/>
    <s v="Saturday"/>
    <s v="Morning"/>
    <x v="2"/>
    <n v="31"/>
    <n v="1"/>
    <x v="0"/>
    <x v="0"/>
    <s v="WhatsApp"/>
    <n v="2.6"/>
    <x v="45"/>
    <x v="1"/>
  </r>
  <r>
    <s v="HC-00443"/>
    <s v="P-0609"/>
    <s v="Female"/>
    <n v="39"/>
    <x v="0"/>
    <s v="Follow-up"/>
    <d v="2025-01-17T00:00:00"/>
    <d v="2025-03-14T00:00:00"/>
    <s v="Friday"/>
    <s v="Afternoon"/>
    <x v="2"/>
    <n v="56"/>
    <n v="5"/>
    <x v="1"/>
    <x v="0"/>
    <s v="Email"/>
    <n v="5.7"/>
    <x v="51"/>
    <x v="0"/>
  </r>
  <r>
    <s v="HC-00444"/>
    <s v="P-1114"/>
    <s v="Female"/>
    <n v="53"/>
    <x v="2"/>
    <s v="Follow-up"/>
    <d v="2025-08-06T00:00:00"/>
    <d v="2025-09-24T00:00:00"/>
    <s v="Wednesday"/>
    <s v="Afternoon"/>
    <x v="2"/>
    <n v="49"/>
    <n v="4"/>
    <x v="1"/>
    <x v="1"/>
    <s v="None"/>
    <m/>
    <x v="23"/>
    <x v="0"/>
  </r>
  <r>
    <s v="HC-00445"/>
    <s v="P-1656"/>
    <s v="Male"/>
    <n v="73"/>
    <x v="4"/>
    <s v="Follow-up"/>
    <d v="2025-09-20T00:00:00"/>
    <d v="2025-10-05T00:00:00"/>
    <s v="Sunday"/>
    <s v="Afternoon"/>
    <x v="3"/>
    <n v="15"/>
    <n v="3"/>
    <x v="1"/>
    <x v="0"/>
    <s v="Email"/>
    <n v="3.9"/>
    <x v="17"/>
    <x v="1"/>
  </r>
  <r>
    <s v="HC-00446"/>
    <s v="P-1518"/>
    <s v="Male"/>
    <n v="24"/>
    <x v="5"/>
    <s v="General Consultation"/>
    <d v="2025-12-07T00:00:00"/>
    <d v="2025-12-28T00:00:00"/>
    <s v="Sunday"/>
    <s v="Afternoon"/>
    <x v="3"/>
    <n v="21"/>
    <n v="0"/>
    <x v="0"/>
    <x v="1"/>
    <s v="None"/>
    <n v="5"/>
    <x v="20"/>
    <x v="2"/>
  </r>
  <r>
    <s v="HC-00447"/>
    <s v="P-1347"/>
    <s v="Female"/>
    <n v="45"/>
    <x v="2"/>
    <s v="Diagnostic Test"/>
    <d v="2025-05-12T00:00:00"/>
    <d v="2025-06-21T00:00:00"/>
    <s v="Saturday"/>
    <s v="Morning"/>
    <x v="2"/>
    <n v="40"/>
    <n v="6"/>
    <x v="0"/>
    <x v="1"/>
    <s v="None"/>
    <n v="14.9"/>
    <x v="15"/>
    <x v="0"/>
  </r>
  <r>
    <s v="HC-00448"/>
    <s v="P-1550"/>
    <s v="Male"/>
    <n v="24"/>
    <x v="5"/>
    <s v="General Consultation"/>
    <d v="2026-05-12T00:00:00"/>
    <d v="2026-06-06T00:00:00"/>
    <s v="Saturday"/>
    <s v="Afternoon"/>
    <x v="3"/>
    <n v="25"/>
    <n v="4"/>
    <x v="0"/>
    <x v="0"/>
    <s v="SMS"/>
    <n v="3.3"/>
    <x v="9"/>
    <x v="0"/>
  </r>
  <r>
    <s v="HC-00449"/>
    <s v="P-0107"/>
    <s v="Female"/>
    <n v="45"/>
    <x v="2"/>
    <s v="General Consultation"/>
    <d v="2025-09-16T00:00:00"/>
    <d v="2025-10-12T00:00:00"/>
    <s v="Sunday"/>
    <s v="Morning"/>
    <x v="3"/>
    <n v="26"/>
    <n v="2"/>
    <x v="1"/>
    <x v="0"/>
    <s v="Email"/>
    <n v="17"/>
    <x v="14"/>
    <x v="0"/>
  </r>
  <r>
    <s v="HC-00450"/>
    <s v="P-1565"/>
    <s v="Male"/>
    <n v="48"/>
    <x v="2"/>
    <s v="Diagnostic Test"/>
    <d v="2025-05-27T00:00:00"/>
    <d v="2025-06-06T00:00:00"/>
    <s v="Friday"/>
    <s v="Afternoon"/>
    <x v="0"/>
    <n v="10"/>
    <n v="5"/>
    <x v="2"/>
    <x v="1"/>
    <s v="None"/>
    <n v="12.9"/>
    <x v="16"/>
    <x v="0"/>
  </r>
  <r>
    <s v="HC-00451"/>
    <s v="P-0710"/>
    <s v="Male"/>
    <n v="68"/>
    <x v="4"/>
    <s v="Follow-up"/>
    <d v="2026-05-25T00:00:00"/>
    <d v="2026-06-09T00:00:00"/>
    <s v="Tuesday"/>
    <s v="Morning"/>
    <x v="3"/>
    <n v="15"/>
    <n v="2"/>
    <x v="0"/>
    <x v="0"/>
    <s v="WhatsApp"/>
    <n v="13.8"/>
    <x v="7"/>
    <x v="1"/>
  </r>
  <r>
    <s v="HC-00452"/>
    <s v="P-0477"/>
    <s v="Male"/>
    <n v="45"/>
    <x v="2"/>
    <s v="Follow-up"/>
    <d v="2026-04-05T00:00:00"/>
    <d v="2026-05-20T00:00:00"/>
    <s v="Wednesday"/>
    <s v="Morning"/>
    <x v="2"/>
    <n v="45"/>
    <n v="2"/>
    <x v="0"/>
    <x v="0"/>
    <s v="SMS"/>
    <n v="3.6"/>
    <x v="7"/>
    <x v="2"/>
  </r>
  <r>
    <s v="HC-00453"/>
    <s v="P-1559"/>
    <s v="Female"/>
    <n v="76"/>
    <x v="4"/>
    <s v="Diagnostic Test"/>
    <d v="2025-08-10T00:00:00"/>
    <d v="2025-09-30T00:00:00"/>
    <s v="Tuesday"/>
    <s v="Morning"/>
    <x v="2"/>
    <n v="51"/>
    <n v="3"/>
    <x v="1"/>
    <x v="0"/>
    <s v="SMS"/>
    <n v="17.399999999999999"/>
    <x v="31"/>
    <x v="0"/>
  </r>
  <r>
    <s v="HC-00454"/>
    <s v="P-1399"/>
    <s v="Female"/>
    <n v="26"/>
    <x v="1"/>
    <s v="General Consultation"/>
    <d v="2024-11-28T00:00:00"/>
    <d v="2025-01-14T00:00:00"/>
    <s v="Tuesday"/>
    <s v="Afternoon"/>
    <x v="2"/>
    <n v="47"/>
    <n v="1"/>
    <x v="0"/>
    <x v="0"/>
    <s v="WhatsApp"/>
    <n v="10"/>
    <x v="47"/>
    <x v="1"/>
  </r>
  <r>
    <s v="HC-00455"/>
    <s v="P-0147"/>
    <s v="Prefer not to say"/>
    <n v="21"/>
    <x v="5"/>
    <s v="Specialist Consultation"/>
    <d v="2025-11-04T00:00:00"/>
    <d v="2025-11-22T00:00:00"/>
    <s v="Saturday"/>
    <s v="Evening"/>
    <x v="3"/>
    <n v="18"/>
    <n v="5"/>
    <x v="1"/>
    <x v="0"/>
    <s v="SMS"/>
    <n v="23.9"/>
    <x v="18"/>
    <x v="1"/>
  </r>
  <r>
    <s v="HC-00456"/>
    <s v="P-0629"/>
    <s v="Female"/>
    <n v="18"/>
    <x v="5"/>
    <s v="Follow-up"/>
    <d v="2025-10-23T00:00:00"/>
    <d v="2025-10-31T00:00:00"/>
    <s v="Friday"/>
    <s v="Morning"/>
    <x v="0"/>
    <n v="8"/>
    <n v="2"/>
    <x v="0"/>
    <x v="0"/>
    <s v="SMS"/>
    <n v="13.1"/>
    <x v="11"/>
    <x v="1"/>
  </r>
  <r>
    <s v="HC-00457"/>
    <s v="P-1205"/>
    <s v="Male"/>
    <n v="40"/>
    <x v="0"/>
    <s v="General Consultation"/>
    <d v="2025-03-13T00:00:00"/>
    <d v="2025-03-22T00:00:00"/>
    <s v="Saturday"/>
    <s v="Morning"/>
    <x v="0"/>
    <n v="9"/>
    <n v="1"/>
    <x v="1"/>
    <x v="1"/>
    <s v="None"/>
    <n v="8.3000000000000007"/>
    <x v="25"/>
    <x v="0"/>
  </r>
  <r>
    <s v="HC-00458"/>
    <s v="P-0325"/>
    <s v="Male"/>
    <n v="30"/>
    <x v="1"/>
    <s v="General Consultation"/>
    <d v="2025-11-19T00:00:00"/>
    <d v="2025-12-13T00:00:00"/>
    <s v="Saturday"/>
    <s v="Morning"/>
    <x v="3"/>
    <n v="24"/>
    <n v="1"/>
    <x v="0"/>
    <x v="0"/>
    <s v="WhatsApp"/>
    <n v="2.8"/>
    <x v="2"/>
    <x v="0"/>
  </r>
  <r>
    <s v="HC-00459"/>
    <s v="P-0305"/>
    <s v="Male"/>
    <n v="23"/>
    <x v="5"/>
    <s v="General Consultation"/>
    <d v="2026-03-05T00:00:00"/>
    <d v="2026-04-05T00:00:00"/>
    <s v="Sunday"/>
    <s v="Evening"/>
    <x v="2"/>
    <n v="31"/>
    <n v="6"/>
    <x v="1"/>
    <x v="0"/>
    <s v="SMS"/>
    <n v="11.4"/>
    <x v="13"/>
    <x v="0"/>
  </r>
  <r>
    <s v="HC-00460"/>
    <s v="P-0556"/>
    <s v="Male"/>
    <n v="32"/>
    <x v="1"/>
    <s v="Diagnostic Test"/>
    <d v="2025-01-04T00:00:00"/>
    <d v="2025-02-27T00:00:00"/>
    <s v="Thursday"/>
    <s v="Afternoon"/>
    <x v="2"/>
    <n v="54"/>
    <n v="4"/>
    <x v="0"/>
    <x v="0"/>
    <s v="Email"/>
    <n v="16"/>
    <x v="31"/>
    <x v="0"/>
  </r>
  <r>
    <s v="HC-00461"/>
    <s v="P-0567"/>
    <s v="Female"/>
    <n v="79"/>
    <x v="4"/>
    <s v="General Consultation"/>
    <d v="2025-12-07T00:00:00"/>
    <d v="2026-01-30T00:00:00"/>
    <s v="Friday"/>
    <s v="Morning"/>
    <x v="2"/>
    <n v="54"/>
    <n v="2"/>
    <x v="0"/>
    <x v="0"/>
    <s v="WhatsApp"/>
    <n v="14.7"/>
    <x v="27"/>
    <x v="0"/>
  </r>
  <r>
    <s v="HC-00462"/>
    <s v="P-0627"/>
    <s v="Male"/>
    <n v="68"/>
    <x v="4"/>
    <s v="General Consultation"/>
    <d v="2025-03-18T00:00:00"/>
    <d v="2025-03-18T00:00:00"/>
    <s v="Tuesday"/>
    <s v="Afternoon"/>
    <x v="1"/>
    <n v="0"/>
    <n v="3"/>
    <x v="0"/>
    <x v="0"/>
    <s v="Email"/>
    <n v="4.0999999999999996"/>
    <x v="19"/>
    <x v="1"/>
  </r>
  <r>
    <s v="HC-00463"/>
    <s v="P-1429"/>
    <s v="Female"/>
    <n v="19"/>
    <x v="5"/>
    <s v="Follow-up"/>
    <d v="2026-01-01T00:00:00"/>
    <d v="2026-02-13T00:00:00"/>
    <s v="Friday"/>
    <s v="Afternoon"/>
    <x v="2"/>
    <n v="43"/>
    <n v="3"/>
    <x v="0"/>
    <x v="0"/>
    <s v="SMS"/>
    <n v="23.3"/>
    <x v="19"/>
    <x v="0"/>
  </r>
  <r>
    <s v="HC-00464"/>
    <s v="P-1015"/>
    <s v="Male"/>
    <n v="75"/>
    <x v="4"/>
    <s v="Specialist Consultation"/>
    <d v="2025-07-30T00:00:00"/>
    <d v="2025-08-17T00:00:00"/>
    <s v="Sunday"/>
    <s v="Afternoon"/>
    <x v="3"/>
    <n v="18"/>
    <n v="1"/>
    <x v="1"/>
    <x v="0"/>
    <s v="SMS"/>
    <n v="5.8"/>
    <x v="47"/>
    <x v="1"/>
  </r>
  <r>
    <s v="HC-00465"/>
    <s v="P-0803"/>
    <s v="Female"/>
    <n v="30"/>
    <x v="1"/>
    <s v="General Consultation"/>
    <d v="2024-12-23T00:00:00"/>
    <d v="2025-01-04T00:00:00"/>
    <s v="Saturday"/>
    <s v="Afternoon"/>
    <x v="0"/>
    <n v="12"/>
    <n v="5"/>
    <x v="1"/>
    <x v="0"/>
    <s v="SMS"/>
    <n v="16.8"/>
    <x v="23"/>
    <x v="0"/>
  </r>
  <r>
    <s v="HC-00466"/>
    <s v="P-1112"/>
    <s v="Male"/>
    <n v="43"/>
    <x v="0"/>
    <s v="Specialist Consultation"/>
    <d v="2026-05-10T00:00:00"/>
    <d v="2026-06-12T00:00:00"/>
    <s v="Friday"/>
    <s v="Afternoon"/>
    <x v="2"/>
    <n v="33"/>
    <n v="4"/>
    <x v="4"/>
    <x v="0"/>
    <s v="SMS"/>
    <n v="4.5999999999999996"/>
    <x v="23"/>
    <x v="1"/>
  </r>
  <r>
    <s v="HC-00467"/>
    <s v="P-1757"/>
    <s v="Male"/>
    <n v="38"/>
    <x v="0"/>
    <s v="Follow-up"/>
    <d v="2025-03-30T00:00:00"/>
    <d v="2025-04-01T00:00:00"/>
    <s v="Tuesday"/>
    <s v="Afternoon"/>
    <x v="1"/>
    <n v="2"/>
    <n v="4"/>
    <x v="1"/>
    <x v="0"/>
    <s v="SMS"/>
    <n v="4.5999999999999996"/>
    <x v="26"/>
    <x v="0"/>
  </r>
  <r>
    <s v="HC-00468"/>
    <s v="P-0718"/>
    <s v="Male"/>
    <n v="43"/>
    <x v="0"/>
    <s v="Specialist Consultation"/>
    <d v="2025-11-02T00:00:00"/>
    <d v="2025-11-22T00:00:00"/>
    <s v="Saturday"/>
    <s v="Morning"/>
    <x v="3"/>
    <n v="20"/>
    <n v="2"/>
    <x v="0"/>
    <x v="1"/>
    <s v="None"/>
    <n v="4.8"/>
    <x v="13"/>
    <x v="1"/>
  </r>
  <r>
    <s v="HC-00469"/>
    <s v="P-0841"/>
    <s v="Female"/>
    <n v="65"/>
    <x v="4"/>
    <s v="General Consultation"/>
    <d v="2025-03-08T00:00:00"/>
    <d v="2025-04-10T00:00:00"/>
    <s v="Thursday"/>
    <s v="Morning"/>
    <x v="2"/>
    <n v="33"/>
    <n v="5"/>
    <x v="1"/>
    <x v="0"/>
    <s v="WhatsApp"/>
    <n v="4.9000000000000004"/>
    <x v="26"/>
    <x v="1"/>
  </r>
  <r>
    <s v="HC-00470"/>
    <s v="P-1490"/>
    <s v="Female"/>
    <n v="62"/>
    <x v="3"/>
    <s v="General Consultation"/>
    <d v="2026-05-09T00:00:00"/>
    <d v="2026-05-25T00:00:00"/>
    <s v="Monday"/>
    <s v="Morning"/>
    <x v="3"/>
    <n v="16"/>
    <n v="4"/>
    <x v="1"/>
    <x v="1"/>
    <s v="None"/>
    <n v="3.2"/>
    <x v="47"/>
    <x v="1"/>
  </r>
  <r>
    <s v="HC-00471"/>
    <s v="P-0365"/>
    <s v="Male"/>
    <n v="55"/>
    <x v="3"/>
    <s v="Follow-up"/>
    <d v="2026-01-03T00:00:00"/>
    <d v="2026-02-08T00:00:00"/>
    <s v="Sunday"/>
    <s v="Morning"/>
    <x v="2"/>
    <n v="36"/>
    <n v="2"/>
    <x v="1"/>
    <x v="1"/>
    <s v="None"/>
    <n v="4"/>
    <x v="18"/>
    <x v="1"/>
  </r>
  <r>
    <s v="HC-00472"/>
    <s v="P-0096"/>
    <s v="Male"/>
    <n v="57"/>
    <x v="3"/>
    <s v="General Consultation"/>
    <d v="2026-02-16T00:00:00"/>
    <d v="2026-03-16T00:00:00"/>
    <s v="Monday"/>
    <s v="Morning"/>
    <x v="3"/>
    <n v="28"/>
    <n v="2"/>
    <x v="0"/>
    <x v="1"/>
    <s v="None"/>
    <n v="1.2"/>
    <x v="15"/>
    <x v="1"/>
  </r>
  <r>
    <s v="HC-00473"/>
    <s v="P-1094"/>
    <s v="Female"/>
    <n v="63"/>
    <x v="3"/>
    <s v="Follow-up"/>
    <d v="2025-07-07T00:00:00"/>
    <d v="2025-08-24T00:00:00"/>
    <s v="Sunday"/>
    <s v="Afternoon"/>
    <x v="2"/>
    <n v="48"/>
    <n v="3"/>
    <x v="0"/>
    <x v="0"/>
    <s v="SMS"/>
    <n v="1.9"/>
    <x v="20"/>
    <x v="0"/>
  </r>
  <r>
    <s v="HC-00474"/>
    <s v="P-1561"/>
    <s v="Male"/>
    <n v="29"/>
    <x v="1"/>
    <s v="General Consultation"/>
    <d v="2025-09-02T00:00:00"/>
    <d v="2025-09-13T00:00:00"/>
    <s v="Saturday"/>
    <s v="Afternoon"/>
    <x v="0"/>
    <n v="11"/>
    <n v="2"/>
    <x v="1"/>
    <x v="0"/>
    <s v="WhatsApp"/>
    <n v="26.8"/>
    <x v="6"/>
    <x v="1"/>
  </r>
  <r>
    <s v="HC-00475"/>
    <s v="P-1116"/>
    <s v="Male"/>
    <n v="42"/>
    <x v="0"/>
    <s v="Specialist Consultation"/>
    <d v="2025-12-10T00:00:00"/>
    <d v="2025-12-13T00:00:00"/>
    <s v="Saturday"/>
    <s v="Morning"/>
    <x v="1"/>
    <n v="3"/>
    <n v="2"/>
    <x v="1"/>
    <x v="0"/>
    <s v="WhatsApp"/>
    <n v="10.8"/>
    <x v="11"/>
    <x v="2"/>
  </r>
  <r>
    <s v="HC-00476"/>
    <s v="P-1315"/>
    <s v="Male"/>
    <n v="24"/>
    <x v="5"/>
    <s v="Diagnostic Test"/>
    <d v="2026-02-01T00:00:00"/>
    <d v="2026-03-05T00:00:00"/>
    <s v="Thursday"/>
    <s v="Morning"/>
    <x v="2"/>
    <n v="32"/>
    <n v="2"/>
    <x v="0"/>
    <x v="0"/>
    <s v="SMS"/>
    <n v="8.6"/>
    <x v="17"/>
    <x v="1"/>
  </r>
  <r>
    <s v="HC-00477"/>
    <s v="P-0303"/>
    <s v="Male"/>
    <n v="62"/>
    <x v="3"/>
    <s v="Specialist Consultation"/>
    <d v="2026-03-24T00:00:00"/>
    <d v="2026-04-08T00:00:00"/>
    <s v="Wednesday"/>
    <s v="Afternoon"/>
    <x v="3"/>
    <n v="15"/>
    <n v="1"/>
    <x v="0"/>
    <x v="0"/>
    <s v="SMS"/>
    <n v="10.7"/>
    <x v="45"/>
    <x v="2"/>
  </r>
  <r>
    <s v="HC-00478"/>
    <s v="P-0656"/>
    <s v="Male"/>
    <n v="45"/>
    <x v="2"/>
    <s v="Diagnostic Test"/>
    <d v="2024-11-28T00:00:00"/>
    <d v="2025-01-10T00:00:00"/>
    <s v="Friday"/>
    <s v="Afternoon"/>
    <x v="2"/>
    <n v="43"/>
    <n v="3"/>
    <x v="0"/>
    <x v="0"/>
    <s v="Email"/>
    <n v="6.3"/>
    <x v="31"/>
    <x v="0"/>
  </r>
  <r>
    <s v="HC-00479"/>
    <s v="P-0568"/>
    <s v="Male"/>
    <n v="58"/>
    <x v="3"/>
    <s v="Diagnostic Test"/>
    <d v="2025-12-24T00:00:00"/>
    <d v="2025-12-29T00:00:00"/>
    <s v="Monday"/>
    <s v="Morning"/>
    <x v="1"/>
    <n v="5"/>
    <n v="2"/>
    <x v="1"/>
    <x v="0"/>
    <s v="SMS"/>
    <n v="8.1999999999999993"/>
    <x v="44"/>
    <x v="1"/>
  </r>
  <r>
    <s v="HC-00480"/>
    <s v="P-1109"/>
    <s v="Female"/>
    <n v="53"/>
    <x v="2"/>
    <s v="Follow-up"/>
    <d v="2025-01-25T00:00:00"/>
    <d v="2025-03-01T00:00:00"/>
    <s v="Saturday"/>
    <s v="Afternoon"/>
    <x v="2"/>
    <n v="35"/>
    <n v="1"/>
    <x v="0"/>
    <x v="0"/>
    <s v="SMS"/>
    <n v="6.8"/>
    <x v="17"/>
    <x v="0"/>
  </r>
  <r>
    <s v="HC-00481"/>
    <s v="P-0462"/>
    <s v="Prefer not to say"/>
    <n v="35"/>
    <x v="0"/>
    <s v="General Consultation"/>
    <d v="2025-04-08T00:00:00"/>
    <d v="2025-06-07T00:00:00"/>
    <s v="Saturday"/>
    <s v="Morning"/>
    <x v="2"/>
    <n v="60"/>
    <n v="1"/>
    <x v="0"/>
    <x v="0"/>
    <s v="SMS"/>
    <n v="12.1"/>
    <x v="13"/>
    <x v="1"/>
  </r>
  <r>
    <s v="HC-00482"/>
    <s v="P-0776"/>
    <s v="Male"/>
    <n v="26"/>
    <x v="1"/>
    <s v="Diagnostic Test"/>
    <d v="2026-03-24T00:00:00"/>
    <d v="2026-03-29T00:00:00"/>
    <s v="Sunday"/>
    <s v="Morning"/>
    <x v="1"/>
    <n v="5"/>
    <n v="4"/>
    <x v="0"/>
    <x v="0"/>
    <s v="SMS"/>
    <n v="15.5"/>
    <x v="35"/>
    <x v="1"/>
  </r>
  <r>
    <s v="HC-00483"/>
    <s v="P-0244"/>
    <s v="Male"/>
    <n v="79"/>
    <x v="4"/>
    <s v="Diagnostic Test"/>
    <d v="2025-04-29T00:00:00"/>
    <d v="2025-05-17T00:00:00"/>
    <s v="Saturday"/>
    <s v="Afternoon"/>
    <x v="3"/>
    <n v="18"/>
    <n v="3"/>
    <x v="0"/>
    <x v="0"/>
    <s v="SMS"/>
    <n v="5.0999999999999996"/>
    <x v="2"/>
    <x v="1"/>
  </r>
  <r>
    <s v="HC-00484"/>
    <s v="P-0195"/>
    <s v="Male"/>
    <n v="36"/>
    <x v="0"/>
    <s v="Diagnostic Test"/>
    <d v="2026-01-20T00:00:00"/>
    <d v="2026-03-12T00:00:00"/>
    <s v="Thursday"/>
    <s v="Afternoon"/>
    <x v="2"/>
    <n v="51"/>
    <n v="2"/>
    <x v="0"/>
    <x v="0"/>
    <s v="SMS"/>
    <n v="3.9"/>
    <x v="25"/>
    <x v="0"/>
  </r>
  <r>
    <s v="HC-00485"/>
    <s v="P-0546"/>
    <s v="Male"/>
    <n v="24"/>
    <x v="5"/>
    <s v="Specialist Consultation"/>
    <d v="2025-08-09T00:00:00"/>
    <d v="2025-09-10T00:00:00"/>
    <s v="Wednesday"/>
    <s v="Morning"/>
    <x v="2"/>
    <n v="32"/>
    <n v="1"/>
    <x v="0"/>
    <x v="0"/>
    <s v="SMS"/>
    <n v="5.9"/>
    <x v="24"/>
    <x v="1"/>
  </r>
  <r>
    <s v="HC-00486"/>
    <s v="P-1735"/>
    <s v="Female"/>
    <n v="37"/>
    <x v="0"/>
    <s v="General Consultation"/>
    <d v="2025-04-28T00:00:00"/>
    <d v="2025-05-08T00:00:00"/>
    <s v="Thursday"/>
    <s v="Afternoon"/>
    <x v="0"/>
    <n v="10"/>
    <n v="3"/>
    <x v="0"/>
    <x v="1"/>
    <s v="None"/>
    <n v="5.2"/>
    <x v="7"/>
    <x v="1"/>
  </r>
  <r>
    <s v="HC-00487"/>
    <s v="P-0167"/>
    <s v="Female"/>
    <n v="74"/>
    <x v="4"/>
    <s v="Diagnostic Test"/>
    <d v="2025-06-19T00:00:00"/>
    <d v="2025-07-02T00:00:00"/>
    <s v="Wednesday"/>
    <s v="Evening"/>
    <x v="0"/>
    <n v="13"/>
    <n v="6"/>
    <x v="2"/>
    <x v="0"/>
    <s v="WhatsApp"/>
    <n v="12.3"/>
    <x v="19"/>
    <x v="1"/>
  </r>
  <r>
    <s v="HC-00488"/>
    <s v="P-0636"/>
    <s v="Female"/>
    <n v="34"/>
    <x v="1"/>
    <s v="Diagnostic Test"/>
    <d v="2025-09-01T00:00:00"/>
    <d v="2025-10-17T00:00:00"/>
    <s v="Friday"/>
    <s v="Morning"/>
    <x v="2"/>
    <n v="46"/>
    <n v="6"/>
    <x v="1"/>
    <x v="0"/>
    <s v="SMS"/>
    <n v="8.6999999999999993"/>
    <x v="49"/>
    <x v="0"/>
  </r>
  <r>
    <s v="HC-00489"/>
    <s v="P-0966"/>
    <s v="Male"/>
    <n v="80"/>
    <x v="4"/>
    <s v="Follow-up"/>
    <d v="2026-01-01T00:00:00"/>
    <d v="2026-02-22T00:00:00"/>
    <s v="Sunday"/>
    <s v="Afternoon"/>
    <x v="2"/>
    <n v="52"/>
    <n v="3"/>
    <x v="0"/>
    <x v="0"/>
    <s v="SMS"/>
    <n v="4.3"/>
    <x v="8"/>
    <x v="1"/>
  </r>
  <r>
    <s v="HC-00490"/>
    <s v="P-1516"/>
    <s v="Male"/>
    <n v="47"/>
    <x v="2"/>
    <s v="Specialist Consultation"/>
    <d v="2025-11-06T00:00:00"/>
    <d v="2025-11-27T00:00:00"/>
    <s v="Thursday"/>
    <s v="Morning"/>
    <x v="3"/>
    <n v="21"/>
    <n v="3"/>
    <x v="1"/>
    <x v="0"/>
    <s v="SMS"/>
    <n v="27.6"/>
    <x v="23"/>
    <x v="1"/>
  </r>
  <r>
    <s v="HC-00491"/>
    <s v="P-0075"/>
    <s v="Female"/>
    <n v="72"/>
    <x v="4"/>
    <s v="Follow-up"/>
    <d v="2026-04-27T00:00:00"/>
    <d v="2026-05-25T00:00:00"/>
    <s v="Monday"/>
    <s v="Afternoon"/>
    <x v="3"/>
    <n v="28"/>
    <n v="1"/>
    <x v="0"/>
    <x v="0"/>
    <s v="WhatsApp"/>
    <n v="1.8"/>
    <x v="12"/>
    <x v="0"/>
  </r>
  <r>
    <s v="HC-00492"/>
    <s v="P-1402"/>
    <s v="Female"/>
    <n v="59"/>
    <x v="3"/>
    <s v="Diagnostic Test"/>
    <d v="2026-03-03T00:00:00"/>
    <d v="2026-04-19T00:00:00"/>
    <s v="Sunday"/>
    <s v="Morning"/>
    <x v="2"/>
    <n v="47"/>
    <n v="2"/>
    <x v="0"/>
    <x v="1"/>
    <s v="None"/>
    <n v="13.7"/>
    <x v="39"/>
    <x v="0"/>
  </r>
  <r>
    <s v="HC-00493"/>
    <s v="P-1313"/>
    <s v="Male"/>
    <n v="20"/>
    <x v="5"/>
    <s v="General Consultation"/>
    <d v="2026-02-06T00:00:00"/>
    <d v="2026-02-16T00:00:00"/>
    <s v="Monday"/>
    <s v="Morning"/>
    <x v="0"/>
    <n v="10"/>
    <n v="2"/>
    <x v="1"/>
    <x v="0"/>
    <s v="WhatsApp"/>
    <n v="5.0999999999999996"/>
    <x v="9"/>
    <x v="0"/>
  </r>
  <r>
    <s v="HC-00494"/>
    <s v="P-1368"/>
    <s v="Female"/>
    <n v="50"/>
    <x v="2"/>
    <s v="Specialist Consultation"/>
    <d v="2025-11-14T00:00:00"/>
    <d v="2025-11-26T00:00:00"/>
    <s v="Wednesday"/>
    <s v="Morning"/>
    <x v="0"/>
    <n v="12"/>
    <n v="1"/>
    <x v="0"/>
    <x v="0"/>
    <s v="Email"/>
    <n v="6.7"/>
    <x v="6"/>
    <x v="1"/>
  </r>
  <r>
    <s v="HC-00495"/>
    <s v="P-1089"/>
    <s v="Female"/>
    <n v="44"/>
    <x v="0"/>
    <s v="General Consultation"/>
    <d v="2025-04-22T00:00:00"/>
    <d v="2025-06-08T00:00:00"/>
    <s v="Sunday"/>
    <s v="Afternoon"/>
    <x v="2"/>
    <n v="47"/>
    <n v="9"/>
    <x v="2"/>
    <x v="0"/>
    <s v="WhatsApp"/>
    <n v="11.3"/>
    <x v="6"/>
    <x v="0"/>
  </r>
  <r>
    <s v="HC-00496"/>
    <s v="P-0064"/>
    <s v="Female"/>
    <n v="30"/>
    <x v="1"/>
    <s v="General Consultation"/>
    <d v="2025-08-03T00:00:00"/>
    <d v="2025-08-14T00:00:00"/>
    <s v="Thursday"/>
    <s v="Morning"/>
    <x v="0"/>
    <n v="11"/>
    <n v="5"/>
    <x v="0"/>
    <x v="0"/>
    <s v="SMS"/>
    <n v="0.8"/>
    <x v="21"/>
    <x v="1"/>
  </r>
  <r>
    <s v="HC-00497"/>
    <s v="P-0039"/>
    <s v="Male"/>
    <n v="52"/>
    <x v="2"/>
    <s v="General Consultation"/>
    <d v="2025-01-18T00:00:00"/>
    <d v="2025-03-06T00:00:00"/>
    <s v="Thursday"/>
    <s v="Evening"/>
    <x v="2"/>
    <n v="47"/>
    <n v="2"/>
    <x v="0"/>
    <x v="0"/>
    <s v="Email"/>
    <n v="11.4"/>
    <x v="13"/>
    <x v="1"/>
  </r>
  <r>
    <s v="HC-00498"/>
    <s v="P-1501"/>
    <s v="Male"/>
    <n v="24"/>
    <x v="5"/>
    <s v="Follow-up"/>
    <d v="2025-06-24T00:00:00"/>
    <d v="2025-07-24T00:00:00"/>
    <s v="Thursday"/>
    <s v="Morning"/>
    <x v="3"/>
    <n v="30"/>
    <n v="1"/>
    <x v="0"/>
    <x v="0"/>
    <s v="SMS"/>
    <n v="15"/>
    <x v="8"/>
    <x v="0"/>
  </r>
  <r>
    <s v="HC-00499"/>
    <s v="P-1530"/>
    <s v="Male"/>
    <n v="61"/>
    <x v="3"/>
    <s v="General Consultation"/>
    <d v="2026-03-22T00:00:00"/>
    <d v="2026-05-21T00:00:00"/>
    <s v="Thursday"/>
    <s v="Afternoon"/>
    <x v="2"/>
    <n v="60"/>
    <n v="2"/>
    <x v="1"/>
    <x v="0"/>
    <s v="Email"/>
    <n v="17.7"/>
    <x v="12"/>
    <x v="0"/>
  </r>
  <r>
    <s v="HC-00500"/>
    <s v="P-0861"/>
    <s v="Female"/>
    <n v="69"/>
    <x v="4"/>
    <s v="Diagnostic Test"/>
    <d v="2025-08-19T00:00:00"/>
    <d v="2025-08-21T00:00:00"/>
    <s v="Thursday"/>
    <s v="Afternoon"/>
    <x v="1"/>
    <n v="2"/>
    <n v="3"/>
    <x v="0"/>
    <x v="0"/>
    <s v="Email"/>
    <n v="4.8"/>
    <x v="12"/>
    <x v="1"/>
  </r>
  <r>
    <s v="HC-00501"/>
    <s v="P-0674"/>
    <s v="Female"/>
    <n v="23"/>
    <x v="5"/>
    <s v="Follow-up"/>
    <d v="2025-01-06T00:00:00"/>
    <d v="2025-03-04T00:00:00"/>
    <s v="Tuesday"/>
    <s v="Morning"/>
    <x v="2"/>
    <n v="57"/>
    <n v="5"/>
    <x v="1"/>
    <x v="0"/>
    <s v="WhatsApp"/>
    <n v="13.7"/>
    <x v="3"/>
    <x v="0"/>
  </r>
  <r>
    <s v="HC-00502"/>
    <s v="P-1574"/>
    <s v="Male"/>
    <n v="48"/>
    <x v="2"/>
    <s v="Diagnostic Test"/>
    <d v="2025-12-09T00:00:00"/>
    <d v="2025-12-22T00:00:00"/>
    <s v="Monday"/>
    <s v="Afternoon"/>
    <x v="0"/>
    <n v="13"/>
    <n v="5"/>
    <x v="1"/>
    <x v="0"/>
    <s v="Email"/>
    <n v="16.2"/>
    <x v="29"/>
    <x v="1"/>
  </r>
  <r>
    <s v="HC-00503"/>
    <s v="P-1498"/>
    <s v="Prefer not to say"/>
    <n v="59"/>
    <x v="3"/>
    <s v="General Consultation"/>
    <d v="2026-06-08T00:00:00"/>
    <d v="2026-06-10T00:00:00"/>
    <s v="Wednesday"/>
    <s v="Afternoon"/>
    <x v="1"/>
    <n v="2"/>
    <n v="2"/>
    <x v="0"/>
    <x v="0"/>
    <s v="WhatsApp"/>
    <n v="15.8"/>
    <x v="10"/>
    <x v="1"/>
  </r>
  <r>
    <s v="HC-00504"/>
    <s v="P-0705"/>
    <s v="Female"/>
    <n v="21"/>
    <x v="5"/>
    <s v="General Consultation"/>
    <d v="2026-03-06T00:00:00"/>
    <d v="2026-04-19T00:00:00"/>
    <s v="Sunday"/>
    <s v="Afternoon"/>
    <x v="2"/>
    <n v="44"/>
    <n v="3"/>
    <x v="0"/>
    <x v="0"/>
    <s v="SMS"/>
    <m/>
    <x v="5"/>
    <x v="0"/>
  </r>
  <r>
    <s v="HC-00505"/>
    <s v="P-0301"/>
    <s v="Male"/>
    <n v="42"/>
    <x v="0"/>
    <s v="Specialist Consultation"/>
    <d v="2025-04-28T00:00:00"/>
    <d v="2025-05-30T00:00:00"/>
    <s v="Friday"/>
    <s v="Morning"/>
    <x v="2"/>
    <n v="32"/>
    <n v="2"/>
    <x v="0"/>
    <x v="0"/>
    <s v="Email"/>
    <n v="18.2"/>
    <x v="19"/>
    <x v="1"/>
  </r>
  <r>
    <s v="HC-00506"/>
    <s v="P-1168"/>
    <s v="Male"/>
    <n v="34"/>
    <x v="1"/>
    <s v="Specialist Consultation"/>
    <d v="2025-07-16T00:00:00"/>
    <d v="2025-09-05T00:00:00"/>
    <s v="Friday"/>
    <s v="Afternoon"/>
    <x v="2"/>
    <n v="51"/>
    <n v="3"/>
    <x v="0"/>
    <x v="0"/>
    <s v="SMS"/>
    <n v="30.3"/>
    <x v="9"/>
    <x v="0"/>
  </r>
  <r>
    <s v="HC-00507"/>
    <s v="P-1575"/>
    <s v="Male"/>
    <n v="20"/>
    <x v="5"/>
    <s v="Follow-up"/>
    <d v="2025-10-11T00:00:00"/>
    <d v="2025-10-17T00:00:00"/>
    <s v="Friday"/>
    <s v="Afternoon"/>
    <x v="1"/>
    <n v="6"/>
    <n v="2"/>
    <x v="1"/>
    <x v="0"/>
    <s v="SMS"/>
    <n v="8.4"/>
    <x v="25"/>
    <x v="0"/>
  </r>
  <r>
    <s v="HC-00508"/>
    <s v="P-0541"/>
    <s v="Female"/>
    <n v="68"/>
    <x v="4"/>
    <s v="Specialist Consultation"/>
    <d v="2025-05-12T00:00:00"/>
    <d v="2025-05-16T00:00:00"/>
    <s v="Friday"/>
    <s v="Morning"/>
    <x v="1"/>
    <n v="4"/>
    <n v="7"/>
    <x v="0"/>
    <x v="0"/>
    <s v="SMS"/>
    <n v="5"/>
    <x v="23"/>
    <x v="1"/>
  </r>
  <r>
    <s v="HC-00509"/>
    <s v="P-0274"/>
    <s v="Female"/>
    <n v="46"/>
    <x v="2"/>
    <s v="Specialist Consultation"/>
    <d v="2025-04-23T00:00:00"/>
    <d v="2025-05-27T00:00:00"/>
    <s v="Tuesday"/>
    <s v="Afternoon"/>
    <x v="2"/>
    <n v="34"/>
    <n v="7"/>
    <x v="1"/>
    <x v="0"/>
    <s v="SMS"/>
    <n v="10.199999999999999"/>
    <x v="23"/>
    <x v="2"/>
  </r>
  <r>
    <s v="HC-00510"/>
    <s v="P-1302"/>
    <s v="Female"/>
    <n v="65"/>
    <x v="4"/>
    <s v="Follow-up"/>
    <d v="2025-03-18T00:00:00"/>
    <d v="2025-05-10T00:00:00"/>
    <s v="Saturday"/>
    <s v="Morning"/>
    <x v="2"/>
    <n v="53"/>
    <n v="5"/>
    <x v="0"/>
    <x v="1"/>
    <s v="None"/>
    <n v="6.3"/>
    <x v="19"/>
    <x v="1"/>
  </r>
  <r>
    <s v="HC-00511"/>
    <s v="P-0108"/>
    <s v="Male"/>
    <n v="54"/>
    <x v="2"/>
    <s v="Diagnostic Test"/>
    <d v="2026-06-04T00:00:00"/>
    <d v="2026-06-28T00:00:00"/>
    <s v="Sunday"/>
    <s v="Afternoon"/>
    <x v="3"/>
    <n v="24"/>
    <n v="5"/>
    <x v="1"/>
    <x v="1"/>
    <s v="None"/>
    <n v="5.8"/>
    <x v="0"/>
    <x v="1"/>
  </r>
  <r>
    <s v="HC-00512"/>
    <s v="P-1786"/>
    <s v="Male"/>
    <n v="73"/>
    <x v="4"/>
    <s v="Specialist Consultation"/>
    <d v="2025-12-26T00:00:00"/>
    <d v="2026-02-12T00:00:00"/>
    <s v="Thursday"/>
    <s v="Afternoon"/>
    <x v="2"/>
    <n v="48"/>
    <n v="4"/>
    <x v="0"/>
    <x v="0"/>
    <s v="SMS"/>
    <n v="24.3"/>
    <x v="13"/>
    <x v="0"/>
  </r>
  <r>
    <s v="HC-00513"/>
    <s v="P-0697"/>
    <s v="Female"/>
    <n v="80"/>
    <x v="4"/>
    <s v="Follow-up"/>
    <d v="2026-02-09T00:00:00"/>
    <d v="2026-04-05T00:00:00"/>
    <s v="Sunday"/>
    <s v="Evening"/>
    <x v="2"/>
    <n v="55"/>
    <n v="4"/>
    <x v="0"/>
    <x v="0"/>
    <s v="Email"/>
    <n v="7"/>
    <x v="55"/>
    <x v="0"/>
  </r>
  <r>
    <s v="HC-00514"/>
    <s v="P-0578"/>
    <s v="Female"/>
    <n v="55"/>
    <x v="3"/>
    <s v="General Consultation"/>
    <d v="2026-01-28T00:00:00"/>
    <d v="2026-03-22T00:00:00"/>
    <s v="Sunday"/>
    <s v="Morning"/>
    <x v="2"/>
    <n v="53"/>
    <n v="3"/>
    <x v="0"/>
    <x v="1"/>
    <s v="None"/>
    <n v="6.8"/>
    <x v="13"/>
    <x v="1"/>
  </r>
  <r>
    <s v="HC-00515"/>
    <s v="P-1771"/>
    <s v="Female"/>
    <n v="40"/>
    <x v="0"/>
    <s v="General Consultation"/>
    <d v="2026-05-08T00:00:00"/>
    <d v="2026-06-08T00:00:00"/>
    <s v="Monday"/>
    <s v="Morning"/>
    <x v="2"/>
    <n v="31"/>
    <n v="4"/>
    <x v="2"/>
    <x v="0"/>
    <s v="WhatsApp"/>
    <n v="5.9"/>
    <x v="2"/>
    <x v="2"/>
  </r>
  <r>
    <s v="HC-00516"/>
    <s v="P-0599"/>
    <s v="Male"/>
    <n v="44"/>
    <x v="0"/>
    <s v="General Consultation"/>
    <d v="2025-01-16T00:00:00"/>
    <d v="2025-02-27T00:00:00"/>
    <s v="Thursday"/>
    <s v="Morning"/>
    <x v="2"/>
    <n v="42"/>
    <n v="3"/>
    <x v="0"/>
    <x v="0"/>
    <s v="SMS"/>
    <n v="11.1"/>
    <x v="24"/>
    <x v="1"/>
  </r>
  <r>
    <s v="HC-00517"/>
    <s v="P-0359"/>
    <s v="Male"/>
    <n v="70"/>
    <x v="4"/>
    <s v="Specialist Consultation"/>
    <d v="2026-03-26T00:00:00"/>
    <d v="2026-04-27T00:00:00"/>
    <s v="Monday"/>
    <s v="Afternoon"/>
    <x v="2"/>
    <n v="32"/>
    <n v="2"/>
    <x v="0"/>
    <x v="0"/>
    <s v="SMS"/>
    <n v="12.9"/>
    <x v="18"/>
    <x v="1"/>
  </r>
  <r>
    <s v="HC-00518"/>
    <s v="P-1342"/>
    <s v="Female"/>
    <n v="44"/>
    <x v="0"/>
    <s v="Specialist Consultation"/>
    <d v="2024-12-27T00:00:00"/>
    <d v="2025-02-06T00:00:00"/>
    <s v="Thursday"/>
    <s v="Morning"/>
    <x v="2"/>
    <n v="41"/>
    <n v="3"/>
    <x v="1"/>
    <x v="0"/>
    <s v="WhatsApp"/>
    <n v="19.899999999999999"/>
    <x v="19"/>
    <x v="0"/>
  </r>
  <r>
    <s v="HC-00519"/>
    <s v="P-1047"/>
    <s v="Male"/>
    <n v="50"/>
    <x v="2"/>
    <s v="General Consultation"/>
    <d v="2025-08-14T00:00:00"/>
    <d v="2025-09-17T00:00:00"/>
    <s v="Wednesday"/>
    <s v="Morning"/>
    <x v="2"/>
    <n v="34"/>
    <n v="3"/>
    <x v="1"/>
    <x v="1"/>
    <s v="None"/>
    <n v="3.9"/>
    <x v="16"/>
    <x v="1"/>
  </r>
  <r>
    <s v="HC-00520"/>
    <s v="P-0869"/>
    <s v="Male"/>
    <n v="30"/>
    <x v="1"/>
    <s v="Follow-up"/>
    <d v="2025-10-20T00:00:00"/>
    <d v="2025-11-21T00:00:00"/>
    <s v="Friday"/>
    <s v="Morning"/>
    <x v="2"/>
    <n v="32"/>
    <n v="3"/>
    <x v="0"/>
    <x v="1"/>
    <s v="None"/>
    <n v="19.5"/>
    <x v="12"/>
    <x v="1"/>
  </r>
  <r>
    <s v="HC-00521"/>
    <s v="P-0036"/>
    <s v="Male"/>
    <n v="80"/>
    <x v="4"/>
    <s v="General Consultation"/>
    <d v="2025-06-19T00:00:00"/>
    <d v="2025-07-15T00:00:00"/>
    <s v="Tuesday"/>
    <s v="Evening"/>
    <x v="3"/>
    <n v="26"/>
    <n v="4"/>
    <x v="2"/>
    <x v="0"/>
    <s v="SMS"/>
    <n v="4.5999999999999996"/>
    <x v="35"/>
    <x v="0"/>
  </r>
  <r>
    <s v="HC-00522"/>
    <s v="P-0504"/>
    <s v="Male"/>
    <n v="59"/>
    <x v="3"/>
    <s v="General Consultation"/>
    <d v="2025-02-10T00:00:00"/>
    <d v="2025-03-21T00:00:00"/>
    <s v="Friday"/>
    <s v="Morning"/>
    <x v="2"/>
    <n v="39"/>
    <n v="0"/>
    <x v="0"/>
    <x v="1"/>
    <s v="None"/>
    <n v="3.8"/>
    <x v="13"/>
    <x v="1"/>
  </r>
  <r>
    <s v="HC-00523"/>
    <s v="P-1256"/>
    <s v="Female"/>
    <n v="38"/>
    <x v="0"/>
    <s v="Diagnostic Test"/>
    <d v="2025-03-01T00:00:00"/>
    <d v="2025-04-15T00:00:00"/>
    <s v="Tuesday"/>
    <s v="Afternoon"/>
    <x v="2"/>
    <n v="45"/>
    <n v="3"/>
    <x v="1"/>
    <x v="0"/>
    <s v="WhatsApp"/>
    <n v="7.7"/>
    <x v="49"/>
    <x v="1"/>
  </r>
  <r>
    <s v="HC-00524"/>
    <s v="P-1747"/>
    <s v="Male"/>
    <n v="54"/>
    <x v="2"/>
    <s v="General Consultation"/>
    <d v="2026-01-30T00:00:00"/>
    <d v="2026-03-27T00:00:00"/>
    <s v="Friday"/>
    <s v="Morning"/>
    <x v="2"/>
    <n v="56"/>
    <n v="2"/>
    <x v="1"/>
    <x v="0"/>
    <s v="WhatsApp"/>
    <n v="4.2"/>
    <x v="49"/>
    <x v="1"/>
  </r>
  <r>
    <s v="HC-00525"/>
    <s v="P-0065"/>
    <s v="Male"/>
    <n v="43"/>
    <x v="0"/>
    <s v="General Consultation"/>
    <d v="2025-05-18T00:00:00"/>
    <d v="2025-06-24T00:00:00"/>
    <s v="Tuesday"/>
    <s v="Morning"/>
    <x v="2"/>
    <n v="37"/>
    <n v="3"/>
    <x v="0"/>
    <x v="0"/>
    <s v="SMS"/>
    <n v="11.1"/>
    <x v="25"/>
    <x v="1"/>
  </r>
  <r>
    <s v="HC-00526"/>
    <s v="P-0120"/>
    <s v="Male"/>
    <n v="27"/>
    <x v="1"/>
    <s v="Follow-up"/>
    <d v="2025-06-13T00:00:00"/>
    <d v="2025-06-19T00:00:00"/>
    <s v="Thursday"/>
    <s v="Morning"/>
    <x v="1"/>
    <n v="6"/>
    <n v="4"/>
    <x v="1"/>
    <x v="1"/>
    <s v="None"/>
    <n v="5.7"/>
    <x v="27"/>
    <x v="0"/>
  </r>
  <r>
    <s v="HC-00527"/>
    <s v="P-0086"/>
    <s v="Male"/>
    <n v="73"/>
    <x v="4"/>
    <s v="General Consultation"/>
    <d v="2026-04-15T00:00:00"/>
    <d v="2026-05-20T00:00:00"/>
    <s v="Wednesday"/>
    <s v="Morning"/>
    <x v="2"/>
    <n v="35"/>
    <n v="0"/>
    <x v="0"/>
    <x v="1"/>
    <s v="None"/>
    <n v="15.2"/>
    <x v="10"/>
    <x v="1"/>
  </r>
  <r>
    <s v="HC-00528"/>
    <s v="P-1574"/>
    <s v="Female"/>
    <n v="73"/>
    <x v="4"/>
    <s v="Specialist Consultation"/>
    <d v="2025-03-01T00:00:00"/>
    <d v="2025-03-20T00:00:00"/>
    <s v="Thursday"/>
    <s v="Afternoon"/>
    <x v="3"/>
    <n v="19"/>
    <n v="2"/>
    <x v="0"/>
    <x v="0"/>
    <s v="Email"/>
    <n v="12.3"/>
    <x v="45"/>
    <x v="1"/>
  </r>
  <r>
    <s v="HC-00529"/>
    <s v="P-1000"/>
    <s v="Male"/>
    <n v="70"/>
    <x v="4"/>
    <s v="Diagnostic Test"/>
    <d v="2026-05-14T00:00:00"/>
    <d v="2026-05-15T00:00:00"/>
    <s v="Friday"/>
    <s v="Morning"/>
    <x v="1"/>
    <n v="1"/>
    <n v="7"/>
    <x v="1"/>
    <x v="0"/>
    <s v="SMS"/>
    <n v="13"/>
    <x v="38"/>
    <x v="1"/>
  </r>
  <r>
    <s v="HC-00530"/>
    <s v="P-0094"/>
    <s v="Male"/>
    <n v="41"/>
    <x v="0"/>
    <s v="Follow-up"/>
    <d v="2026-05-14T00:00:00"/>
    <d v="2026-05-18T00:00:00"/>
    <s v="Monday"/>
    <s v="Morning"/>
    <x v="1"/>
    <n v="4"/>
    <n v="1"/>
    <x v="1"/>
    <x v="0"/>
    <s v="SMS"/>
    <n v="10.4"/>
    <x v="13"/>
    <x v="1"/>
  </r>
  <r>
    <s v="HC-00531"/>
    <s v="P-1177"/>
    <s v="Female"/>
    <n v="34"/>
    <x v="1"/>
    <s v="Follow-up"/>
    <d v="2025-10-18T00:00:00"/>
    <d v="2025-11-23T00:00:00"/>
    <s v="Sunday"/>
    <s v="Morning"/>
    <x v="2"/>
    <n v="36"/>
    <n v="2"/>
    <x v="0"/>
    <x v="0"/>
    <s v="WhatsApp"/>
    <n v="10.199999999999999"/>
    <x v="19"/>
    <x v="0"/>
  </r>
  <r>
    <s v="HC-00532"/>
    <s v="P-1161"/>
    <s v="Male"/>
    <n v="21"/>
    <x v="5"/>
    <s v="General Consultation"/>
    <d v="2025-02-03T00:00:00"/>
    <d v="2025-04-01T00:00:00"/>
    <s v="Tuesday"/>
    <s v="Morning"/>
    <x v="2"/>
    <n v="57"/>
    <n v="3"/>
    <x v="0"/>
    <x v="0"/>
    <s v="SMS"/>
    <n v="5.4"/>
    <x v="8"/>
    <x v="0"/>
  </r>
  <r>
    <s v="HC-00533"/>
    <s v="P-0261"/>
    <s v="Female"/>
    <n v="64"/>
    <x v="3"/>
    <s v="Follow-up"/>
    <d v="2025-02-25T00:00:00"/>
    <d v="2025-03-27T00:00:00"/>
    <s v="Thursday"/>
    <s v="Morning"/>
    <x v="3"/>
    <n v="30"/>
    <n v="1"/>
    <x v="0"/>
    <x v="1"/>
    <s v="None"/>
    <n v="5.9"/>
    <x v="31"/>
    <x v="0"/>
  </r>
  <r>
    <s v="HC-00534"/>
    <s v="P-0638"/>
    <s v="Male"/>
    <n v="38"/>
    <x v="0"/>
    <s v="General Consultation"/>
    <d v="2025-05-09T00:00:00"/>
    <d v="2025-06-05T00:00:00"/>
    <s v="Thursday"/>
    <s v="Morning"/>
    <x v="3"/>
    <n v="27"/>
    <n v="2"/>
    <x v="0"/>
    <x v="1"/>
    <s v="None"/>
    <n v="6.1"/>
    <x v="10"/>
    <x v="1"/>
  </r>
  <r>
    <s v="HC-00535"/>
    <s v="P-0574"/>
    <s v="Female"/>
    <n v="74"/>
    <x v="4"/>
    <s v="General Consultation"/>
    <d v="2025-11-07T00:00:00"/>
    <d v="2025-11-12T00:00:00"/>
    <s v="Wednesday"/>
    <s v="Morning"/>
    <x v="1"/>
    <n v="5"/>
    <n v="4"/>
    <x v="0"/>
    <x v="0"/>
    <s v="WhatsApp"/>
    <n v="14.4"/>
    <x v="2"/>
    <x v="0"/>
  </r>
  <r>
    <s v="HC-00536"/>
    <s v="P-1223"/>
    <s v="Female"/>
    <n v="72"/>
    <x v="4"/>
    <s v="Specialist Consultation"/>
    <d v="2025-02-12T00:00:00"/>
    <d v="2025-03-25T00:00:00"/>
    <s v="Tuesday"/>
    <s v="Afternoon"/>
    <x v="2"/>
    <n v="41"/>
    <n v="2"/>
    <x v="1"/>
    <x v="0"/>
    <s v="WhatsApp"/>
    <n v="11"/>
    <x v="22"/>
    <x v="0"/>
  </r>
  <r>
    <s v="HC-00537"/>
    <s v="P-0898"/>
    <s v="Male"/>
    <n v="26"/>
    <x v="1"/>
    <s v="Follow-up"/>
    <d v="2025-09-03T00:00:00"/>
    <d v="2025-09-06T00:00:00"/>
    <s v="Saturday"/>
    <s v="Evening"/>
    <x v="1"/>
    <n v="3"/>
    <n v="2"/>
    <x v="0"/>
    <x v="0"/>
    <s v="SMS"/>
    <n v="6"/>
    <x v="26"/>
    <x v="1"/>
  </r>
  <r>
    <s v="HC-00538"/>
    <s v="P-1193"/>
    <s v="Male"/>
    <n v="75"/>
    <x v="4"/>
    <s v="Follow-up"/>
    <d v="2025-01-13T00:00:00"/>
    <d v="2025-03-05T00:00:00"/>
    <s v="Wednesday"/>
    <s v="Afternoon"/>
    <x v="2"/>
    <n v="51"/>
    <n v="2"/>
    <x v="0"/>
    <x v="0"/>
    <s v="Email"/>
    <n v="8.8000000000000007"/>
    <x v="11"/>
    <x v="2"/>
  </r>
  <r>
    <s v="HC-00539"/>
    <s v="P-1071"/>
    <s v="Male"/>
    <n v="26"/>
    <x v="1"/>
    <s v="General Consultation"/>
    <d v="2025-09-03T00:00:00"/>
    <d v="2025-10-22T00:00:00"/>
    <s v="Wednesday"/>
    <s v="Morning"/>
    <x v="2"/>
    <n v="49"/>
    <n v="1"/>
    <x v="0"/>
    <x v="1"/>
    <s v="None"/>
    <n v="19.100000000000001"/>
    <x v="5"/>
    <x v="0"/>
  </r>
  <r>
    <s v="HC-00540"/>
    <s v="P-0519"/>
    <s v="Male"/>
    <n v="48"/>
    <x v="2"/>
    <s v="Specialist Consultation"/>
    <d v="2024-11-13T00:00:00"/>
    <d v="2025-01-12T00:00:00"/>
    <s v="Sunday"/>
    <s v="Evening"/>
    <x v="2"/>
    <n v="60"/>
    <n v="5"/>
    <x v="1"/>
    <x v="0"/>
    <s v="Email"/>
    <n v="0.5"/>
    <x v="14"/>
    <x v="0"/>
  </r>
  <r>
    <s v="HC-00541"/>
    <s v="P-0051"/>
    <s v="Female"/>
    <n v="47"/>
    <x v="2"/>
    <s v="General Consultation"/>
    <d v="2026-01-06T00:00:00"/>
    <d v="2026-01-23T00:00:00"/>
    <s v="Friday"/>
    <s v="Evening"/>
    <x v="3"/>
    <n v="17"/>
    <n v="3"/>
    <x v="0"/>
    <x v="1"/>
    <s v="None"/>
    <n v="8.1"/>
    <x v="22"/>
    <x v="0"/>
  </r>
  <r>
    <s v="HC-00542"/>
    <s v="P-0633"/>
    <s v="Male"/>
    <n v="78"/>
    <x v="4"/>
    <s v="General Consultation"/>
    <d v="2025-01-22T00:00:00"/>
    <d v="2025-01-31T00:00:00"/>
    <s v="Friday"/>
    <s v="Afternoon"/>
    <x v="0"/>
    <n v="9"/>
    <n v="3"/>
    <x v="0"/>
    <x v="0"/>
    <s v="Email"/>
    <n v="9"/>
    <x v="12"/>
    <x v="1"/>
  </r>
  <r>
    <s v="HC-00543"/>
    <s v="P-0858"/>
    <s v="Male"/>
    <n v="59"/>
    <x v="3"/>
    <s v="Specialist Consultation"/>
    <d v="2025-03-30T00:00:00"/>
    <d v="2025-04-17T00:00:00"/>
    <s v="Thursday"/>
    <s v="Morning"/>
    <x v="3"/>
    <n v="18"/>
    <n v="3"/>
    <x v="0"/>
    <x v="0"/>
    <s v="SMS"/>
    <n v="5.7"/>
    <x v="36"/>
    <x v="1"/>
  </r>
  <r>
    <s v="HC-00544"/>
    <s v="P-1342"/>
    <s v="Female"/>
    <n v="73"/>
    <x v="4"/>
    <s v="Follow-up"/>
    <d v="2025-02-17T00:00:00"/>
    <d v="2025-04-06T00:00:00"/>
    <s v="Sunday"/>
    <s v="Afternoon"/>
    <x v="2"/>
    <n v="48"/>
    <n v="4"/>
    <x v="0"/>
    <x v="1"/>
    <s v="None"/>
    <n v="2.8"/>
    <x v="20"/>
    <x v="0"/>
  </r>
  <r>
    <s v="HC-00545"/>
    <s v="P-1442"/>
    <s v="Male"/>
    <n v="55"/>
    <x v="3"/>
    <s v="Diagnostic Test"/>
    <d v="2026-03-17T00:00:00"/>
    <d v="2026-03-30T00:00:00"/>
    <s v="Monday"/>
    <s v="Evening"/>
    <x v="0"/>
    <n v="13"/>
    <n v="6"/>
    <x v="0"/>
    <x v="0"/>
    <s v="SMS"/>
    <n v="5.4"/>
    <x v="31"/>
    <x v="1"/>
  </r>
  <r>
    <s v="HC-00546"/>
    <s v="P-0021"/>
    <s v="Female"/>
    <n v="69"/>
    <x v="4"/>
    <s v="General Consultation"/>
    <d v="2024-12-07T00:00:00"/>
    <d v="2025-01-30T00:00:00"/>
    <s v="Thursday"/>
    <s v="Afternoon"/>
    <x v="2"/>
    <n v="54"/>
    <n v="3"/>
    <x v="1"/>
    <x v="0"/>
    <s v="SMS"/>
    <n v="4.7"/>
    <x v="19"/>
    <x v="0"/>
  </r>
  <r>
    <s v="HC-00547"/>
    <s v="P-1662"/>
    <s v="Female"/>
    <n v="71"/>
    <x v="4"/>
    <s v="Specialist Consultation"/>
    <d v="2025-08-14T00:00:00"/>
    <d v="2025-08-23T00:00:00"/>
    <s v="Saturday"/>
    <s v="Afternoon"/>
    <x v="0"/>
    <n v="9"/>
    <n v="1"/>
    <x v="0"/>
    <x v="0"/>
    <s v="WhatsApp"/>
    <n v="9.1999999999999993"/>
    <x v="17"/>
    <x v="0"/>
  </r>
  <r>
    <s v="HC-00548"/>
    <s v="P-0672"/>
    <s v="Male"/>
    <n v="72"/>
    <x v="4"/>
    <s v="Diagnostic Test"/>
    <d v="2025-11-17T00:00:00"/>
    <d v="2025-11-19T00:00:00"/>
    <s v="Wednesday"/>
    <s v="Afternoon"/>
    <x v="1"/>
    <n v="2"/>
    <n v="3"/>
    <x v="0"/>
    <x v="0"/>
    <s v="SMS"/>
    <n v="5"/>
    <x v="6"/>
    <x v="1"/>
  </r>
  <r>
    <s v="HC-00549"/>
    <s v="P-1472"/>
    <s v="Male"/>
    <n v="43"/>
    <x v="0"/>
    <s v="Follow-up"/>
    <d v="2025-09-26T00:00:00"/>
    <d v="2025-10-09T00:00:00"/>
    <s v="Thursday"/>
    <s v="Evening"/>
    <x v="0"/>
    <n v="13"/>
    <n v="5"/>
    <x v="1"/>
    <x v="0"/>
    <s v="SMS"/>
    <n v="8.9"/>
    <x v="8"/>
    <x v="1"/>
  </r>
  <r>
    <s v="HC-00550"/>
    <s v="P-0351"/>
    <s v="Male"/>
    <n v="42"/>
    <x v="0"/>
    <s v="Follow-up"/>
    <d v="2025-11-23T00:00:00"/>
    <d v="2026-01-07T00:00:00"/>
    <s v="Wednesday"/>
    <s v="Morning"/>
    <x v="2"/>
    <n v="45"/>
    <n v="1"/>
    <x v="0"/>
    <x v="0"/>
    <s v="SMS"/>
    <n v="22.1"/>
    <x v="13"/>
    <x v="0"/>
  </r>
  <r>
    <s v="HC-00551"/>
    <s v="P-1561"/>
    <s v="Male"/>
    <n v="80"/>
    <x v="4"/>
    <s v="General Consultation"/>
    <d v="2026-02-07T00:00:00"/>
    <d v="2026-03-15T00:00:00"/>
    <s v="Sunday"/>
    <s v="Morning"/>
    <x v="2"/>
    <n v="36"/>
    <n v="4"/>
    <x v="0"/>
    <x v="0"/>
    <s v="Email"/>
    <n v="4"/>
    <x v="25"/>
    <x v="1"/>
  </r>
  <r>
    <s v="HC-00552"/>
    <s v="P-0895"/>
    <s v="Female"/>
    <n v="65"/>
    <x v="4"/>
    <s v="Specialist Consultation"/>
    <d v="2025-07-13T00:00:00"/>
    <d v="2025-08-03T00:00:00"/>
    <s v="Sunday"/>
    <s v="Afternoon"/>
    <x v="3"/>
    <n v="21"/>
    <n v="4"/>
    <x v="1"/>
    <x v="0"/>
    <s v="Email"/>
    <n v="16"/>
    <x v="16"/>
    <x v="1"/>
  </r>
  <r>
    <s v="HC-00553"/>
    <s v="P-1183"/>
    <s v="Prefer not to say"/>
    <n v="75"/>
    <x v="4"/>
    <s v="Diagnostic Test"/>
    <d v="2026-02-17T00:00:00"/>
    <d v="2026-03-29T00:00:00"/>
    <s v="Sunday"/>
    <s v="Morning"/>
    <x v="2"/>
    <n v="40"/>
    <n v="4"/>
    <x v="1"/>
    <x v="0"/>
    <s v="WhatsApp"/>
    <n v="7.6"/>
    <x v="22"/>
    <x v="0"/>
  </r>
  <r>
    <s v="HC-00554"/>
    <s v="P-0381"/>
    <s v="Female"/>
    <n v="54"/>
    <x v="2"/>
    <s v="Specialist Consultation"/>
    <d v="2025-05-15T00:00:00"/>
    <d v="2025-06-23T00:00:00"/>
    <s v="Monday"/>
    <s v="Morning"/>
    <x v="2"/>
    <n v="39"/>
    <n v="1"/>
    <x v="0"/>
    <x v="1"/>
    <s v="None"/>
    <n v="1.2"/>
    <x v="7"/>
    <x v="1"/>
  </r>
  <r>
    <s v="HC-00555"/>
    <s v="P-1642"/>
    <s v="Female"/>
    <n v="76"/>
    <x v="4"/>
    <s v="Diagnostic Test"/>
    <d v="2026-05-20T00:00:00"/>
    <d v="2026-06-22T00:00:00"/>
    <s v="Monday"/>
    <s v="Morning"/>
    <x v="2"/>
    <n v="33"/>
    <n v="3"/>
    <x v="0"/>
    <x v="1"/>
    <s v="None"/>
    <n v="15.3"/>
    <x v="0"/>
    <x v="1"/>
  </r>
  <r>
    <s v="HC-00556"/>
    <s v="P-1252"/>
    <s v="Female"/>
    <n v="63"/>
    <x v="3"/>
    <s v="Follow-up"/>
    <d v="2025-09-02T00:00:00"/>
    <d v="2025-10-03T00:00:00"/>
    <s v="Friday"/>
    <s v="Morning"/>
    <x v="2"/>
    <n v="31"/>
    <n v="3"/>
    <x v="0"/>
    <x v="1"/>
    <s v="None"/>
    <n v="15.1"/>
    <x v="39"/>
    <x v="0"/>
  </r>
  <r>
    <s v="HC-00557"/>
    <s v="P-0499"/>
    <s v="Female"/>
    <n v="64"/>
    <x v="3"/>
    <s v="Follow-up"/>
    <d v="2026-01-31T00:00:00"/>
    <d v="2026-02-06T00:00:00"/>
    <s v="Friday"/>
    <s v="Morning"/>
    <x v="1"/>
    <n v="6"/>
    <n v="2"/>
    <x v="0"/>
    <x v="0"/>
    <s v="Email"/>
    <n v="3.9"/>
    <x v="21"/>
    <x v="0"/>
  </r>
  <r>
    <s v="HC-00558"/>
    <s v="P-1423"/>
    <s v="Female"/>
    <n v="29"/>
    <x v="1"/>
    <s v="General Consultation"/>
    <d v="2026-04-08T00:00:00"/>
    <d v="2026-04-23T00:00:00"/>
    <s v="Thursday"/>
    <s v="Afternoon"/>
    <x v="3"/>
    <n v="15"/>
    <n v="3"/>
    <x v="0"/>
    <x v="0"/>
    <s v="SMS"/>
    <n v="11.1"/>
    <x v="36"/>
    <x v="0"/>
  </r>
  <r>
    <s v="HC-00559"/>
    <s v="P-0349"/>
    <s v="Male"/>
    <n v="53"/>
    <x v="2"/>
    <s v="Specialist Consultation"/>
    <d v="2026-02-05T00:00:00"/>
    <d v="2026-03-09T00:00:00"/>
    <s v="Monday"/>
    <s v="Morning"/>
    <x v="2"/>
    <n v="32"/>
    <n v="7"/>
    <x v="2"/>
    <x v="0"/>
    <s v="SMS"/>
    <n v="7.4"/>
    <x v="3"/>
    <x v="0"/>
  </r>
  <r>
    <s v="HC-00560"/>
    <s v="P-0538"/>
    <s v="Male"/>
    <n v="64"/>
    <x v="3"/>
    <s v="Diagnostic Test"/>
    <d v="2026-04-02T00:00:00"/>
    <d v="2026-04-10T00:00:00"/>
    <s v="Friday"/>
    <s v="Afternoon"/>
    <x v="0"/>
    <n v="8"/>
    <n v="3"/>
    <x v="0"/>
    <x v="1"/>
    <s v="None"/>
    <n v="9.8000000000000007"/>
    <x v="4"/>
    <x v="0"/>
  </r>
  <r>
    <s v="HC-00561"/>
    <s v="P-0339"/>
    <s v="Male"/>
    <n v="65"/>
    <x v="4"/>
    <s v="Follow-up"/>
    <d v="2025-09-21T00:00:00"/>
    <d v="2025-10-20T00:00:00"/>
    <s v="Monday"/>
    <s v="Morning"/>
    <x v="3"/>
    <n v="29"/>
    <n v="2"/>
    <x v="1"/>
    <x v="0"/>
    <s v="WhatsApp"/>
    <n v="5.3"/>
    <x v="19"/>
    <x v="1"/>
  </r>
  <r>
    <s v="HC-00562"/>
    <s v="P-1009"/>
    <s v="Female"/>
    <n v="78"/>
    <x v="4"/>
    <s v="General Consultation"/>
    <d v="2025-01-17T00:00:00"/>
    <d v="2025-01-24T00:00:00"/>
    <s v="Friday"/>
    <s v="Evening"/>
    <x v="1"/>
    <n v="7"/>
    <n v="1"/>
    <x v="1"/>
    <x v="1"/>
    <s v="None"/>
    <n v="4.2"/>
    <x v="18"/>
    <x v="1"/>
  </r>
  <r>
    <s v="HC-00563"/>
    <s v="P-1377"/>
    <s v="Male"/>
    <n v="38"/>
    <x v="0"/>
    <s v="Follow-up"/>
    <d v="2025-08-10T00:00:00"/>
    <d v="2025-09-27T00:00:00"/>
    <s v="Saturday"/>
    <s v="Afternoon"/>
    <x v="2"/>
    <n v="48"/>
    <n v="5"/>
    <x v="0"/>
    <x v="1"/>
    <s v="None"/>
    <n v="3.5"/>
    <x v="35"/>
    <x v="0"/>
  </r>
  <r>
    <s v="HC-00564"/>
    <s v="P-0869"/>
    <s v="Female"/>
    <n v="37"/>
    <x v="0"/>
    <s v="Specialist Consultation"/>
    <d v="2025-04-04T00:00:00"/>
    <d v="2025-04-10T00:00:00"/>
    <s v="Thursday"/>
    <s v="Evening"/>
    <x v="1"/>
    <n v="6"/>
    <n v="4"/>
    <x v="1"/>
    <x v="0"/>
    <s v="WhatsApp"/>
    <n v="17.899999999999999"/>
    <x v="5"/>
    <x v="1"/>
  </r>
  <r>
    <s v="HC-00565"/>
    <s v="P-1182"/>
    <s v="Male"/>
    <n v="79"/>
    <x v="4"/>
    <s v="Diagnostic Test"/>
    <d v="2026-04-26T00:00:00"/>
    <d v="2026-05-01T00:00:00"/>
    <s v="Friday"/>
    <s v="Morning"/>
    <x v="1"/>
    <n v="5"/>
    <n v="3"/>
    <x v="0"/>
    <x v="0"/>
    <s v="WhatsApp"/>
    <n v="4"/>
    <x v="17"/>
    <x v="1"/>
  </r>
  <r>
    <s v="HC-00566"/>
    <s v="P-0425"/>
    <s v="Male"/>
    <n v="80"/>
    <x v="4"/>
    <s v="General Consultation"/>
    <d v="2025-04-02T00:00:00"/>
    <d v="2025-05-10T00:00:00"/>
    <s v="Saturday"/>
    <s v="Morning"/>
    <x v="2"/>
    <n v="38"/>
    <n v="4"/>
    <x v="1"/>
    <x v="0"/>
    <s v="SMS"/>
    <n v="11"/>
    <x v="28"/>
    <x v="1"/>
  </r>
  <r>
    <s v="HC-00567"/>
    <s v="P-1407"/>
    <s v="Female"/>
    <n v="29"/>
    <x v="1"/>
    <s v="General Consultation"/>
    <d v="2025-04-22T00:00:00"/>
    <d v="2025-05-05T00:00:00"/>
    <s v="Monday"/>
    <s v="Afternoon"/>
    <x v="0"/>
    <n v="13"/>
    <n v="2"/>
    <x v="1"/>
    <x v="0"/>
    <s v="WhatsApp"/>
    <n v="4"/>
    <x v="31"/>
    <x v="1"/>
  </r>
  <r>
    <s v="HC-00568"/>
    <s v="P-1346"/>
    <s v="Male"/>
    <n v="41"/>
    <x v="0"/>
    <s v="General Consultation"/>
    <d v="2025-04-26T00:00:00"/>
    <d v="2025-05-17T00:00:00"/>
    <s v="Saturday"/>
    <s v="Afternoon"/>
    <x v="3"/>
    <n v="21"/>
    <n v="1"/>
    <x v="1"/>
    <x v="1"/>
    <s v="None"/>
    <n v="30.6"/>
    <x v="7"/>
    <x v="1"/>
  </r>
  <r>
    <s v="HC-00569"/>
    <s v="P-1638"/>
    <s v="Male"/>
    <n v="77"/>
    <x v="4"/>
    <s v="General Consultation"/>
    <d v="2025-11-28T00:00:00"/>
    <d v="2025-12-17T00:00:00"/>
    <s v="Wednesday"/>
    <s v="Morning"/>
    <x v="3"/>
    <n v="19"/>
    <n v="2"/>
    <x v="0"/>
    <x v="0"/>
    <s v="SMS"/>
    <n v="4"/>
    <x v="0"/>
    <x v="1"/>
  </r>
  <r>
    <s v="HC-00570"/>
    <s v="P-0522"/>
    <s v="Female"/>
    <n v="30"/>
    <x v="1"/>
    <s v="Diagnostic Test"/>
    <d v="2025-10-26T00:00:00"/>
    <d v="2025-11-08T00:00:00"/>
    <s v="Saturday"/>
    <s v="Afternoon"/>
    <x v="0"/>
    <n v="13"/>
    <n v="2"/>
    <x v="1"/>
    <x v="1"/>
    <s v="None"/>
    <n v="3.9"/>
    <x v="23"/>
    <x v="1"/>
  </r>
  <r>
    <s v="HC-00571"/>
    <s v="P-0458"/>
    <s v="Male"/>
    <n v="67"/>
    <x v="4"/>
    <s v="Follow-up"/>
    <d v="2026-04-18T00:00:00"/>
    <d v="2026-06-03T00:00:00"/>
    <s v="Wednesday"/>
    <s v="Afternoon"/>
    <x v="2"/>
    <n v="46"/>
    <n v="2"/>
    <x v="0"/>
    <x v="0"/>
    <s v="SMS"/>
    <n v="19.7"/>
    <x v="36"/>
    <x v="0"/>
  </r>
  <r>
    <s v="HC-00572"/>
    <s v="P-1070"/>
    <s v="Male"/>
    <n v="25"/>
    <x v="1"/>
    <s v="Follow-up"/>
    <d v="2025-07-05T00:00:00"/>
    <d v="2025-08-16T00:00:00"/>
    <s v="Saturday"/>
    <s v="Morning"/>
    <x v="2"/>
    <n v="42"/>
    <n v="1"/>
    <x v="0"/>
    <x v="1"/>
    <s v="None"/>
    <n v="7"/>
    <x v="0"/>
    <x v="2"/>
  </r>
  <r>
    <s v="HC-00573"/>
    <s v="P-0129"/>
    <s v="Female"/>
    <n v="29"/>
    <x v="1"/>
    <s v="General Consultation"/>
    <d v="2025-05-21T00:00:00"/>
    <d v="2025-06-04T00:00:00"/>
    <s v="Wednesday"/>
    <s v="Afternoon"/>
    <x v="0"/>
    <n v="14"/>
    <n v="2"/>
    <x v="1"/>
    <x v="0"/>
    <s v="WhatsApp"/>
    <n v="3.2"/>
    <x v="3"/>
    <x v="0"/>
  </r>
  <r>
    <s v="HC-00574"/>
    <s v="P-1551"/>
    <s v="Female"/>
    <n v="67"/>
    <x v="4"/>
    <s v="Follow-up"/>
    <d v="2024-12-17T00:00:00"/>
    <d v="2025-01-27T00:00:00"/>
    <s v="Monday"/>
    <s v="Morning"/>
    <x v="2"/>
    <n v="41"/>
    <n v="3"/>
    <x v="1"/>
    <x v="0"/>
    <s v="SMS"/>
    <n v="8"/>
    <x v="9"/>
    <x v="0"/>
  </r>
  <r>
    <s v="HC-00575"/>
    <s v="P-0725"/>
    <s v="Female"/>
    <n v="56"/>
    <x v="3"/>
    <s v="Diagnostic Test"/>
    <d v="2024-11-22T00:00:00"/>
    <d v="2025-01-04T00:00:00"/>
    <s v="Saturday"/>
    <s v="Morning"/>
    <x v="2"/>
    <n v="43"/>
    <n v="2"/>
    <x v="0"/>
    <x v="0"/>
    <s v="SMS"/>
    <n v="4.5"/>
    <x v="22"/>
    <x v="1"/>
  </r>
  <r>
    <s v="HC-00576"/>
    <s v="P-1182"/>
    <s v="Male"/>
    <n v="52"/>
    <x v="2"/>
    <s v="Follow-up"/>
    <d v="2025-06-21T00:00:00"/>
    <d v="2025-07-23T00:00:00"/>
    <s v="Wednesday"/>
    <s v="Afternoon"/>
    <x v="2"/>
    <n v="32"/>
    <n v="0"/>
    <x v="0"/>
    <x v="0"/>
    <s v="SMS"/>
    <n v="33.9"/>
    <x v="24"/>
    <x v="1"/>
  </r>
  <r>
    <s v="HC-00577"/>
    <s v="P-0447"/>
    <s v="Female"/>
    <n v="71"/>
    <x v="4"/>
    <s v="General Consultation"/>
    <d v="2026-04-16T00:00:00"/>
    <d v="2026-05-21T00:00:00"/>
    <s v="Thursday"/>
    <s v="Afternoon"/>
    <x v="2"/>
    <n v="35"/>
    <n v="2"/>
    <x v="1"/>
    <x v="1"/>
    <s v="None"/>
    <n v="1.9"/>
    <x v="13"/>
    <x v="0"/>
  </r>
  <r>
    <s v="HC-00578"/>
    <s v="P-0698"/>
    <s v="Female"/>
    <n v="37"/>
    <x v="0"/>
    <s v="General Consultation"/>
    <d v="2025-08-17T00:00:00"/>
    <d v="2025-10-13T00:00:00"/>
    <s v="Monday"/>
    <s v="Afternoon"/>
    <x v="2"/>
    <n v="57"/>
    <n v="4"/>
    <x v="0"/>
    <x v="0"/>
    <s v="Email"/>
    <n v="12.7"/>
    <x v="31"/>
    <x v="0"/>
  </r>
  <r>
    <s v="HC-00579"/>
    <s v="P-0907"/>
    <s v="Female"/>
    <n v="49"/>
    <x v="2"/>
    <s v="Diagnostic Test"/>
    <d v="2026-04-06T00:00:00"/>
    <d v="2026-05-03T00:00:00"/>
    <s v="Sunday"/>
    <s v="Afternoon"/>
    <x v="3"/>
    <n v="27"/>
    <n v="4"/>
    <x v="1"/>
    <x v="0"/>
    <s v="WhatsApp"/>
    <n v="20.100000000000001"/>
    <x v="36"/>
    <x v="2"/>
  </r>
  <r>
    <s v="HC-00580"/>
    <s v="P-0959"/>
    <s v="Prefer not to say"/>
    <n v="56"/>
    <x v="3"/>
    <s v="Diagnostic Test"/>
    <d v="2025-02-02T00:00:00"/>
    <d v="2025-02-25T00:00:00"/>
    <s v="Tuesday"/>
    <s v="Evening"/>
    <x v="3"/>
    <n v="23"/>
    <n v="2"/>
    <x v="0"/>
    <x v="0"/>
    <s v="WhatsApp"/>
    <n v="13.8"/>
    <x v="28"/>
    <x v="0"/>
  </r>
  <r>
    <s v="HC-00581"/>
    <s v="P-1249"/>
    <s v="Male"/>
    <n v="64"/>
    <x v="3"/>
    <s v="General Consultation"/>
    <d v="2025-01-19T00:00:00"/>
    <d v="2025-02-20T00:00:00"/>
    <s v="Thursday"/>
    <s v="Morning"/>
    <x v="2"/>
    <n v="32"/>
    <n v="7"/>
    <x v="2"/>
    <x v="0"/>
    <s v="SMS"/>
    <n v="5.0999999999999996"/>
    <x v="18"/>
    <x v="1"/>
  </r>
  <r>
    <s v="HC-00582"/>
    <s v="P-1596"/>
    <s v="Male"/>
    <n v="38"/>
    <x v="0"/>
    <s v="Follow-up"/>
    <d v="2026-02-10T00:00:00"/>
    <d v="2026-04-01T00:00:00"/>
    <s v="Wednesday"/>
    <s v="Morning"/>
    <x v="2"/>
    <n v="50"/>
    <n v="1"/>
    <x v="0"/>
    <x v="0"/>
    <s v="SMS"/>
    <m/>
    <x v="2"/>
    <x v="0"/>
  </r>
  <r>
    <s v="HC-00583"/>
    <s v="P-1424"/>
    <s v="Male"/>
    <n v="57"/>
    <x v="3"/>
    <s v="General Consultation"/>
    <d v="2025-01-16T00:00:00"/>
    <d v="2025-02-28T00:00:00"/>
    <s v="Friday"/>
    <s v="Morning"/>
    <x v="2"/>
    <n v="43"/>
    <n v="3"/>
    <x v="0"/>
    <x v="0"/>
    <s v="SMS"/>
    <n v="9.3000000000000007"/>
    <x v="6"/>
    <x v="1"/>
  </r>
  <r>
    <s v="HC-00584"/>
    <s v="P-1142"/>
    <s v="Male"/>
    <n v="46"/>
    <x v="2"/>
    <s v="Follow-up"/>
    <d v="2025-01-25T00:00:00"/>
    <d v="2025-01-29T00:00:00"/>
    <s v="Wednesday"/>
    <s v="Afternoon"/>
    <x v="1"/>
    <n v="4"/>
    <n v="0"/>
    <x v="0"/>
    <x v="0"/>
    <s v="Email"/>
    <n v="12.4"/>
    <x v="16"/>
    <x v="1"/>
  </r>
  <r>
    <s v="HC-00585"/>
    <s v="P-0079"/>
    <s v="Male"/>
    <n v="52"/>
    <x v="2"/>
    <s v="General Consultation"/>
    <d v="2025-07-12T00:00:00"/>
    <d v="2025-08-09T00:00:00"/>
    <s v="Saturday"/>
    <s v="Afternoon"/>
    <x v="3"/>
    <n v="28"/>
    <n v="3"/>
    <x v="1"/>
    <x v="1"/>
    <s v="None"/>
    <n v="14.1"/>
    <x v="14"/>
    <x v="1"/>
  </r>
  <r>
    <s v="HC-00586"/>
    <s v="P-0989"/>
    <s v="Female"/>
    <n v="72"/>
    <x v="4"/>
    <s v="Specialist Consultation"/>
    <d v="2026-04-05T00:00:00"/>
    <d v="2026-05-20T00:00:00"/>
    <s v="Wednesday"/>
    <s v="Afternoon"/>
    <x v="2"/>
    <n v="45"/>
    <n v="2"/>
    <x v="0"/>
    <x v="1"/>
    <s v="None"/>
    <n v="3.8"/>
    <x v="30"/>
    <x v="1"/>
  </r>
  <r>
    <s v="HC-00587"/>
    <s v="P-0193"/>
    <s v="Female"/>
    <n v="42"/>
    <x v="0"/>
    <s v="Diagnostic Test"/>
    <d v="2025-12-30T00:00:00"/>
    <d v="2026-01-12T00:00:00"/>
    <s v="Monday"/>
    <s v="Morning"/>
    <x v="0"/>
    <n v="13"/>
    <n v="3"/>
    <x v="0"/>
    <x v="0"/>
    <s v="SMS"/>
    <n v="11.9"/>
    <x v="25"/>
    <x v="1"/>
  </r>
  <r>
    <s v="HC-00588"/>
    <s v="P-0737"/>
    <s v="Male"/>
    <n v="60"/>
    <x v="3"/>
    <s v="General Consultation"/>
    <d v="2024-12-26T00:00:00"/>
    <d v="2025-02-24T00:00:00"/>
    <s v="Monday"/>
    <s v="Morning"/>
    <x v="2"/>
    <n v="60"/>
    <n v="4"/>
    <x v="1"/>
    <x v="1"/>
    <s v="None"/>
    <n v="13.5"/>
    <x v="19"/>
    <x v="0"/>
  </r>
  <r>
    <s v="HC-00589"/>
    <s v="P-1731"/>
    <s v="Female"/>
    <n v="77"/>
    <x v="4"/>
    <s v="Follow-up"/>
    <d v="2026-02-13T00:00:00"/>
    <d v="2026-04-03T00:00:00"/>
    <s v="Friday"/>
    <s v="Afternoon"/>
    <x v="2"/>
    <n v="49"/>
    <n v="2"/>
    <x v="0"/>
    <x v="0"/>
    <s v="SMS"/>
    <n v="8.1"/>
    <x v="45"/>
    <x v="2"/>
  </r>
  <r>
    <s v="HC-00590"/>
    <s v="P-1360"/>
    <s v="Female"/>
    <n v="66"/>
    <x v="4"/>
    <s v="General Consultation"/>
    <d v="2026-02-14T00:00:00"/>
    <d v="2026-04-06T00:00:00"/>
    <s v="Monday"/>
    <s v="Afternoon"/>
    <x v="2"/>
    <n v="51"/>
    <n v="3"/>
    <x v="0"/>
    <x v="0"/>
    <s v="SMS"/>
    <n v="5.0999999999999996"/>
    <x v="25"/>
    <x v="0"/>
  </r>
  <r>
    <s v="HC-00591"/>
    <s v="P-0364"/>
    <s v="Male"/>
    <n v="80"/>
    <x v="4"/>
    <s v="General Consultation"/>
    <d v="2026-03-10T00:00:00"/>
    <d v="2026-03-14T00:00:00"/>
    <s v="Saturday"/>
    <s v="Morning"/>
    <x v="1"/>
    <n v="4"/>
    <n v="2"/>
    <x v="0"/>
    <x v="0"/>
    <s v="WhatsApp"/>
    <n v="7.7"/>
    <x v="19"/>
    <x v="1"/>
  </r>
  <r>
    <s v="HC-00592"/>
    <s v="P-0310"/>
    <s v="Male"/>
    <n v="54"/>
    <x v="2"/>
    <s v="General Consultation"/>
    <d v="2026-04-03T00:00:00"/>
    <d v="2026-05-08T00:00:00"/>
    <s v="Friday"/>
    <s v="Afternoon"/>
    <x v="2"/>
    <n v="35"/>
    <n v="2"/>
    <x v="1"/>
    <x v="0"/>
    <s v="WhatsApp"/>
    <n v="23.9"/>
    <x v="32"/>
    <x v="0"/>
  </r>
  <r>
    <s v="HC-00593"/>
    <s v="P-0499"/>
    <s v="Female"/>
    <n v="35"/>
    <x v="0"/>
    <s v="General Consultation"/>
    <d v="2025-04-09T00:00:00"/>
    <d v="2025-05-11T00:00:00"/>
    <s v="Sunday"/>
    <s v="Afternoon"/>
    <x v="2"/>
    <n v="32"/>
    <n v="2"/>
    <x v="0"/>
    <x v="0"/>
    <s v="SMS"/>
    <n v="11"/>
    <x v="16"/>
    <x v="0"/>
  </r>
  <r>
    <s v="HC-00594"/>
    <s v="P-1288"/>
    <s v="Female"/>
    <n v="80"/>
    <x v="4"/>
    <s v="Diagnostic Test"/>
    <d v="2026-05-12T00:00:00"/>
    <d v="2026-06-19T00:00:00"/>
    <s v="Friday"/>
    <s v="Afternoon"/>
    <x v="2"/>
    <n v="38"/>
    <n v="4"/>
    <x v="0"/>
    <x v="0"/>
    <s v="WhatsApp"/>
    <n v="8.6"/>
    <x v="3"/>
    <x v="0"/>
  </r>
  <r>
    <s v="HC-00595"/>
    <s v="P-0562"/>
    <s v="Female"/>
    <n v="58"/>
    <x v="3"/>
    <s v="General Consultation"/>
    <d v="2025-05-05T00:00:00"/>
    <d v="2025-06-25T00:00:00"/>
    <s v="Wednesday"/>
    <s v="Morning"/>
    <x v="2"/>
    <n v="51"/>
    <n v="5"/>
    <x v="1"/>
    <x v="0"/>
    <s v="WhatsApp"/>
    <n v="3.9"/>
    <x v="24"/>
    <x v="0"/>
  </r>
  <r>
    <s v="HC-00596"/>
    <s v="P-1008"/>
    <s v="Female"/>
    <n v="33"/>
    <x v="1"/>
    <s v="Specialist Consultation"/>
    <d v="2026-02-21T00:00:00"/>
    <d v="2026-03-14T00:00:00"/>
    <s v="Saturday"/>
    <s v="Afternoon"/>
    <x v="3"/>
    <n v="21"/>
    <n v="4"/>
    <x v="0"/>
    <x v="1"/>
    <s v="None"/>
    <n v="16.3"/>
    <x v="26"/>
    <x v="1"/>
  </r>
  <r>
    <s v="HC-00597"/>
    <s v="P-0919"/>
    <s v="Female"/>
    <n v="37"/>
    <x v="0"/>
    <s v="General Consultation"/>
    <d v="2025-10-12T00:00:00"/>
    <d v="2025-11-13T00:00:00"/>
    <s v="Thursday"/>
    <s v="Morning"/>
    <x v="2"/>
    <n v="32"/>
    <n v="5"/>
    <x v="1"/>
    <x v="0"/>
    <s v="WhatsApp"/>
    <n v="11.8"/>
    <x v="5"/>
    <x v="2"/>
  </r>
  <r>
    <s v="HC-00598"/>
    <s v="P-0163"/>
    <s v="Male"/>
    <n v="34"/>
    <x v="1"/>
    <s v="Follow-up"/>
    <d v="2026-01-20T00:00:00"/>
    <d v="2026-03-02T00:00:00"/>
    <s v="Monday"/>
    <s v="Morning"/>
    <x v="2"/>
    <n v="41"/>
    <n v="2"/>
    <x v="0"/>
    <x v="0"/>
    <s v="WhatsApp"/>
    <n v="6.2"/>
    <x v="14"/>
    <x v="1"/>
  </r>
  <r>
    <s v="HC-00599"/>
    <s v="P-1171"/>
    <s v="Male"/>
    <n v="70"/>
    <x v="4"/>
    <s v="Follow-up"/>
    <d v="2025-10-25T00:00:00"/>
    <d v="2025-12-09T00:00:00"/>
    <s v="Tuesday"/>
    <s v="Afternoon"/>
    <x v="2"/>
    <n v="45"/>
    <n v="4"/>
    <x v="0"/>
    <x v="0"/>
    <s v="WhatsApp"/>
    <n v="5.5"/>
    <x v="11"/>
    <x v="0"/>
  </r>
  <r>
    <s v="HC-00600"/>
    <s v="P-1506"/>
    <s v="Female"/>
    <n v="23"/>
    <x v="5"/>
    <s v="Diagnostic Test"/>
    <d v="2025-11-01T00:00:00"/>
    <d v="2025-12-17T00:00:00"/>
    <s v="Wednesday"/>
    <s v="Morning"/>
    <x v="2"/>
    <n v="46"/>
    <n v="1"/>
    <x v="0"/>
    <x v="0"/>
    <s v="SMS"/>
    <n v="3.4"/>
    <x v="40"/>
    <x v="0"/>
  </r>
  <r>
    <s v="HC-00601"/>
    <s v="P-0839"/>
    <s v="Female"/>
    <n v="64"/>
    <x v="3"/>
    <s v="General Consultation"/>
    <d v="2025-11-13T00:00:00"/>
    <d v="2025-12-03T00:00:00"/>
    <s v="Wednesday"/>
    <s v="Morning"/>
    <x v="3"/>
    <n v="20"/>
    <n v="2"/>
    <x v="0"/>
    <x v="0"/>
    <s v="SMS"/>
    <n v="12.1"/>
    <x v="51"/>
    <x v="1"/>
  </r>
  <r>
    <s v="HC-00602"/>
    <s v="P-1038"/>
    <s v="Male"/>
    <n v="52"/>
    <x v="2"/>
    <s v="General Consultation"/>
    <d v="2026-01-01T00:00:00"/>
    <d v="2026-03-02T00:00:00"/>
    <s v="Monday"/>
    <s v="Morning"/>
    <x v="2"/>
    <n v="60"/>
    <n v="4"/>
    <x v="0"/>
    <x v="0"/>
    <s v="WhatsApp"/>
    <n v="1.8"/>
    <x v="0"/>
    <x v="0"/>
  </r>
  <r>
    <s v="HC-00603"/>
    <s v="P-1290"/>
    <s v="Female"/>
    <n v="22"/>
    <x v="5"/>
    <s v="Specialist Consultation"/>
    <d v="2026-02-08T00:00:00"/>
    <d v="2026-02-08T00:00:00"/>
    <s v="Sunday"/>
    <s v="Morning"/>
    <x v="1"/>
    <n v="0"/>
    <n v="3"/>
    <x v="0"/>
    <x v="1"/>
    <s v="None"/>
    <n v="12.4"/>
    <x v="23"/>
    <x v="0"/>
  </r>
  <r>
    <s v="HC-00604"/>
    <s v="P-1102"/>
    <s v="Female"/>
    <n v="56"/>
    <x v="3"/>
    <s v="Specialist Consultation"/>
    <d v="2025-02-13T00:00:00"/>
    <d v="2025-03-15T00:00:00"/>
    <s v="Saturday"/>
    <s v="Afternoon"/>
    <x v="3"/>
    <n v="30"/>
    <n v="7"/>
    <x v="1"/>
    <x v="0"/>
    <s v="SMS"/>
    <n v="2"/>
    <x v="12"/>
    <x v="0"/>
  </r>
  <r>
    <s v="HC-00605"/>
    <s v="P-0574"/>
    <s v="Female"/>
    <n v="65"/>
    <x v="4"/>
    <s v="Follow-up"/>
    <d v="2026-02-19T00:00:00"/>
    <d v="2026-03-28T00:00:00"/>
    <s v="Saturday"/>
    <s v="Morning"/>
    <x v="2"/>
    <n v="37"/>
    <n v="0"/>
    <x v="0"/>
    <x v="0"/>
    <s v="SMS"/>
    <n v="7.3"/>
    <x v="1"/>
    <x v="1"/>
  </r>
  <r>
    <s v="HC-00606"/>
    <s v="P-1041"/>
    <s v="Male"/>
    <n v="63"/>
    <x v="3"/>
    <s v="General Consultation"/>
    <d v="2025-10-17T00:00:00"/>
    <d v="2025-10-20T00:00:00"/>
    <s v="Monday"/>
    <s v="Afternoon"/>
    <x v="1"/>
    <n v="3"/>
    <n v="4"/>
    <x v="0"/>
    <x v="0"/>
    <s v="Email"/>
    <n v="16.600000000000001"/>
    <x v="14"/>
    <x v="1"/>
  </r>
  <r>
    <s v="HC-00607"/>
    <s v="P-0986"/>
    <s v="Female"/>
    <n v="51"/>
    <x v="2"/>
    <s v="General Consultation"/>
    <d v="2025-05-30T00:00:00"/>
    <d v="2025-06-26T00:00:00"/>
    <s v="Thursday"/>
    <s v="Afternoon"/>
    <x v="3"/>
    <n v="27"/>
    <n v="1"/>
    <x v="0"/>
    <x v="0"/>
    <s v="WhatsApp"/>
    <n v="1.5"/>
    <x v="7"/>
    <x v="1"/>
  </r>
  <r>
    <s v="HC-00608"/>
    <s v="P-1646"/>
    <s v="Female"/>
    <n v="39"/>
    <x v="0"/>
    <s v="Specialist Consultation"/>
    <d v="2025-09-02T00:00:00"/>
    <d v="2025-10-08T00:00:00"/>
    <s v="Wednesday"/>
    <s v="Morning"/>
    <x v="2"/>
    <n v="36"/>
    <n v="4"/>
    <x v="0"/>
    <x v="0"/>
    <s v="Email"/>
    <n v="19.100000000000001"/>
    <x v="15"/>
    <x v="0"/>
  </r>
  <r>
    <s v="HC-00609"/>
    <s v="P-1674"/>
    <s v="Male"/>
    <n v="28"/>
    <x v="1"/>
    <s v="Follow-up"/>
    <d v="2026-05-06T00:00:00"/>
    <d v="2026-06-12T00:00:00"/>
    <s v="Friday"/>
    <s v="Afternoon"/>
    <x v="2"/>
    <n v="37"/>
    <n v="2"/>
    <x v="0"/>
    <x v="0"/>
    <s v="SMS"/>
    <n v="5.4"/>
    <x v="13"/>
    <x v="0"/>
  </r>
  <r>
    <s v="HC-00610"/>
    <s v="P-0984"/>
    <s v="Male"/>
    <n v="18"/>
    <x v="5"/>
    <s v="Follow-up"/>
    <d v="2026-04-07T00:00:00"/>
    <d v="2026-04-14T00:00:00"/>
    <s v="Tuesday"/>
    <s v="Morning"/>
    <x v="1"/>
    <n v="7"/>
    <n v="3"/>
    <x v="2"/>
    <x v="0"/>
    <s v="WhatsApp"/>
    <n v="7.6"/>
    <x v="36"/>
    <x v="0"/>
  </r>
  <r>
    <s v="HC-00611"/>
    <s v="P-1626"/>
    <s v="Male"/>
    <n v="40"/>
    <x v="0"/>
    <s v="General Consultation"/>
    <d v="2026-03-16T00:00:00"/>
    <d v="2026-04-01T00:00:00"/>
    <s v="Wednesday"/>
    <s v="Morning"/>
    <x v="3"/>
    <n v="16"/>
    <n v="1"/>
    <x v="0"/>
    <x v="0"/>
    <s v="SMS"/>
    <n v="5.4"/>
    <x v="26"/>
    <x v="1"/>
  </r>
  <r>
    <s v="HC-00612"/>
    <s v="P-1378"/>
    <s v="Male"/>
    <n v="57"/>
    <x v="3"/>
    <s v="General Consultation"/>
    <d v="2025-08-27T00:00:00"/>
    <d v="2025-09-10T00:00:00"/>
    <s v="Wednesday"/>
    <s v="Morning"/>
    <x v="0"/>
    <n v="14"/>
    <n v="3"/>
    <x v="1"/>
    <x v="1"/>
    <s v="None"/>
    <n v="5.9"/>
    <x v="19"/>
    <x v="1"/>
  </r>
  <r>
    <s v="HC-00613"/>
    <s v="P-0752"/>
    <s v="Male"/>
    <n v="20"/>
    <x v="5"/>
    <s v="Diagnostic Test"/>
    <d v="2026-01-25T00:00:00"/>
    <d v="2026-03-05T00:00:00"/>
    <s v="Thursday"/>
    <s v="Morning"/>
    <x v="2"/>
    <n v="39"/>
    <n v="2"/>
    <x v="0"/>
    <x v="0"/>
    <s v="SMS"/>
    <n v="4.3"/>
    <x v="11"/>
    <x v="2"/>
  </r>
  <r>
    <s v="HC-00614"/>
    <s v="P-0967"/>
    <s v="Female"/>
    <n v="80"/>
    <x v="4"/>
    <s v="Specialist Consultation"/>
    <d v="2025-07-10T00:00:00"/>
    <d v="2025-07-30T00:00:00"/>
    <s v="Wednesday"/>
    <s v="Morning"/>
    <x v="3"/>
    <n v="20"/>
    <n v="1"/>
    <x v="0"/>
    <x v="0"/>
    <s v="SMS"/>
    <n v="15.7"/>
    <x v="51"/>
    <x v="0"/>
  </r>
  <r>
    <s v="HC-00615"/>
    <s v="P-1082"/>
    <s v="Female"/>
    <n v="54"/>
    <x v="2"/>
    <s v="General Consultation"/>
    <d v="2025-12-07T00:00:00"/>
    <d v="2026-01-10T00:00:00"/>
    <s v="Saturday"/>
    <s v="Morning"/>
    <x v="2"/>
    <n v="34"/>
    <n v="0"/>
    <x v="0"/>
    <x v="0"/>
    <s v="SMS"/>
    <n v="13.2"/>
    <x v="14"/>
    <x v="0"/>
  </r>
  <r>
    <s v="HC-00616"/>
    <s v="P-1441"/>
    <s v="Female"/>
    <n v="36"/>
    <x v="0"/>
    <s v="Diagnostic Test"/>
    <d v="2025-11-02T00:00:00"/>
    <d v="2025-12-16T00:00:00"/>
    <s v="Tuesday"/>
    <s v="Afternoon"/>
    <x v="2"/>
    <n v="44"/>
    <n v="1"/>
    <x v="0"/>
    <x v="1"/>
    <s v="None"/>
    <n v="3.9"/>
    <x v="7"/>
    <x v="1"/>
  </r>
  <r>
    <s v="HC-00617"/>
    <s v="P-0301"/>
    <s v="Female"/>
    <n v="78"/>
    <x v="4"/>
    <s v="Follow-up"/>
    <d v="2025-03-30T00:00:00"/>
    <d v="2025-05-17T00:00:00"/>
    <s v="Saturday"/>
    <s v="Afternoon"/>
    <x v="2"/>
    <n v="48"/>
    <n v="3"/>
    <x v="1"/>
    <x v="0"/>
    <s v="WhatsApp"/>
    <n v="11.1"/>
    <x v="4"/>
    <x v="0"/>
  </r>
  <r>
    <s v="HC-00618"/>
    <s v="P-1415"/>
    <s v="Female"/>
    <n v="29"/>
    <x v="1"/>
    <s v="General Consultation"/>
    <d v="2025-05-15T00:00:00"/>
    <d v="2025-05-26T00:00:00"/>
    <s v="Monday"/>
    <s v="Evening"/>
    <x v="0"/>
    <n v="11"/>
    <n v="1"/>
    <x v="0"/>
    <x v="0"/>
    <s v="Email"/>
    <n v="9.6"/>
    <x v="27"/>
    <x v="0"/>
  </r>
  <r>
    <s v="HC-00619"/>
    <s v="P-1692"/>
    <s v="Female"/>
    <n v="78"/>
    <x v="4"/>
    <s v="General Consultation"/>
    <d v="2024-12-10T00:00:00"/>
    <d v="2025-02-03T00:00:00"/>
    <s v="Monday"/>
    <s v="Afternoon"/>
    <x v="2"/>
    <n v="55"/>
    <n v="2"/>
    <x v="1"/>
    <x v="1"/>
    <s v="None"/>
    <n v="6.5"/>
    <x v="8"/>
    <x v="0"/>
  </r>
  <r>
    <s v="HC-00620"/>
    <s v="P-1786"/>
    <s v="Male"/>
    <n v="35"/>
    <x v="0"/>
    <s v="Specialist Consultation"/>
    <d v="2025-03-08T00:00:00"/>
    <d v="2025-03-18T00:00:00"/>
    <s v="Tuesday"/>
    <s v="Afternoon"/>
    <x v="0"/>
    <n v="10"/>
    <n v="0"/>
    <x v="0"/>
    <x v="1"/>
    <s v="None"/>
    <n v="11.6"/>
    <x v="47"/>
    <x v="1"/>
  </r>
  <r>
    <s v="HC-00621"/>
    <s v="P-0058"/>
    <s v="Male"/>
    <n v="41"/>
    <x v="0"/>
    <s v="General Consultation"/>
    <d v="2025-08-24T00:00:00"/>
    <d v="2025-08-25T00:00:00"/>
    <s v="Monday"/>
    <s v="Morning"/>
    <x v="1"/>
    <n v="1"/>
    <n v="8"/>
    <x v="2"/>
    <x v="0"/>
    <s v="SMS"/>
    <n v="7.5"/>
    <x v="37"/>
    <x v="1"/>
  </r>
  <r>
    <s v="HC-00622"/>
    <s v="P-1073"/>
    <s v="Female"/>
    <n v="44"/>
    <x v="0"/>
    <s v="Follow-up"/>
    <d v="2025-09-16T00:00:00"/>
    <d v="2025-09-18T00:00:00"/>
    <s v="Thursday"/>
    <s v="Afternoon"/>
    <x v="1"/>
    <n v="2"/>
    <n v="1"/>
    <x v="0"/>
    <x v="0"/>
    <s v="SMS"/>
    <n v="14.4"/>
    <x v="29"/>
    <x v="1"/>
  </r>
  <r>
    <s v="HC-00623"/>
    <s v="P-0884"/>
    <s v="Female"/>
    <n v="80"/>
    <x v="4"/>
    <s v="Specialist Consultation"/>
    <d v="2025-03-20T00:00:00"/>
    <d v="2025-04-01T00:00:00"/>
    <s v="Tuesday"/>
    <s v="Morning"/>
    <x v="0"/>
    <n v="12"/>
    <n v="1"/>
    <x v="0"/>
    <x v="0"/>
    <s v="Email"/>
    <n v="4.4000000000000004"/>
    <x v="0"/>
    <x v="1"/>
  </r>
  <r>
    <s v="HC-00624"/>
    <s v="P-0649"/>
    <s v="Female"/>
    <n v="33"/>
    <x v="1"/>
    <s v="General Consultation"/>
    <d v="2025-06-24T00:00:00"/>
    <d v="2025-08-16T00:00:00"/>
    <s v="Saturday"/>
    <s v="Evening"/>
    <x v="2"/>
    <n v="53"/>
    <n v="1"/>
    <x v="0"/>
    <x v="1"/>
    <s v="None"/>
    <n v="13.5"/>
    <x v="19"/>
    <x v="0"/>
  </r>
  <r>
    <s v="HC-00625"/>
    <s v="P-1042"/>
    <s v="Female"/>
    <n v="79"/>
    <x v="4"/>
    <s v="Diagnostic Test"/>
    <d v="2025-11-14T00:00:00"/>
    <d v="2025-11-26T00:00:00"/>
    <s v="Wednesday"/>
    <s v="Evening"/>
    <x v="0"/>
    <n v="12"/>
    <n v="2"/>
    <x v="0"/>
    <x v="0"/>
    <s v="SMS"/>
    <n v="1.8"/>
    <x v="26"/>
    <x v="1"/>
  </r>
  <r>
    <s v="HC-00626"/>
    <s v="P-1630"/>
    <s v="Male"/>
    <n v="39"/>
    <x v="0"/>
    <s v="General Consultation"/>
    <d v="2025-03-26T00:00:00"/>
    <d v="2025-05-07T00:00:00"/>
    <s v="Wednesday"/>
    <s v="Morning"/>
    <x v="2"/>
    <n v="42"/>
    <n v="5"/>
    <x v="1"/>
    <x v="0"/>
    <s v="Email"/>
    <n v="9.1"/>
    <x v="10"/>
    <x v="0"/>
  </r>
  <r>
    <s v="HC-00627"/>
    <s v="P-0016"/>
    <s v="Female"/>
    <n v="35"/>
    <x v="0"/>
    <s v="General Consultation"/>
    <d v="2025-06-09T00:00:00"/>
    <d v="2025-07-04T00:00:00"/>
    <s v="Friday"/>
    <s v="Afternoon"/>
    <x v="3"/>
    <n v="25"/>
    <n v="2"/>
    <x v="0"/>
    <x v="0"/>
    <s v="SMS"/>
    <n v="8.3000000000000007"/>
    <x v="49"/>
    <x v="0"/>
  </r>
  <r>
    <s v="HC-00628"/>
    <s v="P-1174"/>
    <s v="Female"/>
    <n v="58"/>
    <x v="3"/>
    <s v="Follow-up"/>
    <d v="2025-07-18T00:00:00"/>
    <d v="2025-07-20T00:00:00"/>
    <s v="Sunday"/>
    <s v="Afternoon"/>
    <x v="1"/>
    <n v="2"/>
    <n v="2"/>
    <x v="0"/>
    <x v="0"/>
    <s v="WhatsApp"/>
    <n v="4.5"/>
    <x v="4"/>
    <x v="1"/>
  </r>
  <r>
    <s v="HC-00629"/>
    <s v="P-0433"/>
    <s v="Male"/>
    <n v="61"/>
    <x v="3"/>
    <s v="Follow-up"/>
    <d v="2025-09-06T00:00:00"/>
    <d v="2025-10-03T00:00:00"/>
    <s v="Friday"/>
    <s v="Afternoon"/>
    <x v="3"/>
    <n v="27"/>
    <n v="3"/>
    <x v="1"/>
    <x v="1"/>
    <s v="None"/>
    <n v="11.8"/>
    <x v="14"/>
    <x v="0"/>
  </r>
  <r>
    <s v="HC-00630"/>
    <s v="P-1105"/>
    <s v="Male"/>
    <n v="39"/>
    <x v="0"/>
    <s v="Follow-up"/>
    <d v="2025-07-19T00:00:00"/>
    <d v="2025-07-20T00:00:00"/>
    <s v="Sunday"/>
    <s v="Morning"/>
    <x v="1"/>
    <n v="1"/>
    <n v="4"/>
    <x v="0"/>
    <x v="0"/>
    <s v="SMS"/>
    <n v="12.5"/>
    <x v="5"/>
    <x v="1"/>
  </r>
  <r>
    <s v="HC-00631"/>
    <s v="P-1366"/>
    <s v="Male"/>
    <n v="26"/>
    <x v="1"/>
    <s v="Follow-up"/>
    <d v="2026-01-09T00:00:00"/>
    <d v="2026-02-07T00:00:00"/>
    <s v="Saturday"/>
    <s v="Afternoon"/>
    <x v="3"/>
    <n v="29"/>
    <n v="5"/>
    <x v="2"/>
    <x v="0"/>
    <s v="SMS"/>
    <n v="5.3"/>
    <x v="0"/>
    <x v="0"/>
  </r>
  <r>
    <s v="HC-00632"/>
    <s v="P-1338"/>
    <s v="Female"/>
    <n v="42"/>
    <x v="0"/>
    <s v="Diagnostic Test"/>
    <d v="2025-05-25T00:00:00"/>
    <d v="2025-06-28T00:00:00"/>
    <s v="Saturday"/>
    <s v="Afternoon"/>
    <x v="2"/>
    <n v="34"/>
    <n v="5"/>
    <x v="1"/>
    <x v="0"/>
    <s v="WhatsApp"/>
    <n v="6.5"/>
    <x v="17"/>
    <x v="0"/>
  </r>
  <r>
    <s v="HC-00633"/>
    <s v="P-0215"/>
    <s v="Female"/>
    <n v="52"/>
    <x v="2"/>
    <s v="Specialist Consultation"/>
    <d v="2025-07-25T00:00:00"/>
    <d v="2025-08-25T00:00:00"/>
    <s v="Monday"/>
    <s v="Morning"/>
    <x v="2"/>
    <n v="31"/>
    <n v="4"/>
    <x v="0"/>
    <x v="1"/>
    <s v="None"/>
    <n v="10.5"/>
    <x v="20"/>
    <x v="0"/>
  </r>
  <r>
    <s v="HC-00634"/>
    <s v="P-0909"/>
    <s v="Female"/>
    <n v="20"/>
    <x v="5"/>
    <s v="Specialist Consultation"/>
    <d v="2025-07-10T00:00:00"/>
    <d v="2025-07-27T00:00:00"/>
    <s v="Sunday"/>
    <s v="Afternoon"/>
    <x v="3"/>
    <n v="17"/>
    <n v="0"/>
    <x v="0"/>
    <x v="0"/>
    <s v="SMS"/>
    <n v="2.2000000000000002"/>
    <x v="13"/>
    <x v="2"/>
  </r>
  <r>
    <s v="HC-00635"/>
    <s v="P-1278"/>
    <s v="Male"/>
    <n v="22"/>
    <x v="5"/>
    <s v="General Consultation"/>
    <d v="2025-02-23T00:00:00"/>
    <d v="2025-04-10T00:00:00"/>
    <s v="Thursday"/>
    <s v="Morning"/>
    <x v="2"/>
    <n v="46"/>
    <n v="3"/>
    <x v="1"/>
    <x v="0"/>
    <s v="SMS"/>
    <n v="5.5"/>
    <x v="14"/>
    <x v="0"/>
  </r>
  <r>
    <s v="HC-00636"/>
    <s v="P-1282"/>
    <s v="Female"/>
    <n v="75"/>
    <x v="4"/>
    <s v="General Consultation"/>
    <d v="2025-12-05T00:00:00"/>
    <d v="2026-01-10T00:00:00"/>
    <s v="Saturday"/>
    <s v="Evening"/>
    <x v="2"/>
    <n v="36"/>
    <n v="1"/>
    <x v="0"/>
    <x v="1"/>
    <s v="None"/>
    <n v="5.8"/>
    <x v="22"/>
    <x v="1"/>
  </r>
  <r>
    <s v="HC-00637"/>
    <s v="P-0705"/>
    <s v="Female"/>
    <n v="20"/>
    <x v="5"/>
    <s v="Follow-up"/>
    <d v="2025-04-24T00:00:00"/>
    <d v="2025-05-09T00:00:00"/>
    <s v="Friday"/>
    <s v="Morning"/>
    <x v="3"/>
    <n v="15"/>
    <n v="2"/>
    <x v="1"/>
    <x v="0"/>
    <s v="SMS"/>
    <n v="6.8"/>
    <x v="49"/>
    <x v="1"/>
  </r>
  <r>
    <s v="HC-00638"/>
    <s v="P-1771"/>
    <s v="Prefer not to say"/>
    <n v="43"/>
    <x v="0"/>
    <s v="General Consultation"/>
    <d v="2025-05-17T00:00:00"/>
    <d v="2025-06-12T00:00:00"/>
    <s v="Thursday"/>
    <s v="Morning"/>
    <x v="3"/>
    <n v="26"/>
    <n v="7"/>
    <x v="2"/>
    <x v="0"/>
    <s v="WhatsApp"/>
    <n v="13.9"/>
    <x v="26"/>
    <x v="1"/>
  </r>
  <r>
    <s v="HC-00639"/>
    <s v="P-0405"/>
    <s v="Female"/>
    <n v="66"/>
    <x v="4"/>
    <s v="Specialist Consultation"/>
    <d v="2026-03-03T00:00:00"/>
    <d v="2026-03-09T00:00:00"/>
    <s v="Monday"/>
    <s v="Morning"/>
    <x v="1"/>
    <n v="6"/>
    <n v="4"/>
    <x v="0"/>
    <x v="0"/>
    <s v="SMS"/>
    <n v="13.3"/>
    <x v="8"/>
    <x v="0"/>
  </r>
  <r>
    <s v="HC-00640"/>
    <s v="P-1290"/>
    <s v="Female"/>
    <n v="38"/>
    <x v="0"/>
    <s v="General Consultation"/>
    <d v="2026-04-08T00:00:00"/>
    <d v="2026-06-03T00:00:00"/>
    <s v="Wednesday"/>
    <s v="Afternoon"/>
    <x v="2"/>
    <n v="56"/>
    <n v="2"/>
    <x v="0"/>
    <x v="0"/>
    <s v="WhatsApp"/>
    <n v="4.3"/>
    <x v="18"/>
    <x v="1"/>
  </r>
  <r>
    <s v="HC-00641"/>
    <s v="P-0407"/>
    <s v="Male"/>
    <n v="49"/>
    <x v="2"/>
    <s v="General Consultation"/>
    <d v="2025-11-18T00:00:00"/>
    <d v="2026-01-02T00:00:00"/>
    <s v="Friday"/>
    <s v="Afternoon"/>
    <x v="2"/>
    <n v="45"/>
    <n v="3"/>
    <x v="0"/>
    <x v="0"/>
    <s v="SMS"/>
    <n v="8.8000000000000007"/>
    <x v="15"/>
    <x v="0"/>
  </r>
  <r>
    <s v="HC-00642"/>
    <s v="P-1371"/>
    <s v="Female"/>
    <n v="23"/>
    <x v="5"/>
    <s v="General Consultation"/>
    <d v="2026-04-29T00:00:00"/>
    <d v="2026-05-16T00:00:00"/>
    <s v="Saturday"/>
    <s v="Morning"/>
    <x v="3"/>
    <n v="17"/>
    <n v="6"/>
    <x v="1"/>
    <x v="0"/>
    <s v="SMS"/>
    <n v="10.1"/>
    <x v="45"/>
    <x v="1"/>
  </r>
  <r>
    <s v="HC-00643"/>
    <s v="P-0656"/>
    <s v="Male"/>
    <n v="68"/>
    <x v="4"/>
    <s v="General Consultation"/>
    <d v="2026-03-02T00:00:00"/>
    <d v="2026-04-12T00:00:00"/>
    <s v="Sunday"/>
    <s v="Morning"/>
    <x v="2"/>
    <n v="41"/>
    <n v="3"/>
    <x v="2"/>
    <x v="0"/>
    <s v="WhatsApp"/>
    <n v="11.4"/>
    <x v="14"/>
    <x v="2"/>
  </r>
  <r>
    <s v="HC-00644"/>
    <s v="P-1261"/>
    <s v="Female"/>
    <n v="57"/>
    <x v="3"/>
    <s v="General Consultation"/>
    <d v="2025-08-10T00:00:00"/>
    <d v="2025-09-20T00:00:00"/>
    <s v="Saturday"/>
    <s v="Afternoon"/>
    <x v="2"/>
    <n v="41"/>
    <n v="1"/>
    <x v="0"/>
    <x v="0"/>
    <s v="SMS"/>
    <n v="3.3"/>
    <x v="18"/>
    <x v="1"/>
  </r>
  <r>
    <s v="HC-00645"/>
    <s v="P-0178"/>
    <s v="Male"/>
    <n v="71"/>
    <x v="4"/>
    <s v="Follow-up"/>
    <d v="2026-01-19T00:00:00"/>
    <d v="2026-02-25T00:00:00"/>
    <s v="Wednesday"/>
    <s v="Morning"/>
    <x v="2"/>
    <n v="37"/>
    <n v="2"/>
    <x v="1"/>
    <x v="0"/>
    <s v="Email"/>
    <n v="1.2"/>
    <x v="12"/>
    <x v="1"/>
  </r>
  <r>
    <s v="HC-00646"/>
    <s v="P-1149"/>
    <s v="Female"/>
    <n v="72"/>
    <x v="4"/>
    <s v="Follow-up"/>
    <d v="2025-06-26T00:00:00"/>
    <d v="2025-06-29T00:00:00"/>
    <s v="Sunday"/>
    <s v="Morning"/>
    <x v="1"/>
    <n v="3"/>
    <n v="4"/>
    <x v="1"/>
    <x v="0"/>
    <s v="WhatsApp"/>
    <n v="26"/>
    <x v="12"/>
    <x v="0"/>
  </r>
  <r>
    <s v="HC-00647"/>
    <s v="P-1043"/>
    <s v="Male"/>
    <n v="40"/>
    <x v="0"/>
    <s v="General Consultation"/>
    <d v="2025-07-18T00:00:00"/>
    <d v="2025-09-09T00:00:00"/>
    <s v="Tuesday"/>
    <s v="Evening"/>
    <x v="2"/>
    <n v="53"/>
    <n v="1"/>
    <x v="0"/>
    <x v="0"/>
    <s v="SMS"/>
    <n v="4.9000000000000004"/>
    <x v="19"/>
    <x v="1"/>
  </r>
  <r>
    <s v="HC-00648"/>
    <s v="P-1150"/>
    <s v="Male"/>
    <n v="20"/>
    <x v="5"/>
    <s v="General Consultation"/>
    <d v="2025-08-23T00:00:00"/>
    <d v="2025-10-20T00:00:00"/>
    <s v="Monday"/>
    <s v="Morning"/>
    <x v="2"/>
    <n v="58"/>
    <n v="2"/>
    <x v="0"/>
    <x v="1"/>
    <s v="None"/>
    <n v="7.9"/>
    <x v="20"/>
    <x v="1"/>
  </r>
  <r>
    <s v="HC-00649"/>
    <s v="P-1733"/>
    <s v="Male"/>
    <n v="39"/>
    <x v="0"/>
    <s v="Specialist Consultation"/>
    <d v="2026-04-11T00:00:00"/>
    <d v="2026-06-09T00:00:00"/>
    <s v="Tuesday"/>
    <s v="Afternoon"/>
    <x v="2"/>
    <n v="59"/>
    <n v="2"/>
    <x v="0"/>
    <x v="0"/>
    <s v="SMS"/>
    <n v="10.3"/>
    <x v="26"/>
    <x v="0"/>
  </r>
  <r>
    <s v="HC-00650"/>
    <s v="P-1776"/>
    <s v="Male"/>
    <n v="27"/>
    <x v="1"/>
    <s v="General Consultation"/>
    <d v="2026-02-09T00:00:00"/>
    <d v="2026-04-09T00:00:00"/>
    <s v="Thursday"/>
    <s v="Morning"/>
    <x v="2"/>
    <n v="59"/>
    <n v="5"/>
    <x v="1"/>
    <x v="0"/>
    <s v="SMS"/>
    <n v="7.7"/>
    <x v="9"/>
    <x v="0"/>
  </r>
  <r>
    <s v="HC-00651"/>
    <s v="P-0932"/>
    <s v="Male"/>
    <n v="51"/>
    <x v="2"/>
    <s v="Follow-up"/>
    <d v="2025-07-31T00:00:00"/>
    <d v="2025-09-25T00:00:00"/>
    <s v="Thursday"/>
    <s v="Afternoon"/>
    <x v="2"/>
    <n v="56"/>
    <n v="0"/>
    <x v="0"/>
    <x v="0"/>
    <s v="SMS"/>
    <n v="8.1"/>
    <x v="9"/>
    <x v="1"/>
  </r>
  <r>
    <s v="HC-00652"/>
    <s v="P-1187"/>
    <s v="Female"/>
    <n v="27"/>
    <x v="1"/>
    <s v="Follow-up"/>
    <d v="2025-11-08T00:00:00"/>
    <d v="2025-12-23T00:00:00"/>
    <s v="Tuesday"/>
    <s v="Afternoon"/>
    <x v="2"/>
    <n v="45"/>
    <n v="3"/>
    <x v="0"/>
    <x v="1"/>
    <s v="None"/>
    <n v="10"/>
    <x v="52"/>
    <x v="0"/>
  </r>
  <r>
    <s v="HC-00653"/>
    <s v="P-0199"/>
    <s v="Female"/>
    <n v="76"/>
    <x v="4"/>
    <s v="Follow-up"/>
    <d v="2025-04-18T00:00:00"/>
    <d v="2025-04-21T00:00:00"/>
    <s v="Monday"/>
    <s v="Morning"/>
    <x v="1"/>
    <n v="3"/>
    <n v="3"/>
    <x v="2"/>
    <x v="0"/>
    <s v="SMS"/>
    <n v="4.5999999999999996"/>
    <x v="39"/>
    <x v="1"/>
  </r>
  <r>
    <s v="HC-00654"/>
    <s v="P-0084"/>
    <s v="Female"/>
    <n v="55"/>
    <x v="3"/>
    <s v="Diagnostic Test"/>
    <d v="2026-02-16T00:00:00"/>
    <d v="2026-03-16T00:00:00"/>
    <s v="Monday"/>
    <s v="Afternoon"/>
    <x v="3"/>
    <n v="28"/>
    <n v="3"/>
    <x v="1"/>
    <x v="0"/>
    <s v="SMS"/>
    <n v="4.7"/>
    <x v="10"/>
    <x v="0"/>
  </r>
  <r>
    <s v="HC-00655"/>
    <s v="P-0677"/>
    <s v="Female"/>
    <n v="33"/>
    <x v="1"/>
    <s v="Follow-up"/>
    <d v="2025-10-15T00:00:00"/>
    <d v="2025-10-29T00:00:00"/>
    <s v="Wednesday"/>
    <s v="Evening"/>
    <x v="0"/>
    <n v="14"/>
    <n v="2"/>
    <x v="0"/>
    <x v="0"/>
    <s v="Email"/>
    <n v="4.9000000000000004"/>
    <x v="12"/>
    <x v="0"/>
  </r>
  <r>
    <s v="HC-00656"/>
    <s v="P-0382"/>
    <s v="Female"/>
    <n v="76"/>
    <x v="4"/>
    <s v="Diagnostic Test"/>
    <d v="2025-10-05T00:00:00"/>
    <d v="2025-10-18T00:00:00"/>
    <s v="Saturday"/>
    <s v="Afternoon"/>
    <x v="0"/>
    <n v="13"/>
    <n v="2"/>
    <x v="0"/>
    <x v="0"/>
    <s v="SMS"/>
    <m/>
    <x v="9"/>
    <x v="1"/>
  </r>
  <r>
    <s v="HC-00657"/>
    <s v="P-0944"/>
    <s v="Male"/>
    <n v="66"/>
    <x v="4"/>
    <s v="Specialist Consultation"/>
    <d v="2026-01-04T00:00:00"/>
    <d v="2026-02-23T00:00:00"/>
    <s v="Monday"/>
    <s v="Morning"/>
    <x v="2"/>
    <n v="50"/>
    <n v="3"/>
    <x v="0"/>
    <x v="1"/>
    <s v="None"/>
    <n v="12.6"/>
    <x v="42"/>
    <x v="0"/>
  </r>
  <r>
    <s v="HC-00658"/>
    <s v="P-0497"/>
    <s v="Male"/>
    <n v="45"/>
    <x v="2"/>
    <s v="General Consultation"/>
    <d v="2025-10-24T00:00:00"/>
    <d v="2025-12-12T00:00:00"/>
    <s v="Friday"/>
    <s v="Morning"/>
    <x v="2"/>
    <n v="49"/>
    <n v="3"/>
    <x v="1"/>
    <x v="0"/>
    <s v="SMS"/>
    <n v="4.2"/>
    <x v="25"/>
    <x v="2"/>
  </r>
  <r>
    <s v="HC-00659"/>
    <s v="P-0723"/>
    <s v="Male"/>
    <n v="27"/>
    <x v="1"/>
    <s v="General Consultation"/>
    <d v="2025-01-09T00:00:00"/>
    <d v="2025-02-09T00:00:00"/>
    <s v="Sunday"/>
    <s v="Evening"/>
    <x v="2"/>
    <n v="31"/>
    <n v="0"/>
    <x v="0"/>
    <x v="0"/>
    <s v="SMS"/>
    <n v="4.5999999999999996"/>
    <x v="10"/>
    <x v="1"/>
  </r>
  <r>
    <s v="HC-00660"/>
    <s v="P-1224"/>
    <s v="Female"/>
    <n v="39"/>
    <x v="0"/>
    <s v="General Consultation"/>
    <d v="2025-04-24T00:00:00"/>
    <d v="2025-06-07T00:00:00"/>
    <s v="Saturday"/>
    <s v="Morning"/>
    <x v="2"/>
    <n v="44"/>
    <n v="4"/>
    <x v="0"/>
    <x v="0"/>
    <s v="SMS"/>
    <n v="11.8"/>
    <x v="20"/>
    <x v="1"/>
  </r>
  <r>
    <s v="HC-00661"/>
    <s v="P-0751"/>
    <s v="Male"/>
    <n v="54"/>
    <x v="2"/>
    <s v="General Consultation"/>
    <d v="2025-03-31T00:00:00"/>
    <d v="2025-04-07T00:00:00"/>
    <s v="Monday"/>
    <s v="Morning"/>
    <x v="1"/>
    <n v="7"/>
    <n v="3"/>
    <x v="0"/>
    <x v="0"/>
    <s v="SMS"/>
    <n v="13.9"/>
    <x v="14"/>
    <x v="0"/>
  </r>
  <r>
    <s v="HC-00662"/>
    <s v="P-0294"/>
    <s v="Male"/>
    <n v="66"/>
    <x v="4"/>
    <s v="Follow-up"/>
    <d v="2026-01-24T00:00:00"/>
    <d v="2026-02-06T00:00:00"/>
    <s v="Friday"/>
    <s v="Morning"/>
    <x v="0"/>
    <n v="13"/>
    <n v="0"/>
    <x v="0"/>
    <x v="0"/>
    <s v="WhatsApp"/>
    <n v="15"/>
    <x v="42"/>
    <x v="1"/>
  </r>
  <r>
    <s v="HC-00663"/>
    <s v="P-0880"/>
    <s v="Prefer not to say"/>
    <n v="34"/>
    <x v="1"/>
    <s v="General Consultation"/>
    <d v="2024-11-29T00:00:00"/>
    <d v="2025-01-20T00:00:00"/>
    <s v="Monday"/>
    <s v="Afternoon"/>
    <x v="2"/>
    <n v="52"/>
    <n v="3"/>
    <x v="2"/>
    <x v="0"/>
    <s v="WhatsApp"/>
    <n v="5"/>
    <x v="53"/>
    <x v="0"/>
  </r>
  <r>
    <s v="HC-00664"/>
    <s v="P-1608"/>
    <s v="Male"/>
    <n v="64"/>
    <x v="3"/>
    <s v="General Consultation"/>
    <d v="2025-03-25T00:00:00"/>
    <d v="2025-04-21T00:00:00"/>
    <s v="Monday"/>
    <s v="Morning"/>
    <x v="3"/>
    <n v="27"/>
    <n v="4"/>
    <x v="1"/>
    <x v="1"/>
    <s v="None"/>
    <n v="11.1"/>
    <x v="15"/>
    <x v="1"/>
  </r>
  <r>
    <s v="HC-00665"/>
    <s v="P-1420"/>
    <s v="Female"/>
    <n v="35"/>
    <x v="0"/>
    <s v="General Consultation"/>
    <d v="2025-10-21T00:00:00"/>
    <d v="2025-11-23T00:00:00"/>
    <s v="Sunday"/>
    <s v="Morning"/>
    <x v="2"/>
    <n v="33"/>
    <n v="2"/>
    <x v="0"/>
    <x v="1"/>
    <s v="None"/>
    <n v="22"/>
    <x v="49"/>
    <x v="1"/>
  </r>
  <r>
    <s v="HC-00666"/>
    <s v="P-0304"/>
    <s v="Female"/>
    <n v="33"/>
    <x v="1"/>
    <s v="Follow-up"/>
    <d v="2025-12-18T00:00:00"/>
    <d v="2026-01-15T00:00:00"/>
    <s v="Thursday"/>
    <s v="Afternoon"/>
    <x v="3"/>
    <n v="28"/>
    <n v="5"/>
    <x v="3"/>
    <x v="0"/>
    <s v="WhatsApp"/>
    <n v="5.9"/>
    <x v="37"/>
    <x v="0"/>
  </r>
  <r>
    <s v="HC-00667"/>
    <s v="P-1479"/>
    <s v="Male"/>
    <n v="46"/>
    <x v="2"/>
    <s v="Follow-up"/>
    <d v="2025-09-20T00:00:00"/>
    <d v="2025-10-02T00:00:00"/>
    <s v="Thursday"/>
    <s v="Morning"/>
    <x v="0"/>
    <n v="12"/>
    <n v="4"/>
    <x v="0"/>
    <x v="0"/>
    <s v="SMS"/>
    <n v="13.2"/>
    <x v="17"/>
    <x v="1"/>
  </r>
  <r>
    <s v="HC-00668"/>
    <s v="P-1509"/>
    <s v="Male"/>
    <n v="28"/>
    <x v="1"/>
    <s v="Diagnostic Test"/>
    <d v="2026-02-24T00:00:00"/>
    <d v="2026-04-15T00:00:00"/>
    <s v="Wednesday"/>
    <s v="Morning"/>
    <x v="2"/>
    <n v="50"/>
    <n v="3"/>
    <x v="2"/>
    <x v="0"/>
    <s v="SMS"/>
    <n v="9.1"/>
    <x v="9"/>
    <x v="0"/>
  </r>
  <r>
    <s v="HC-00669"/>
    <s v="P-1191"/>
    <s v="Male"/>
    <n v="43"/>
    <x v="0"/>
    <s v="General Consultation"/>
    <d v="2026-04-01T00:00:00"/>
    <d v="2026-05-17T00:00:00"/>
    <s v="Sunday"/>
    <s v="Afternoon"/>
    <x v="2"/>
    <n v="46"/>
    <n v="1"/>
    <x v="1"/>
    <x v="1"/>
    <s v="None"/>
    <n v="28.7"/>
    <x v="12"/>
    <x v="0"/>
  </r>
  <r>
    <s v="HC-00670"/>
    <s v="P-1650"/>
    <s v="Male"/>
    <n v="40"/>
    <x v="0"/>
    <s v="General Consultation"/>
    <d v="2025-02-01T00:00:00"/>
    <d v="2025-03-14T00:00:00"/>
    <s v="Friday"/>
    <s v="Morning"/>
    <x v="2"/>
    <n v="41"/>
    <n v="5"/>
    <x v="1"/>
    <x v="0"/>
    <s v="SMS"/>
    <n v="1.2"/>
    <x v="9"/>
    <x v="0"/>
  </r>
  <r>
    <s v="HC-00671"/>
    <s v="P-1034"/>
    <s v="Male"/>
    <n v="35"/>
    <x v="0"/>
    <s v="Diagnostic Test"/>
    <d v="2026-05-15T00:00:00"/>
    <d v="2026-06-05T00:00:00"/>
    <s v="Friday"/>
    <s v="Evening"/>
    <x v="3"/>
    <n v="21"/>
    <n v="3"/>
    <x v="0"/>
    <x v="1"/>
    <s v="None"/>
    <n v="10"/>
    <x v="13"/>
    <x v="0"/>
  </r>
  <r>
    <s v="HC-00672"/>
    <s v="P-1786"/>
    <s v="Male"/>
    <n v="66"/>
    <x v="4"/>
    <s v="Follow-up"/>
    <d v="2025-10-24T00:00:00"/>
    <d v="2025-12-02T00:00:00"/>
    <s v="Tuesday"/>
    <s v="Morning"/>
    <x v="2"/>
    <n v="39"/>
    <n v="6"/>
    <x v="2"/>
    <x v="0"/>
    <s v="SMS"/>
    <n v="18.7"/>
    <x v="10"/>
    <x v="0"/>
  </r>
  <r>
    <s v="HC-00673"/>
    <s v="P-0213"/>
    <s v="Male"/>
    <n v="38"/>
    <x v="0"/>
    <s v="Follow-up"/>
    <d v="2025-10-17T00:00:00"/>
    <d v="2025-12-14T00:00:00"/>
    <s v="Sunday"/>
    <s v="Afternoon"/>
    <x v="2"/>
    <n v="58"/>
    <n v="5"/>
    <x v="0"/>
    <x v="0"/>
    <s v="WhatsApp"/>
    <n v="4"/>
    <x v="35"/>
    <x v="0"/>
  </r>
  <r>
    <s v="HC-00674"/>
    <s v="P-0029"/>
    <s v="Male"/>
    <n v="61"/>
    <x v="3"/>
    <s v="Follow-up"/>
    <d v="2025-01-13T00:00:00"/>
    <d v="2025-02-21T00:00:00"/>
    <s v="Friday"/>
    <s v="Afternoon"/>
    <x v="2"/>
    <n v="39"/>
    <n v="3"/>
    <x v="0"/>
    <x v="0"/>
    <s v="SMS"/>
    <n v="13.4"/>
    <x v="13"/>
    <x v="0"/>
  </r>
  <r>
    <s v="HC-00675"/>
    <s v="P-0752"/>
    <s v="Female"/>
    <n v="63"/>
    <x v="3"/>
    <s v="General Consultation"/>
    <d v="2025-11-06T00:00:00"/>
    <d v="2025-12-06T00:00:00"/>
    <s v="Saturday"/>
    <s v="Morning"/>
    <x v="3"/>
    <n v="30"/>
    <n v="3"/>
    <x v="0"/>
    <x v="0"/>
    <s v="Email"/>
    <n v="6"/>
    <x v="45"/>
    <x v="1"/>
  </r>
  <r>
    <s v="HC-00676"/>
    <s v="P-0867"/>
    <s v="Female"/>
    <n v="59"/>
    <x v="3"/>
    <s v="Diagnostic Test"/>
    <d v="2026-01-16T00:00:00"/>
    <d v="2026-02-01T00:00:00"/>
    <s v="Sunday"/>
    <s v="Morning"/>
    <x v="3"/>
    <n v="16"/>
    <n v="3"/>
    <x v="0"/>
    <x v="0"/>
    <s v="Email"/>
    <n v="1.9"/>
    <x v="26"/>
    <x v="1"/>
  </r>
  <r>
    <s v="HC-00677"/>
    <s v="P-1029"/>
    <s v="Female"/>
    <n v="34"/>
    <x v="1"/>
    <s v="Follow-up"/>
    <d v="2025-10-14T00:00:00"/>
    <d v="2025-11-14T00:00:00"/>
    <s v="Friday"/>
    <s v="Afternoon"/>
    <x v="2"/>
    <n v="31"/>
    <n v="1"/>
    <x v="0"/>
    <x v="0"/>
    <s v="SMS"/>
    <n v="5.9"/>
    <x v="18"/>
    <x v="1"/>
  </r>
  <r>
    <s v="HC-00678"/>
    <s v="P-1424"/>
    <s v="Female"/>
    <n v="70"/>
    <x v="4"/>
    <s v="Follow-up"/>
    <d v="2025-01-25T00:00:00"/>
    <d v="2025-02-16T00:00:00"/>
    <s v="Sunday"/>
    <s v="Morning"/>
    <x v="3"/>
    <n v="22"/>
    <n v="0"/>
    <x v="0"/>
    <x v="0"/>
    <s v="WhatsApp"/>
    <n v="4.2"/>
    <x v="19"/>
    <x v="0"/>
  </r>
  <r>
    <s v="HC-00679"/>
    <s v="P-1382"/>
    <s v="Male"/>
    <n v="32"/>
    <x v="1"/>
    <s v="Follow-up"/>
    <d v="2025-09-06T00:00:00"/>
    <d v="2025-10-13T00:00:00"/>
    <s v="Monday"/>
    <s v="Morning"/>
    <x v="2"/>
    <n v="37"/>
    <n v="4"/>
    <x v="0"/>
    <x v="0"/>
    <s v="Email"/>
    <n v="16"/>
    <x v="14"/>
    <x v="0"/>
  </r>
  <r>
    <s v="HC-00680"/>
    <s v="P-1658"/>
    <s v="Male"/>
    <n v="35"/>
    <x v="0"/>
    <s v="General Consultation"/>
    <d v="2026-05-25T00:00:00"/>
    <d v="2026-05-27T00:00:00"/>
    <s v="Wednesday"/>
    <s v="Evening"/>
    <x v="1"/>
    <n v="2"/>
    <n v="5"/>
    <x v="1"/>
    <x v="1"/>
    <s v="None"/>
    <n v="29"/>
    <x v="6"/>
    <x v="1"/>
  </r>
  <r>
    <s v="HC-00681"/>
    <s v="P-0536"/>
    <s v="Female"/>
    <n v="73"/>
    <x v="4"/>
    <s v="General Consultation"/>
    <d v="2026-01-19T00:00:00"/>
    <d v="2026-01-30T00:00:00"/>
    <s v="Friday"/>
    <s v="Afternoon"/>
    <x v="0"/>
    <n v="11"/>
    <n v="1"/>
    <x v="0"/>
    <x v="0"/>
    <s v="SMS"/>
    <n v="6.2"/>
    <x v="46"/>
    <x v="1"/>
  </r>
  <r>
    <s v="HC-00682"/>
    <s v="P-0928"/>
    <s v="Female"/>
    <n v="39"/>
    <x v="0"/>
    <s v="Specialist Consultation"/>
    <d v="2025-01-28T00:00:00"/>
    <d v="2025-03-17T00:00:00"/>
    <s v="Monday"/>
    <s v="Evening"/>
    <x v="2"/>
    <n v="48"/>
    <n v="2"/>
    <x v="0"/>
    <x v="0"/>
    <s v="Email"/>
    <n v="5.9"/>
    <x v="12"/>
    <x v="0"/>
  </r>
  <r>
    <s v="HC-00683"/>
    <s v="P-1126"/>
    <s v="Female"/>
    <n v="61"/>
    <x v="3"/>
    <s v="Follow-up"/>
    <d v="2026-05-17T00:00:00"/>
    <d v="2026-06-09T00:00:00"/>
    <s v="Tuesday"/>
    <s v="Morning"/>
    <x v="3"/>
    <n v="23"/>
    <n v="2"/>
    <x v="1"/>
    <x v="1"/>
    <s v="None"/>
    <n v="1.5"/>
    <x v="8"/>
    <x v="0"/>
  </r>
  <r>
    <s v="HC-00684"/>
    <s v="P-0434"/>
    <s v="Male"/>
    <n v="20"/>
    <x v="5"/>
    <s v="General Consultation"/>
    <d v="2026-05-13T00:00:00"/>
    <d v="2026-06-08T00:00:00"/>
    <s v="Monday"/>
    <s v="Morning"/>
    <x v="3"/>
    <n v="26"/>
    <n v="3"/>
    <x v="1"/>
    <x v="0"/>
    <s v="SMS"/>
    <n v="15.1"/>
    <x v="9"/>
    <x v="0"/>
  </r>
  <r>
    <s v="HC-00685"/>
    <s v="P-0990"/>
    <s v="Male"/>
    <n v="56"/>
    <x v="3"/>
    <s v="General Consultation"/>
    <d v="2025-03-01T00:00:00"/>
    <d v="2025-04-03T00:00:00"/>
    <s v="Thursday"/>
    <s v="Afternoon"/>
    <x v="2"/>
    <n v="33"/>
    <n v="0"/>
    <x v="0"/>
    <x v="0"/>
    <s v="WhatsApp"/>
    <n v="20.7"/>
    <x v="23"/>
    <x v="2"/>
  </r>
  <r>
    <s v="HC-00686"/>
    <s v="P-0628"/>
    <s v="Female"/>
    <n v="72"/>
    <x v="4"/>
    <s v="Diagnostic Test"/>
    <d v="2026-02-16T00:00:00"/>
    <d v="2026-03-14T00:00:00"/>
    <s v="Saturday"/>
    <s v="Morning"/>
    <x v="3"/>
    <n v="26"/>
    <n v="3"/>
    <x v="1"/>
    <x v="0"/>
    <s v="SMS"/>
    <n v="11.9"/>
    <x v="43"/>
    <x v="0"/>
  </r>
  <r>
    <s v="HC-00687"/>
    <s v="P-0667"/>
    <s v="Female"/>
    <n v="62"/>
    <x v="3"/>
    <s v="General Consultation"/>
    <d v="2025-06-26T00:00:00"/>
    <d v="2025-08-11T00:00:00"/>
    <s v="Monday"/>
    <s v="Morning"/>
    <x v="2"/>
    <n v="46"/>
    <n v="3"/>
    <x v="1"/>
    <x v="0"/>
    <s v="SMS"/>
    <n v="5.7"/>
    <x v="23"/>
    <x v="0"/>
  </r>
  <r>
    <s v="HC-00688"/>
    <s v="P-0728"/>
    <s v="Male"/>
    <n v="54"/>
    <x v="2"/>
    <s v="General Consultation"/>
    <d v="2025-11-07T00:00:00"/>
    <d v="2025-11-21T00:00:00"/>
    <s v="Friday"/>
    <s v="Morning"/>
    <x v="0"/>
    <n v="14"/>
    <n v="0"/>
    <x v="0"/>
    <x v="1"/>
    <s v="None"/>
    <n v="10.3"/>
    <x v="21"/>
    <x v="1"/>
  </r>
  <r>
    <s v="HC-00689"/>
    <s v="P-0896"/>
    <s v="Male"/>
    <n v="71"/>
    <x v="4"/>
    <s v="Follow-up"/>
    <d v="2025-07-17T00:00:00"/>
    <d v="2025-09-01T00:00:00"/>
    <s v="Monday"/>
    <s v="Morning"/>
    <x v="2"/>
    <n v="46"/>
    <n v="4"/>
    <x v="0"/>
    <x v="0"/>
    <s v="SMS"/>
    <n v="14.8"/>
    <x v="35"/>
    <x v="0"/>
  </r>
  <r>
    <s v="HC-00690"/>
    <s v="P-1427"/>
    <s v="Male"/>
    <n v="36"/>
    <x v="0"/>
    <s v="Specialist Consultation"/>
    <d v="2026-02-20T00:00:00"/>
    <d v="2026-03-04T00:00:00"/>
    <s v="Wednesday"/>
    <s v="Afternoon"/>
    <x v="0"/>
    <n v="12"/>
    <n v="2"/>
    <x v="0"/>
    <x v="0"/>
    <s v="SMS"/>
    <n v="7.7"/>
    <x v="13"/>
    <x v="2"/>
  </r>
  <r>
    <s v="HC-00691"/>
    <s v="P-0130"/>
    <s v="Male"/>
    <n v="41"/>
    <x v="0"/>
    <s v="Follow-up"/>
    <d v="2026-06-07T00:00:00"/>
    <d v="2026-06-29T00:00:00"/>
    <s v="Monday"/>
    <s v="Morning"/>
    <x v="3"/>
    <n v="22"/>
    <n v="3"/>
    <x v="0"/>
    <x v="0"/>
    <s v="Email"/>
    <n v="12.6"/>
    <x v="0"/>
    <x v="0"/>
  </r>
  <r>
    <s v="HC-00692"/>
    <s v="P-1682"/>
    <s v="Female"/>
    <n v="22"/>
    <x v="5"/>
    <s v="Specialist Consultation"/>
    <d v="2026-02-04T00:00:00"/>
    <d v="2026-03-11T00:00:00"/>
    <s v="Wednesday"/>
    <s v="Evening"/>
    <x v="2"/>
    <n v="35"/>
    <n v="2"/>
    <x v="1"/>
    <x v="0"/>
    <s v="WhatsApp"/>
    <n v="6.5"/>
    <x v="12"/>
    <x v="0"/>
  </r>
  <r>
    <s v="HC-00693"/>
    <s v="P-0380"/>
    <s v="Female"/>
    <n v="61"/>
    <x v="3"/>
    <s v="General Consultation"/>
    <d v="2026-03-31T00:00:00"/>
    <d v="2026-05-24T00:00:00"/>
    <s v="Sunday"/>
    <s v="Morning"/>
    <x v="2"/>
    <n v="54"/>
    <n v="3"/>
    <x v="1"/>
    <x v="0"/>
    <s v="WhatsApp"/>
    <n v="2.9"/>
    <x v="8"/>
    <x v="0"/>
  </r>
  <r>
    <s v="HC-00694"/>
    <s v="P-0827"/>
    <s v="Female"/>
    <n v="63"/>
    <x v="3"/>
    <s v="Diagnostic Test"/>
    <d v="2026-05-18T00:00:00"/>
    <d v="2026-06-01T00:00:00"/>
    <s v="Monday"/>
    <s v="Morning"/>
    <x v="0"/>
    <n v="14"/>
    <n v="3"/>
    <x v="0"/>
    <x v="1"/>
    <s v="None"/>
    <n v="14.3"/>
    <x v="0"/>
    <x v="0"/>
  </r>
  <r>
    <s v="HC-00695"/>
    <s v="P-1333"/>
    <s v="Female"/>
    <n v="65"/>
    <x v="4"/>
    <s v="Diagnostic Test"/>
    <d v="2025-01-15T00:00:00"/>
    <d v="2025-02-19T00:00:00"/>
    <s v="Wednesday"/>
    <s v="Morning"/>
    <x v="2"/>
    <n v="35"/>
    <n v="0"/>
    <x v="0"/>
    <x v="0"/>
    <s v="WhatsApp"/>
    <n v="9.4"/>
    <x v="23"/>
    <x v="1"/>
  </r>
  <r>
    <s v="HC-00696"/>
    <s v="P-1726"/>
    <s v="Female"/>
    <n v="65"/>
    <x v="4"/>
    <s v="Follow-up"/>
    <d v="2025-05-16T00:00:00"/>
    <d v="2025-05-19T00:00:00"/>
    <s v="Monday"/>
    <s v="Afternoon"/>
    <x v="1"/>
    <n v="3"/>
    <n v="3"/>
    <x v="1"/>
    <x v="0"/>
    <s v="WhatsApp"/>
    <n v="10.3"/>
    <x v="39"/>
    <x v="1"/>
  </r>
  <r>
    <s v="HC-00697"/>
    <s v="P-0062"/>
    <s v="Female"/>
    <n v="26"/>
    <x v="1"/>
    <s v="Follow-up"/>
    <d v="2026-01-26T00:00:00"/>
    <d v="2026-01-30T00:00:00"/>
    <s v="Friday"/>
    <s v="Evening"/>
    <x v="1"/>
    <n v="4"/>
    <n v="3"/>
    <x v="2"/>
    <x v="0"/>
    <s v="SMS"/>
    <n v="15.7"/>
    <x v="4"/>
    <x v="0"/>
  </r>
  <r>
    <s v="HC-00698"/>
    <s v="P-1247"/>
    <s v="Female"/>
    <n v="59"/>
    <x v="3"/>
    <s v="General Consultation"/>
    <d v="2025-10-04T00:00:00"/>
    <d v="2025-11-19T00:00:00"/>
    <s v="Wednesday"/>
    <s v="Afternoon"/>
    <x v="2"/>
    <n v="46"/>
    <n v="5"/>
    <x v="2"/>
    <x v="0"/>
    <s v="SMS"/>
    <n v="4.4000000000000004"/>
    <x v="7"/>
    <x v="0"/>
  </r>
  <r>
    <s v="HC-00699"/>
    <s v="P-0994"/>
    <s v="Male"/>
    <n v="66"/>
    <x v="4"/>
    <s v="Follow-up"/>
    <d v="2024-12-16T00:00:00"/>
    <d v="2025-01-28T00:00:00"/>
    <s v="Tuesday"/>
    <s v="Morning"/>
    <x v="2"/>
    <n v="43"/>
    <n v="4"/>
    <x v="1"/>
    <x v="0"/>
    <s v="SMS"/>
    <n v="5.9"/>
    <x v="8"/>
    <x v="1"/>
  </r>
  <r>
    <s v="HC-00700"/>
    <s v="P-0833"/>
    <s v="Female"/>
    <n v="30"/>
    <x v="1"/>
    <s v="General Consultation"/>
    <d v="2025-01-30T00:00:00"/>
    <d v="2025-02-21T00:00:00"/>
    <s v="Friday"/>
    <s v="Morning"/>
    <x v="3"/>
    <n v="22"/>
    <n v="3"/>
    <x v="1"/>
    <x v="0"/>
    <s v="SMS"/>
    <n v="20.5"/>
    <x v="2"/>
    <x v="1"/>
  </r>
  <r>
    <s v="HC-00701"/>
    <s v="P-0775"/>
    <s v="Male"/>
    <n v="48"/>
    <x v="2"/>
    <s v="General Consultation"/>
    <d v="2025-09-04T00:00:00"/>
    <d v="2025-10-12T00:00:00"/>
    <s v="Sunday"/>
    <s v="Afternoon"/>
    <x v="2"/>
    <n v="38"/>
    <n v="4"/>
    <x v="0"/>
    <x v="0"/>
    <s v="WhatsApp"/>
    <n v="10"/>
    <x v="18"/>
    <x v="0"/>
  </r>
  <r>
    <s v="HC-00702"/>
    <s v="P-0194"/>
    <s v="Female"/>
    <n v="75"/>
    <x v="4"/>
    <s v="Diagnostic Test"/>
    <d v="2025-11-10T00:00:00"/>
    <d v="2025-12-03T00:00:00"/>
    <s v="Wednesday"/>
    <s v="Morning"/>
    <x v="3"/>
    <n v="23"/>
    <n v="4"/>
    <x v="0"/>
    <x v="0"/>
    <s v="SMS"/>
    <n v="14.8"/>
    <x v="11"/>
    <x v="1"/>
  </r>
  <r>
    <s v="HC-00703"/>
    <s v="P-0201"/>
    <s v="Female"/>
    <n v="44"/>
    <x v="0"/>
    <s v="General Consultation"/>
    <d v="2025-03-17T00:00:00"/>
    <d v="2025-04-02T00:00:00"/>
    <s v="Wednesday"/>
    <s v="Afternoon"/>
    <x v="3"/>
    <n v="16"/>
    <n v="6"/>
    <x v="0"/>
    <x v="0"/>
    <s v="SMS"/>
    <n v="8.6999999999999993"/>
    <x v="19"/>
    <x v="0"/>
  </r>
  <r>
    <s v="HC-00704"/>
    <s v="P-0910"/>
    <s v="Female"/>
    <n v="65"/>
    <x v="4"/>
    <s v="Follow-up"/>
    <d v="2025-03-09T00:00:00"/>
    <d v="2025-04-04T00:00:00"/>
    <s v="Friday"/>
    <s v="Morning"/>
    <x v="3"/>
    <n v="26"/>
    <n v="0"/>
    <x v="0"/>
    <x v="0"/>
    <s v="WhatsApp"/>
    <n v="12.5"/>
    <x v="54"/>
    <x v="2"/>
  </r>
  <r>
    <s v="HC-00705"/>
    <s v="P-1380"/>
    <s v="Female"/>
    <n v="51"/>
    <x v="2"/>
    <s v="General Consultation"/>
    <d v="2025-02-21T00:00:00"/>
    <d v="2025-03-12T00:00:00"/>
    <s v="Wednesday"/>
    <s v="Morning"/>
    <x v="3"/>
    <n v="19"/>
    <n v="0"/>
    <x v="0"/>
    <x v="0"/>
    <s v="WhatsApp"/>
    <n v="12.8"/>
    <x v="48"/>
    <x v="1"/>
  </r>
  <r>
    <s v="HC-00706"/>
    <s v="P-0706"/>
    <s v="Female"/>
    <n v="59"/>
    <x v="3"/>
    <s v="General Consultation"/>
    <d v="2025-09-17T00:00:00"/>
    <d v="2025-11-05T00:00:00"/>
    <s v="Wednesday"/>
    <s v="Morning"/>
    <x v="2"/>
    <n v="49"/>
    <n v="2"/>
    <x v="1"/>
    <x v="0"/>
    <s v="SMS"/>
    <n v="5.3"/>
    <x v="19"/>
    <x v="0"/>
  </r>
  <r>
    <s v="HC-00707"/>
    <s v="P-1291"/>
    <s v="Male"/>
    <n v="57"/>
    <x v="3"/>
    <s v="General Consultation"/>
    <d v="2024-12-11T00:00:00"/>
    <d v="2025-01-05T00:00:00"/>
    <s v="Sunday"/>
    <s v="Morning"/>
    <x v="3"/>
    <n v="25"/>
    <n v="3"/>
    <x v="0"/>
    <x v="1"/>
    <s v="None"/>
    <n v="30.3"/>
    <x v="51"/>
    <x v="0"/>
  </r>
  <r>
    <s v="HC-00708"/>
    <s v="P-0232"/>
    <s v="Male"/>
    <n v="59"/>
    <x v="3"/>
    <s v="General Consultation"/>
    <d v="2025-10-21T00:00:00"/>
    <d v="2025-11-09T00:00:00"/>
    <s v="Sunday"/>
    <s v="Evening"/>
    <x v="3"/>
    <n v="19"/>
    <n v="8"/>
    <x v="1"/>
    <x v="0"/>
    <s v="SMS"/>
    <n v="10.199999999999999"/>
    <x v="23"/>
    <x v="0"/>
  </r>
  <r>
    <s v="HC-00709"/>
    <s v="P-1094"/>
    <s v="Female"/>
    <n v="67"/>
    <x v="4"/>
    <s v="Follow-up"/>
    <d v="2025-08-16T00:00:00"/>
    <d v="2025-09-17T00:00:00"/>
    <s v="Wednesday"/>
    <s v="Afternoon"/>
    <x v="2"/>
    <n v="32"/>
    <n v="6"/>
    <x v="1"/>
    <x v="1"/>
    <s v="None"/>
    <n v="2.2999999999999998"/>
    <x v="12"/>
    <x v="1"/>
  </r>
  <r>
    <s v="HC-00710"/>
    <s v="P-1591"/>
    <s v="Female"/>
    <n v="74"/>
    <x v="4"/>
    <s v="Diagnostic Test"/>
    <d v="2025-07-28T00:00:00"/>
    <d v="2025-09-12T00:00:00"/>
    <s v="Friday"/>
    <s v="Evening"/>
    <x v="2"/>
    <n v="46"/>
    <n v="2"/>
    <x v="0"/>
    <x v="0"/>
    <s v="SMS"/>
    <n v="2.8"/>
    <x v="22"/>
    <x v="1"/>
  </r>
  <r>
    <s v="HC-00711"/>
    <s v="P-0017"/>
    <s v="Female"/>
    <n v="36"/>
    <x v="0"/>
    <s v="Follow-up"/>
    <d v="2025-12-21T00:00:00"/>
    <d v="2026-01-06T00:00:00"/>
    <s v="Tuesday"/>
    <s v="Afternoon"/>
    <x v="3"/>
    <n v="16"/>
    <n v="4"/>
    <x v="1"/>
    <x v="0"/>
    <s v="WhatsApp"/>
    <n v="6.2"/>
    <x v="0"/>
    <x v="1"/>
  </r>
  <r>
    <s v="HC-00712"/>
    <s v="P-0216"/>
    <s v="Male"/>
    <n v="76"/>
    <x v="4"/>
    <s v="Diagnostic Test"/>
    <d v="2025-08-17T00:00:00"/>
    <d v="2025-10-13T00:00:00"/>
    <s v="Monday"/>
    <s v="Morning"/>
    <x v="2"/>
    <n v="57"/>
    <n v="6"/>
    <x v="2"/>
    <x v="0"/>
    <s v="SMS"/>
    <n v="1.8"/>
    <x v="49"/>
    <x v="0"/>
  </r>
  <r>
    <s v="HC-00713"/>
    <s v="P-1257"/>
    <s v="Female"/>
    <n v="57"/>
    <x v="3"/>
    <s v="Follow-up"/>
    <d v="2026-01-05T00:00:00"/>
    <d v="2026-02-02T00:00:00"/>
    <s v="Monday"/>
    <s v="Afternoon"/>
    <x v="3"/>
    <n v="28"/>
    <n v="1"/>
    <x v="1"/>
    <x v="0"/>
    <s v="SMS"/>
    <n v="18.7"/>
    <x v="25"/>
    <x v="0"/>
  </r>
  <r>
    <s v="HC-00714"/>
    <s v="P-1686"/>
    <s v="Female"/>
    <n v="55"/>
    <x v="3"/>
    <s v="Follow-up"/>
    <d v="2026-01-13T00:00:00"/>
    <d v="2026-02-22T00:00:00"/>
    <s v="Sunday"/>
    <s v="Morning"/>
    <x v="2"/>
    <n v="40"/>
    <n v="2"/>
    <x v="0"/>
    <x v="0"/>
    <s v="WhatsApp"/>
    <n v="5.4"/>
    <x v="9"/>
    <x v="0"/>
  </r>
  <r>
    <s v="HC-00715"/>
    <s v="P-1160"/>
    <s v="Male"/>
    <n v="38"/>
    <x v="0"/>
    <s v="General Consultation"/>
    <d v="2026-03-21T00:00:00"/>
    <d v="2026-05-18T00:00:00"/>
    <s v="Monday"/>
    <s v="Afternoon"/>
    <x v="2"/>
    <n v="58"/>
    <n v="2"/>
    <x v="0"/>
    <x v="0"/>
    <s v="WhatsApp"/>
    <n v="3.5"/>
    <x v="1"/>
    <x v="0"/>
  </r>
  <r>
    <s v="HC-00716"/>
    <s v="P-0045"/>
    <s v="Male"/>
    <n v="44"/>
    <x v="0"/>
    <s v="General Consultation"/>
    <d v="2026-02-15T00:00:00"/>
    <d v="2026-03-13T00:00:00"/>
    <s v="Friday"/>
    <s v="Morning"/>
    <x v="3"/>
    <n v="26"/>
    <n v="4"/>
    <x v="2"/>
    <x v="1"/>
    <s v="None"/>
    <n v="10.7"/>
    <x v="13"/>
    <x v="1"/>
  </r>
  <r>
    <s v="HC-00717"/>
    <s v="P-0267"/>
    <s v="Male"/>
    <n v="59"/>
    <x v="3"/>
    <s v="Specialist Consultation"/>
    <d v="2025-09-28T00:00:00"/>
    <d v="2025-10-10T00:00:00"/>
    <s v="Friday"/>
    <s v="Evening"/>
    <x v="0"/>
    <n v="12"/>
    <n v="4"/>
    <x v="1"/>
    <x v="0"/>
    <s v="SMS"/>
    <n v="12.6"/>
    <x v="27"/>
    <x v="0"/>
  </r>
  <r>
    <s v="HC-00718"/>
    <s v="P-0341"/>
    <s v="Female"/>
    <n v="40"/>
    <x v="0"/>
    <s v="Follow-up"/>
    <d v="2025-08-12T00:00:00"/>
    <d v="2025-09-26T00:00:00"/>
    <s v="Friday"/>
    <s v="Afternoon"/>
    <x v="2"/>
    <n v="45"/>
    <n v="2"/>
    <x v="0"/>
    <x v="0"/>
    <s v="SMS"/>
    <n v="6.5"/>
    <x v="26"/>
    <x v="0"/>
  </r>
  <r>
    <s v="HC-00719"/>
    <s v="P-0182"/>
    <s v="Female"/>
    <n v="36"/>
    <x v="0"/>
    <s v="General Consultation"/>
    <d v="2025-05-09T00:00:00"/>
    <d v="2025-05-09T00:00:00"/>
    <s v="Friday"/>
    <s v="Afternoon"/>
    <x v="1"/>
    <n v="0"/>
    <n v="2"/>
    <x v="0"/>
    <x v="0"/>
    <s v="SMS"/>
    <n v="12.7"/>
    <x v="27"/>
    <x v="1"/>
  </r>
  <r>
    <s v="HC-00720"/>
    <s v="P-1285"/>
    <s v="Female"/>
    <n v="69"/>
    <x v="4"/>
    <s v="Specialist Consultation"/>
    <d v="2025-10-28T00:00:00"/>
    <d v="2025-11-24T00:00:00"/>
    <s v="Monday"/>
    <s v="Afternoon"/>
    <x v="3"/>
    <n v="27"/>
    <n v="3"/>
    <x v="0"/>
    <x v="1"/>
    <s v="None"/>
    <n v="14.6"/>
    <x v="11"/>
    <x v="0"/>
  </r>
  <r>
    <s v="HC-00721"/>
    <s v="P-0483"/>
    <s v="Male"/>
    <n v="44"/>
    <x v="0"/>
    <s v="General Consultation"/>
    <d v="2025-01-17T00:00:00"/>
    <d v="2025-03-17T00:00:00"/>
    <s v="Monday"/>
    <s v="Afternoon"/>
    <x v="2"/>
    <n v="59"/>
    <n v="4"/>
    <x v="0"/>
    <x v="0"/>
    <s v="Email"/>
    <n v="6.4"/>
    <x v="45"/>
    <x v="1"/>
  </r>
  <r>
    <s v="HC-00722"/>
    <s v="P-1718"/>
    <s v="Male"/>
    <n v="58"/>
    <x v="3"/>
    <s v="Specialist Consultation"/>
    <d v="2026-04-29T00:00:00"/>
    <d v="2026-05-24T00:00:00"/>
    <s v="Sunday"/>
    <s v="Afternoon"/>
    <x v="3"/>
    <n v="25"/>
    <n v="7"/>
    <x v="1"/>
    <x v="0"/>
    <s v="SMS"/>
    <n v="3.2"/>
    <x v="4"/>
    <x v="0"/>
  </r>
  <r>
    <s v="HC-00723"/>
    <s v="P-0305"/>
    <s v="Female"/>
    <n v="19"/>
    <x v="5"/>
    <s v="General Consultation"/>
    <d v="2026-02-25T00:00:00"/>
    <d v="2026-04-07T00:00:00"/>
    <s v="Tuesday"/>
    <s v="Afternoon"/>
    <x v="2"/>
    <n v="41"/>
    <n v="5"/>
    <x v="1"/>
    <x v="0"/>
    <s v="SMS"/>
    <n v="5.8"/>
    <x v="36"/>
    <x v="1"/>
  </r>
  <r>
    <s v="HC-00724"/>
    <s v="P-0109"/>
    <s v="Male"/>
    <n v="22"/>
    <x v="5"/>
    <s v="Diagnostic Test"/>
    <d v="2025-02-03T00:00:00"/>
    <d v="2025-03-07T00:00:00"/>
    <s v="Friday"/>
    <s v="Morning"/>
    <x v="2"/>
    <n v="32"/>
    <n v="2"/>
    <x v="0"/>
    <x v="0"/>
    <s v="WhatsApp"/>
    <n v="7.3"/>
    <x v="4"/>
    <x v="1"/>
  </r>
  <r>
    <s v="HC-00725"/>
    <s v="P-1480"/>
    <s v="Female"/>
    <n v="71"/>
    <x v="4"/>
    <s v="General Consultation"/>
    <d v="2026-02-21T00:00:00"/>
    <d v="2026-03-06T00:00:00"/>
    <s v="Friday"/>
    <s v="Afternoon"/>
    <x v="0"/>
    <n v="13"/>
    <n v="4"/>
    <x v="0"/>
    <x v="0"/>
    <s v="SMS"/>
    <n v="8.8000000000000007"/>
    <x v="9"/>
    <x v="1"/>
  </r>
  <r>
    <s v="HC-00726"/>
    <s v="P-0454"/>
    <s v="Male"/>
    <n v="26"/>
    <x v="1"/>
    <s v="General Consultation"/>
    <d v="2025-02-14T00:00:00"/>
    <d v="2025-03-05T00:00:00"/>
    <s v="Wednesday"/>
    <s v="Morning"/>
    <x v="3"/>
    <n v="19"/>
    <n v="2"/>
    <x v="0"/>
    <x v="1"/>
    <s v="None"/>
    <n v="14.9"/>
    <x v="16"/>
    <x v="0"/>
  </r>
  <r>
    <s v="HC-00727"/>
    <s v="P-1371"/>
    <s v="Female"/>
    <n v="68"/>
    <x v="4"/>
    <s v="Follow-up"/>
    <d v="2025-12-29T00:00:00"/>
    <d v="2026-01-29T00:00:00"/>
    <s v="Thursday"/>
    <s v="Afternoon"/>
    <x v="2"/>
    <n v="31"/>
    <n v="4"/>
    <x v="1"/>
    <x v="0"/>
    <s v="Email"/>
    <n v="7.5"/>
    <x v="4"/>
    <x v="0"/>
  </r>
  <r>
    <s v="HC-00728"/>
    <s v="P-1075"/>
    <s v="Female"/>
    <n v="74"/>
    <x v="4"/>
    <s v="General Consultation"/>
    <d v="2025-02-11T00:00:00"/>
    <d v="2025-02-17T00:00:00"/>
    <s v="Monday"/>
    <s v="Afternoon"/>
    <x v="1"/>
    <n v="6"/>
    <n v="2"/>
    <x v="0"/>
    <x v="0"/>
    <s v="SMS"/>
    <n v="4.8"/>
    <x v="27"/>
    <x v="0"/>
  </r>
  <r>
    <s v="HC-00729"/>
    <s v="P-1348"/>
    <s v="Female"/>
    <n v="48"/>
    <x v="2"/>
    <s v="Diagnostic Test"/>
    <d v="2025-08-30T00:00:00"/>
    <d v="2025-09-24T00:00:00"/>
    <s v="Wednesday"/>
    <s v="Morning"/>
    <x v="3"/>
    <n v="25"/>
    <n v="2"/>
    <x v="0"/>
    <x v="0"/>
    <s v="Email"/>
    <n v="5.7"/>
    <x v="45"/>
    <x v="1"/>
  </r>
  <r>
    <s v="HC-00730"/>
    <s v="P-1698"/>
    <s v="Male"/>
    <n v="73"/>
    <x v="4"/>
    <s v="Follow-up"/>
    <d v="2025-12-01T00:00:00"/>
    <d v="2025-12-26T00:00:00"/>
    <s v="Friday"/>
    <s v="Afternoon"/>
    <x v="3"/>
    <n v="25"/>
    <n v="6"/>
    <x v="1"/>
    <x v="0"/>
    <s v="SMS"/>
    <n v="9.8000000000000007"/>
    <x v="35"/>
    <x v="2"/>
  </r>
  <r>
    <s v="HC-00731"/>
    <s v="P-0219"/>
    <s v="Female"/>
    <n v="44"/>
    <x v="0"/>
    <s v="General Consultation"/>
    <d v="2025-12-14T00:00:00"/>
    <d v="2026-02-02T00:00:00"/>
    <s v="Monday"/>
    <s v="Afternoon"/>
    <x v="2"/>
    <n v="50"/>
    <n v="1"/>
    <x v="0"/>
    <x v="1"/>
    <s v="None"/>
    <m/>
    <x v="36"/>
    <x v="0"/>
  </r>
  <r>
    <s v="HC-00732"/>
    <s v="P-0767"/>
    <s v="Female"/>
    <n v="77"/>
    <x v="4"/>
    <s v="General Consultation"/>
    <d v="2025-08-10T00:00:00"/>
    <d v="2025-08-17T00:00:00"/>
    <s v="Sunday"/>
    <s v="Afternoon"/>
    <x v="1"/>
    <n v="7"/>
    <n v="1"/>
    <x v="0"/>
    <x v="0"/>
    <s v="SMS"/>
    <n v="22.9"/>
    <x v="23"/>
    <x v="0"/>
  </r>
  <r>
    <s v="HC-00733"/>
    <s v="P-0205"/>
    <s v="Male"/>
    <n v="32"/>
    <x v="1"/>
    <s v="Diagnostic Test"/>
    <d v="2026-03-29T00:00:00"/>
    <d v="2026-05-19T00:00:00"/>
    <s v="Tuesday"/>
    <s v="Afternoon"/>
    <x v="2"/>
    <n v="51"/>
    <n v="3"/>
    <x v="1"/>
    <x v="1"/>
    <s v="None"/>
    <n v="7.2"/>
    <x v="10"/>
    <x v="0"/>
  </r>
  <r>
    <s v="HC-00734"/>
    <s v="P-1046"/>
    <s v="Male"/>
    <n v="44"/>
    <x v="0"/>
    <s v="Follow-up"/>
    <d v="2026-02-02T00:00:00"/>
    <d v="2026-02-27T00:00:00"/>
    <s v="Friday"/>
    <s v="Afternoon"/>
    <x v="3"/>
    <n v="25"/>
    <n v="2"/>
    <x v="0"/>
    <x v="1"/>
    <s v="None"/>
    <n v="4.8"/>
    <x v="42"/>
    <x v="0"/>
  </r>
  <r>
    <s v="HC-00735"/>
    <s v="P-1644"/>
    <s v="Male"/>
    <n v="42"/>
    <x v="0"/>
    <s v="Diagnostic Test"/>
    <d v="2025-03-16T00:00:00"/>
    <d v="2025-04-24T00:00:00"/>
    <s v="Thursday"/>
    <s v="Afternoon"/>
    <x v="2"/>
    <n v="39"/>
    <n v="2"/>
    <x v="0"/>
    <x v="0"/>
    <s v="WhatsApp"/>
    <n v="1.3"/>
    <x v="16"/>
    <x v="1"/>
  </r>
  <r>
    <s v="HC-00736"/>
    <s v="P-0640"/>
    <s v="Male"/>
    <n v="67"/>
    <x v="4"/>
    <s v="General Consultation"/>
    <d v="2025-11-30T00:00:00"/>
    <d v="2026-01-02T00:00:00"/>
    <s v="Friday"/>
    <s v="Morning"/>
    <x v="2"/>
    <n v="33"/>
    <n v="6"/>
    <x v="1"/>
    <x v="1"/>
    <s v="None"/>
    <n v="2"/>
    <x v="20"/>
    <x v="0"/>
  </r>
  <r>
    <s v="HC-00737"/>
    <s v="P-0914"/>
    <s v="Male"/>
    <n v="20"/>
    <x v="5"/>
    <s v="Diagnostic Test"/>
    <d v="2026-01-16T00:00:00"/>
    <d v="2026-02-03T00:00:00"/>
    <s v="Tuesday"/>
    <s v="Morning"/>
    <x v="3"/>
    <n v="18"/>
    <n v="3"/>
    <x v="0"/>
    <x v="1"/>
    <s v="None"/>
    <n v="11.7"/>
    <x v="8"/>
    <x v="2"/>
  </r>
  <r>
    <s v="HC-00738"/>
    <s v="P-0227"/>
    <s v="Male"/>
    <n v="70"/>
    <x v="4"/>
    <s v="Follow-up"/>
    <d v="2025-05-07T00:00:00"/>
    <d v="2025-07-02T00:00:00"/>
    <s v="Wednesday"/>
    <s v="Afternoon"/>
    <x v="2"/>
    <n v="56"/>
    <n v="4"/>
    <x v="0"/>
    <x v="1"/>
    <s v="None"/>
    <n v="5.5"/>
    <x v="5"/>
    <x v="0"/>
  </r>
  <r>
    <s v="HC-00739"/>
    <s v="P-0217"/>
    <s v="Female"/>
    <n v="19"/>
    <x v="5"/>
    <s v="Follow-up"/>
    <d v="2026-01-26T00:00:00"/>
    <d v="2026-02-08T00:00:00"/>
    <s v="Sunday"/>
    <s v="Morning"/>
    <x v="0"/>
    <n v="13"/>
    <n v="5"/>
    <x v="1"/>
    <x v="0"/>
    <s v="SMS"/>
    <n v="17.5"/>
    <x v="17"/>
    <x v="1"/>
  </r>
  <r>
    <s v="HC-00740"/>
    <s v="P-0040"/>
    <s v="Female"/>
    <n v="37"/>
    <x v="0"/>
    <s v="General Consultation"/>
    <d v="2026-05-04T00:00:00"/>
    <d v="2026-05-06T00:00:00"/>
    <s v="Wednesday"/>
    <s v="Morning"/>
    <x v="1"/>
    <n v="2"/>
    <n v="9"/>
    <x v="1"/>
    <x v="0"/>
    <s v="WhatsApp"/>
    <n v="1.7"/>
    <x v="20"/>
    <x v="1"/>
  </r>
  <r>
    <s v="HC-00741"/>
    <s v="P-0669"/>
    <s v="Female"/>
    <n v="55"/>
    <x v="3"/>
    <s v="General Consultation"/>
    <d v="2026-02-06T00:00:00"/>
    <d v="2026-03-23T00:00:00"/>
    <s v="Monday"/>
    <s v="Morning"/>
    <x v="2"/>
    <n v="45"/>
    <n v="4"/>
    <x v="0"/>
    <x v="0"/>
    <s v="SMS"/>
    <n v="6.1"/>
    <x v="23"/>
    <x v="1"/>
  </r>
  <r>
    <s v="HC-00742"/>
    <s v="P-1211"/>
    <s v="Female"/>
    <n v="27"/>
    <x v="1"/>
    <s v="Diagnostic Test"/>
    <d v="2026-01-15T00:00:00"/>
    <d v="2026-02-21T00:00:00"/>
    <s v="Saturday"/>
    <s v="Morning"/>
    <x v="2"/>
    <n v="37"/>
    <n v="2"/>
    <x v="0"/>
    <x v="1"/>
    <s v="None"/>
    <n v="14.4"/>
    <x v="47"/>
    <x v="2"/>
  </r>
  <r>
    <s v="HC-00743"/>
    <s v="P-0004"/>
    <s v="Female"/>
    <n v="48"/>
    <x v="2"/>
    <s v="Diagnostic Test"/>
    <d v="2025-10-20T00:00:00"/>
    <d v="2025-12-13T00:00:00"/>
    <s v="Saturday"/>
    <s v="Evening"/>
    <x v="2"/>
    <n v="54"/>
    <n v="2"/>
    <x v="0"/>
    <x v="0"/>
    <s v="SMS"/>
    <n v="18.899999999999999"/>
    <x v="45"/>
    <x v="0"/>
  </r>
  <r>
    <s v="HC-00744"/>
    <s v="P-1580"/>
    <s v="Female"/>
    <n v="80"/>
    <x v="4"/>
    <s v="General Consultation"/>
    <d v="2025-05-01T00:00:00"/>
    <d v="2025-05-28T00:00:00"/>
    <s v="Wednesday"/>
    <s v="Morning"/>
    <x v="3"/>
    <n v="27"/>
    <n v="2"/>
    <x v="1"/>
    <x v="0"/>
    <s v="SMS"/>
    <n v="12.4"/>
    <x v="0"/>
    <x v="1"/>
  </r>
  <r>
    <s v="HC-00745"/>
    <s v="P-1116"/>
    <s v="Female"/>
    <n v="69"/>
    <x v="4"/>
    <s v="Diagnostic Test"/>
    <d v="2026-03-10T00:00:00"/>
    <d v="2026-03-11T00:00:00"/>
    <s v="Wednesday"/>
    <s v="Morning"/>
    <x v="1"/>
    <n v="1"/>
    <n v="4"/>
    <x v="1"/>
    <x v="1"/>
    <s v="None"/>
    <n v="15.4"/>
    <x v="25"/>
    <x v="0"/>
  </r>
  <r>
    <s v="HC-00746"/>
    <s v="P-0296"/>
    <s v="Male"/>
    <n v="19"/>
    <x v="5"/>
    <s v="General Consultation"/>
    <d v="2025-07-17T00:00:00"/>
    <d v="2025-07-18T00:00:00"/>
    <s v="Friday"/>
    <s v="Evening"/>
    <x v="1"/>
    <n v="1"/>
    <n v="1"/>
    <x v="1"/>
    <x v="1"/>
    <s v="None"/>
    <n v="4.5999999999999996"/>
    <x v="10"/>
    <x v="1"/>
  </r>
  <r>
    <s v="HC-00747"/>
    <s v="P-0877"/>
    <s v="Male"/>
    <n v="55"/>
    <x v="3"/>
    <s v="General Consultation"/>
    <d v="2025-09-22T00:00:00"/>
    <d v="2025-10-18T00:00:00"/>
    <s v="Saturday"/>
    <s v="Evening"/>
    <x v="3"/>
    <n v="26"/>
    <n v="1"/>
    <x v="0"/>
    <x v="1"/>
    <s v="None"/>
    <n v="6.9"/>
    <x v="19"/>
    <x v="1"/>
  </r>
  <r>
    <s v="HC-00748"/>
    <s v="P-1048"/>
    <s v="Male"/>
    <n v="55"/>
    <x v="3"/>
    <s v="General Consultation"/>
    <d v="2025-06-06T00:00:00"/>
    <d v="2025-06-21T00:00:00"/>
    <s v="Saturday"/>
    <s v="Morning"/>
    <x v="3"/>
    <n v="15"/>
    <n v="2"/>
    <x v="0"/>
    <x v="1"/>
    <s v="None"/>
    <n v="19.7"/>
    <x v="25"/>
    <x v="1"/>
  </r>
  <r>
    <s v="HC-00749"/>
    <s v="P-1612"/>
    <s v="Male"/>
    <n v="22"/>
    <x v="5"/>
    <s v="General Consultation"/>
    <d v="2025-04-25T00:00:00"/>
    <d v="2025-06-20T00:00:00"/>
    <s v="Friday"/>
    <s v="Evening"/>
    <x v="2"/>
    <n v="56"/>
    <n v="4"/>
    <x v="0"/>
    <x v="0"/>
    <s v="WhatsApp"/>
    <n v="4.3"/>
    <x v="11"/>
    <x v="1"/>
  </r>
  <r>
    <s v="HC-00750"/>
    <s v="P-1335"/>
    <s v="Female"/>
    <n v="58"/>
    <x v="3"/>
    <s v="General Consultation"/>
    <d v="2025-03-21T00:00:00"/>
    <d v="2025-03-28T00:00:00"/>
    <s v="Friday"/>
    <s v="Morning"/>
    <x v="1"/>
    <n v="7"/>
    <n v="1"/>
    <x v="0"/>
    <x v="0"/>
    <s v="SMS"/>
    <n v="8.6"/>
    <x v="11"/>
    <x v="1"/>
  </r>
  <r>
    <s v="HC-00751"/>
    <s v="P-1519"/>
    <s v="Female"/>
    <n v="50"/>
    <x v="2"/>
    <s v="General Consultation"/>
    <d v="2026-04-17T00:00:00"/>
    <d v="2026-06-09T00:00:00"/>
    <s v="Tuesday"/>
    <s v="Afternoon"/>
    <x v="2"/>
    <n v="53"/>
    <n v="0"/>
    <x v="0"/>
    <x v="0"/>
    <s v="SMS"/>
    <n v="13.2"/>
    <x v="22"/>
    <x v="0"/>
  </r>
  <r>
    <s v="HC-00752"/>
    <s v="P-0538"/>
    <s v="Female"/>
    <n v="60"/>
    <x v="3"/>
    <s v="General Consultation"/>
    <d v="2025-03-09T00:00:00"/>
    <d v="2025-03-22T00:00:00"/>
    <s v="Saturday"/>
    <s v="Morning"/>
    <x v="0"/>
    <n v="13"/>
    <n v="2"/>
    <x v="0"/>
    <x v="1"/>
    <s v="None"/>
    <n v="18.100000000000001"/>
    <x v="43"/>
    <x v="1"/>
  </r>
  <r>
    <s v="HC-00753"/>
    <s v="P-0090"/>
    <s v="Male"/>
    <n v="36"/>
    <x v="0"/>
    <s v="Specialist Consultation"/>
    <d v="2025-02-10T00:00:00"/>
    <d v="2025-02-17T00:00:00"/>
    <s v="Monday"/>
    <s v="Morning"/>
    <x v="1"/>
    <n v="7"/>
    <n v="3"/>
    <x v="1"/>
    <x v="0"/>
    <s v="Email"/>
    <n v="7.9"/>
    <x v="15"/>
    <x v="1"/>
  </r>
  <r>
    <s v="HC-00754"/>
    <s v="P-0691"/>
    <s v="Female"/>
    <n v="34"/>
    <x v="1"/>
    <s v="Specialist Consultation"/>
    <d v="2026-05-11T00:00:00"/>
    <d v="2026-05-27T00:00:00"/>
    <s v="Wednesday"/>
    <s v="Morning"/>
    <x v="3"/>
    <n v="16"/>
    <n v="3"/>
    <x v="0"/>
    <x v="1"/>
    <s v="None"/>
    <n v="6.7"/>
    <x v="2"/>
    <x v="0"/>
  </r>
  <r>
    <s v="HC-00755"/>
    <s v="P-1593"/>
    <s v="Male"/>
    <n v="64"/>
    <x v="3"/>
    <s v="Follow-up"/>
    <d v="2025-10-23T00:00:00"/>
    <d v="2025-10-31T00:00:00"/>
    <s v="Friday"/>
    <s v="Afternoon"/>
    <x v="0"/>
    <n v="8"/>
    <n v="1"/>
    <x v="0"/>
    <x v="0"/>
    <s v="SMS"/>
    <n v="11.1"/>
    <x v="42"/>
    <x v="0"/>
  </r>
  <r>
    <s v="HC-00756"/>
    <s v="P-1664"/>
    <s v="Female"/>
    <n v="63"/>
    <x v="3"/>
    <s v="General Consultation"/>
    <d v="2025-08-04T00:00:00"/>
    <d v="2025-08-28T00:00:00"/>
    <s v="Thursday"/>
    <s v="Morning"/>
    <x v="3"/>
    <n v="24"/>
    <n v="3"/>
    <x v="1"/>
    <x v="0"/>
    <s v="Email"/>
    <n v="23.8"/>
    <x v="28"/>
    <x v="1"/>
  </r>
  <r>
    <s v="HC-00757"/>
    <s v="P-0840"/>
    <s v="Female"/>
    <n v="28"/>
    <x v="1"/>
    <s v="Specialist Consultation"/>
    <d v="2026-01-18T00:00:00"/>
    <d v="2026-02-07T00:00:00"/>
    <s v="Saturday"/>
    <s v="Afternoon"/>
    <x v="3"/>
    <n v="20"/>
    <n v="4"/>
    <x v="0"/>
    <x v="0"/>
    <s v="WhatsApp"/>
    <n v="11"/>
    <x v="4"/>
    <x v="1"/>
  </r>
  <r>
    <s v="HC-00758"/>
    <s v="P-0605"/>
    <s v="Male"/>
    <n v="31"/>
    <x v="1"/>
    <s v="General Consultation"/>
    <d v="2025-06-27T00:00:00"/>
    <d v="2025-07-29T00:00:00"/>
    <s v="Tuesday"/>
    <s v="Afternoon"/>
    <x v="2"/>
    <n v="32"/>
    <n v="2"/>
    <x v="1"/>
    <x v="1"/>
    <s v="None"/>
    <n v="11.4"/>
    <x v="7"/>
    <x v="0"/>
  </r>
  <r>
    <s v="HC-00759"/>
    <s v="P-1079"/>
    <s v="Female"/>
    <n v="54"/>
    <x v="2"/>
    <s v="Specialist Consultation"/>
    <d v="2025-02-07T00:00:00"/>
    <d v="2025-03-11T00:00:00"/>
    <s v="Tuesday"/>
    <s v="Morning"/>
    <x v="2"/>
    <n v="32"/>
    <n v="1"/>
    <x v="1"/>
    <x v="0"/>
    <s v="Email"/>
    <n v="7.9"/>
    <x v="25"/>
    <x v="1"/>
  </r>
  <r>
    <s v="HC-00760"/>
    <s v="P-0484"/>
    <s v="Male"/>
    <n v="70"/>
    <x v="4"/>
    <s v="Follow-up"/>
    <d v="2026-02-03T00:00:00"/>
    <d v="2026-02-03T00:00:00"/>
    <s v="Tuesday"/>
    <s v="Evening"/>
    <x v="1"/>
    <n v="0"/>
    <n v="2"/>
    <x v="0"/>
    <x v="0"/>
    <s v="SMS"/>
    <n v="4.5"/>
    <x v="18"/>
    <x v="0"/>
  </r>
  <r>
    <s v="HC-00761"/>
    <s v="P-0239"/>
    <s v="Male"/>
    <n v="30"/>
    <x v="1"/>
    <s v="General Consultation"/>
    <d v="2025-03-31T00:00:00"/>
    <d v="2025-04-07T00:00:00"/>
    <s v="Monday"/>
    <s v="Morning"/>
    <x v="1"/>
    <n v="7"/>
    <n v="1"/>
    <x v="0"/>
    <x v="0"/>
    <s v="WhatsApp"/>
    <m/>
    <x v="12"/>
    <x v="0"/>
  </r>
  <r>
    <s v="HC-00762"/>
    <s v="P-0159"/>
    <s v="Male"/>
    <n v="31"/>
    <x v="1"/>
    <s v="General Consultation"/>
    <d v="2025-10-20T00:00:00"/>
    <d v="2025-10-29T00:00:00"/>
    <s v="Wednesday"/>
    <s v="Morning"/>
    <x v="0"/>
    <n v="9"/>
    <n v="0"/>
    <x v="0"/>
    <x v="0"/>
    <s v="SMS"/>
    <n v="7.8"/>
    <x v="19"/>
    <x v="1"/>
  </r>
  <r>
    <s v="HC-00763"/>
    <s v="P-1751"/>
    <s v="Male"/>
    <n v="68"/>
    <x v="4"/>
    <s v="Specialist Consultation"/>
    <d v="2026-05-23T00:00:00"/>
    <d v="2026-06-03T00:00:00"/>
    <s v="Wednesday"/>
    <s v="Morning"/>
    <x v="0"/>
    <n v="11"/>
    <n v="2"/>
    <x v="1"/>
    <x v="0"/>
    <s v="SMS"/>
    <n v="6.7"/>
    <x v="38"/>
    <x v="1"/>
  </r>
  <r>
    <s v="HC-00764"/>
    <s v="P-1090"/>
    <s v="Female"/>
    <n v="61"/>
    <x v="3"/>
    <s v="Diagnostic Test"/>
    <d v="2026-05-22T00:00:00"/>
    <d v="2026-05-27T00:00:00"/>
    <s v="Wednesday"/>
    <s v="Morning"/>
    <x v="1"/>
    <n v="5"/>
    <n v="5"/>
    <x v="2"/>
    <x v="0"/>
    <s v="WhatsApp"/>
    <n v="8.4"/>
    <x v="18"/>
    <x v="1"/>
  </r>
  <r>
    <s v="HC-00765"/>
    <s v="P-1382"/>
    <s v="Female"/>
    <n v="74"/>
    <x v="4"/>
    <s v="Follow-up"/>
    <d v="2025-06-27T00:00:00"/>
    <d v="2025-07-16T00:00:00"/>
    <s v="Wednesday"/>
    <s v="Morning"/>
    <x v="3"/>
    <n v="19"/>
    <n v="0"/>
    <x v="0"/>
    <x v="0"/>
    <s v="SMS"/>
    <n v="11.7"/>
    <x v="25"/>
    <x v="1"/>
  </r>
  <r>
    <s v="HC-00766"/>
    <s v="P-0843"/>
    <s v="Male"/>
    <n v="67"/>
    <x v="4"/>
    <s v="Diagnostic Test"/>
    <d v="2026-01-29T00:00:00"/>
    <d v="2026-03-03T00:00:00"/>
    <s v="Tuesday"/>
    <s v="Afternoon"/>
    <x v="2"/>
    <n v="33"/>
    <n v="0"/>
    <x v="0"/>
    <x v="1"/>
    <s v="None"/>
    <n v="5.6"/>
    <x v="8"/>
    <x v="0"/>
  </r>
  <r>
    <s v="HC-00767"/>
    <s v="P-0552"/>
    <s v="Female"/>
    <n v="78"/>
    <x v="4"/>
    <s v="Diagnostic Test"/>
    <d v="2025-11-13T00:00:00"/>
    <d v="2025-12-01T00:00:00"/>
    <s v="Monday"/>
    <s v="Afternoon"/>
    <x v="3"/>
    <n v="18"/>
    <n v="3"/>
    <x v="0"/>
    <x v="1"/>
    <s v="None"/>
    <n v="15"/>
    <x v="13"/>
    <x v="1"/>
  </r>
  <r>
    <s v="HC-00768"/>
    <s v="P-1727"/>
    <s v="Female"/>
    <n v="29"/>
    <x v="1"/>
    <s v="General Consultation"/>
    <d v="2025-08-30T00:00:00"/>
    <d v="2025-09-19T00:00:00"/>
    <s v="Friday"/>
    <s v="Morning"/>
    <x v="3"/>
    <n v="20"/>
    <n v="5"/>
    <x v="1"/>
    <x v="1"/>
    <s v="None"/>
    <n v="11.1"/>
    <x v="25"/>
    <x v="1"/>
  </r>
  <r>
    <s v="HC-00769"/>
    <s v="P-1751"/>
    <s v="Female"/>
    <n v="35"/>
    <x v="0"/>
    <s v="Specialist Consultation"/>
    <d v="2025-02-18T00:00:00"/>
    <d v="2025-03-18T00:00:00"/>
    <s v="Tuesday"/>
    <s v="Morning"/>
    <x v="3"/>
    <n v="28"/>
    <n v="6"/>
    <x v="0"/>
    <x v="0"/>
    <s v="WhatsApp"/>
    <n v="9"/>
    <x v="4"/>
    <x v="2"/>
  </r>
  <r>
    <s v="HC-00770"/>
    <s v="P-1067"/>
    <s v="Male"/>
    <n v="32"/>
    <x v="1"/>
    <s v="General Consultation"/>
    <d v="2025-06-22T00:00:00"/>
    <d v="2025-07-25T00:00:00"/>
    <s v="Friday"/>
    <s v="Afternoon"/>
    <x v="2"/>
    <n v="33"/>
    <n v="2"/>
    <x v="1"/>
    <x v="0"/>
    <s v="WhatsApp"/>
    <n v="7.4"/>
    <x v="18"/>
    <x v="2"/>
  </r>
  <r>
    <s v="HC-00771"/>
    <s v="P-1658"/>
    <s v="Female"/>
    <n v="21"/>
    <x v="5"/>
    <s v="Follow-up"/>
    <d v="2025-12-02T00:00:00"/>
    <d v="2025-12-22T00:00:00"/>
    <s v="Monday"/>
    <s v="Morning"/>
    <x v="3"/>
    <n v="20"/>
    <n v="3"/>
    <x v="0"/>
    <x v="0"/>
    <s v="WhatsApp"/>
    <n v="4.3"/>
    <x v="25"/>
    <x v="1"/>
  </r>
  <r>
    <s v="HC-00772"/>
    <s v="P-0427"/>
    <s v="Prefer not to say"/>
    <n v="67"/>
    <x v="4"/>
    <s v="General Consultation"/>
    <d v="2026-06-10T00:00:00"/>
    <d v="2026-06-23T00:00:00"/>
    <s v="Tuesday"/>
    <s v="Afternoon"/>
    <x v="0"/>
    <n v="13"/>
    <n v="2"/>
    <x v="1"/>
    <x v="1"/>
    <s v="None"/>
    <n v="11.8"/>
    <x v="37"/>
    <x v="1"/>
  </r>
  <r>
    <s v="HC-00773"/>
    <s v="P-0208"/>
    <s v="Female"/>
    <n v="59"/>
    <x v="3"/>
    <s v="Diagnostic Test"/>
    <d v="2024-12-10T00:00:00"/>
    <d v="2025-01-03T00:00:00"/>
    <s v="Friday"/>
    <s v="Evening"/>
    <x v="3"/>
    <n v="24"/>
    <n v="1"/>
    <x v="0"/>
    <x v="0"/>
    <s v="SMS"/>
    <n v="30.6"/>
    <x v="14"/>
    <x v="0"/>
  </r>
  <r>
    <s v="HC-00774"/>
    <s v="P-0105"/>
    <s v="Female"/>
    <n v="23"/>
    <x v="5"/>
    <s v="Specialist Consultation"/>
    <d v="2026-01-26T00:00:00"/>
    <d v="2026-01-27T00:00:00"/>
    <s v="Tuesday"/>
    <s v="Morning"/>
    <x v="1"/>
    <n v="1"/>
    <n v="2"/>
    <x v="2"/>
    <x v="0"/>
    <s v="WhatsApp"/>
    <n v="18.5"/>
    <x v="21"/>
    <x v="1"/>
  </r>
  <r>
    <s v="HC-00775"/>
    <s v="P-0633"/>
    <s v="Female"/>
    <n v="30"/>
    <x v="1"/>
    <s v="General Consultation"/>
    <d v="2026-03-09T00:00:00"/>
    <d v="2026-04-08T00:00:00"/>
    <s v="Wednesday"/>
    <s v="Afternoon"/>
    <x v="3"/>
    <n v="30"/>
    <n v="1"/>
    <x v="0"/>
    <x v="1"/>
    <s v="None"/>
    <n v="12.8"/>
    <x v="13"/>
    <x v="1"/>
  </r>
  <r>
    <s v="HC-00776"/>
    <s v="P-1620"/>
    <s v="Female"/>
    <n v="30"/>
    <x v="1"/>
    <s v="General Consultation"/>
    <d v="2026-04-08T00:00:00"/>
    <d v="2026-06-04T00:00:00"/>
    <s v="Thursday"/>
    <s v="Evening"/>
    <x v="2"/>
    <n v="57"/>
    <n v="1"/>
    <x v="1"/>
    <x v="1"/>
    <s v="None"/>
    <n v="20"/>
    <x v="37"/>
    <x v="1"/>
  </r>
  <r>
    <s v="HC-00777"/>
    <s v="P-0159"/>
    <s v="Female"/>
    <n v="43"/>
    <x v="0"/>
    <s v="Follow-up"/>
    <d v="2025-07-27T00:00:00"/>
    <d v="2025-08-20T00:00:00"/>
    <s v="Wednesday"/>
    <s v="Afternoon"/>
    <x v="3"/>
    <n v="24"/>
    <n v="0"/>
    <x v="0"/>
    <x v="0"/>
    <s v="Email"/>
    <n v="5.9"/>
    <x v="20"/>
    <x v="1"/>
  </r>
  <r>
    <s v="HC-00778"/>
    <s v="P-1344"/>
    <s v="Male"/>
    <n v="46"/>
    <x v="2"/>
    <s v="Specialist Consultation"/>
    <d v="2025-02-28T00:00:00"/>
    <d v="2025-03-06T00:00:00"/>
    <s v="Thursday"/>
    <s v="Evening"/>
    <x v="1"/>
    <n v="6"/>
    <n v="3"/>
    <x v="0"/>
    <x v="0"/>
    <s v="WhatsApp"/>
    <n v="5"/>
    <x v="14"/>
    <x v="0"/>
  </r>
  <r>
    <s v="HC-00779"/>
    <s v="P-0352"/>
    <s v="Female"/>
    <n v="36"/>
    <x v="0"/>
    <s v="Diagnostic Test"/>
    <d v="2025-04-15T00:00:00"/>
    <d v="2025-05-28T00:00:00"/>
    <s v="Wednesday"/>
    <s v="Morning"/>
    <x v="2"/>
    <n v="43"/>
    <n v="3"/>
    <x v="1"/>
    <x v="1"/>
    <s v="None"/>
    <n v="8.4"/>
    <x v="2"/>
    <x v="0"/>
  </r>
  <r>
    <s v="HC-00780"/>
    <s v="P-1077"/>
    <s v="Female"/>
    <n v="76"/>
    <x v="4"/>
    <s v="General Consultation"/>
    <d v="2026-04-03T00:00:00"/>
    <d v="2026-04-10T00:00:00"/>
    <s v="Friday"/>
    <s v="Afternoon"/>
    <x v="1"/>
    <n v="7"/>
    <n v="2"/>
    <x v="0"/>
    <x v="0"/>
    <s v="SMS"/>
    <n v="8.8000000000000007"/>
    <x v="19"/>
    <x v="0"/>
  </r>
  <r>
    <s v="HC-00781"/>
    <s v="P-1516"/>
    <s v="Female"/>
    <n v="31"/>
    <x v="1"/>
    <s v="Follow-up"/>
    <d v="2026-04-14T00:00:00"/>
    <d v="2026-04-25T00:00:00"/>
    <s v="Saturday"/>
    <s v="Morning"/>
    <x v="0"/>
    <n v="11"/>
    <n v="1"/>
    <x v="0"/>
    <x v="0"/>
    <s v="Email"/>
    <n v="17.399999999999999"/>
    <x v="18"/>
    <x v="0"/>
  </r>
  <r>
    <s v="HC-00782"/>
    <s v="P-0813"/>
    <s v="Female"/>
    <n v="53"/>
    <x v="2"/>
    <s v="Follow-up"/>
    <d v="2025-12-06T00:00:00"/>
    <d v="2025-12-14T00:00:00"/>
    <s v="Sunday"/>
    <s v="Morning"/>
    <x v="0"/>
    <n v="8"/>
    <n v="2"/>
    <x v="0"/>
    <x v="0"/>
    <s v="SMS"/>
    <n v="14.7"/>
    <x v="23"/>
    <x v="1"/>
  </r>
  <r>
    <s v="HC-00783"/>
    <s v="P-1023"/>
    <s v="Male"/>
    <n v="45"/>
    <x v="2"/>
    <s v="General Consultation"/>
    <d v="2025-01-15T00:00:00"/>
    <d v="2025-03-09T00:00:00"/>
    <s v="Sunday"/>
    <s v="Evening"/>
    <x v="2"/>
    <n v="53"/>
    <n v="1"/>
    <x v="1"/>
    <x v="0"/>
    <s v="SMS"/>
    <n v="1.6"/>
    <x v="4"/>
    <x v="1"/>
  </r>
  <r>
    <s v="HC-00784"/>
    <s v="P-0075"/>
    <s v="Female"/>
    <n v="42"/>
    <x v="0"/>
    <s v="Follow-up"/>
    <d v="2025-01-08T00:00:00"/>
    <d v="2025-03-08T00:00:00"/>
    <s v="Saturday"/>
    <s v="Morning"/>
    <x v="2"/>
    <n v="59"/>
    <n v="2"/>
    <x v="2"/>
    <x v="1"/>
    <s v="None"/>
    <n v="15"/>
    <x v="6"/>
    <x v="0"/>
  </r>
  <r>
    <s v="HC-00785"/>
    <s v="P-1695"/>
    <s v="Male"/>
    <n v="70"/>
    <x v="4"/>
    <s v="General Consultation"/>
    <d v="2025-08-16T00:00:00"/>
    <d v="2025-09-19T00:00:00"/>
    <s v="Friday"/>
    <s v="Evening"/>
    <x v="2"/>
    <n v="34"/>
    <n v="4"/>
    <x v="1"/>
    <x v="0"/>
    <s v="SMS"/>
    <n v="7.5"/>
    <x v="21"/>
    <x v="0"/>
  </r>
  <r>
    <s v="HC-00786"/>
    <s v="P-1040"/>
    <s v="Female"/>
    <n v="79"/>
    <x v="4"/>
    <s v="General Consultation"/>
    <d v="2025-10-12T00:00:00"/>
    <d v="2025-11-18T00:00:00"/>
    <s v="Tuesday"/>
    <s v="Afternoon"/>
    <x v="2"/>
    <n v="37"/>
    <n v="1"/>
    <x v="0"/>
    <x v="0"/>
    <s v="WhatsApp"/>
    <n v="10.7"/>
    <x v="28"/>
    <x v="1"/>
  </r>
  <r>
    <s v="HC-00787"/>
    <s v="P-0976"/>
    <s v="Female"/>
    <n v="18"/>
    <x v="5"/>
    <s v="General Consultation"/>
    <d v="2024-12-10T00:00:00"/>
    <d v="2025-01-18T00:00:00"/>
    <s v="Saturday"/>
    <s v="Evening"/>
    <x v="2"/>
    <n v="39"/>
    <n v="2"/>
    <x v="0"/>
    <x v="0"/>
    <s v="SMS"/>
    <n v="8.1"/>
    <x v="12"/>
    <x v="2"/>
  </r>
  <r>
    <s v="HC-00788"/>
    <s v="P-0226"/>
    <s v="Male"/>
    <n v="47"/>
    <x v="2"/>
    <s v="Diagnostic Test"/>
    <d v="2025-12-04T00:00:00"/>
    <d v="2026-01-10T00:00:00"/>
    <s v="Saturday"/>
    <s v="Evening"/>
    <x v="2"/>
    <n v="37"/>
    <n v="2"/>
    <x v="0"/>
    <x v="0"/>
    <s v="SMS"/>
    <n v="5.5"/>
    <x v="20"/>
    <x v="0"/>
  </r>
  <r>
    <s v="HC-00789"/>
    <s v="P-0213"/>
    <s v="Female"/>
    <n v="25"/>
    <x v="1"/>
    <s v="General Consultation"/>
    <d v="2025-09-22T00:00:00"/>
    <d v="2025-10-25T00:00:00"/>
    <s v="Saturday"/>
    <s v="Afternoon"/>
    <x v="2"/>
    <n v="33"/>
    <n v="2"/>
    <x v="0"/>
    <x v="0"/>
    <s v="SMS"/>
    <n v="10.6"/>
    <x v="46"/>
    <x v="1"/>
  </r>
  <r>
    <s v="HC-00790"/>
    <s v="P-1365"/>
    <s v="Male"/>
    <n v="45"/>
    <x v="2"/>
    <s v="General Consultation"/>
    <d v="2024-11-08T00:00:00"/>
    <d v="2025-01-07T00:00:00"/>
    <s v="Tuesday"/>
    <s v="Evening"/>
    <x v="2"/>
    <n v="60"/>
    <n v="2"/>
    <x v="0"/>
    <x v="0"/>
    <s v="SMS"/>
    <n v="5.2"/>
    <x v="51"/>
    <x v="0"/>
  </r>
  <r>
    <s v="HC-00791"/>
    <s v="P-1752"/>
    <s v="Female"/>
    <n v="56"/>
    <x v="3"/>
    <s v="Specialist Consultation"/>
    <d v="2025-01-09T00:00:00"/>
    <d v="2025-02-22T00:00:00"/>
    <s v="Saturday"/>
    <s v="Afternoon"/>
    <x v="2"/>
    <n v="44"/>
    <n v="3"/>
    <x v="0"/>
    <x v="0"/>
    <s v="SMS"/>
    <n v="7.6"/>
    <x v="31"/>
    <x v="0"/>
  </r>
  <r>
    <s v="HC-00792"/>
    <s v="P-1606"/>
    <s v="Female"/>
    <n v="43"/>
    <x v="0"/>
    <s v="Diagnostic Test"/>
    <d v="2025-09-01T00:00:00"/>
    <d v="2025-09-06T00:00:00"/>
    <s v="Saturday"/>
    <s v="Afternoon"/>
    <x v="1"/>
    <n v="5"/>
    <n v="5"/>
    <x v="2"/>
    <x v="1"/>
    <s v="None"/>
    <n v="4.5999999999999996"/>
    <x v="18"/>
    <x v="0"/>
  </r>
  <r>
    <s v="HC-00793"/>
    <s v="P-0773"/>
    <s v="Male"/>
    <n v="37"/>
    <x v="0"/>
    <s v="Follow-up"/>
    <d v="2026-01-07T00:00:00"/>
    <d v="2026-01-30T00:00:00"/>
    <s v="Friday"/>
    <s v="Afternoon"/>
    <x v="3"/>
    <n v="23"/>
    <n v="3"/>
    <x v="2"/>
    <x v="0"/>
    <s v="WhatsApp"/>
    <n v="3.5"/>
    <x v="26"/>
    <x v="1"/>
  </r>
  <r>
    <s v="HC-00794"/>
    <s v="P-1665"/>
    <s v="Female"/>
    <n v="37"/>
    <x v="0"/>
    <s v="General Consultation"/>
    <d v="2026-01-27T00:00:00"/>
    <d v="2026-03-27T00:00:00"/>
    <s v="Friday"/>
    <s v="Morning"/>
    <x v="2"/>
    <n v="59"/>
    <n v="4"/>
    <x v="0"/>
    <x v="1"/>
    <s v="None"/>
    <n v="29.6"/>
    <x v="47"/>
    <x v="0"/>
  </r>
  <r>
    <s v="HC-00795"/>
    <s v="P-1255"/>
    <s v="Male"/>
    <n v="36"/>
    <x v="0"/>
    <s v="Follow-up"/>
    <d v="2025-07-31T00:00:00"/>
    <d v="2025-08-24T00:00:00"/>
    <s v="Sunday"/>
    <s v="Morning"/>
    <x v="3"/>
    <n v="24"/>
    <n v="2"/>
    <x v="0"/>
    <x v="0"/>
    <s v="SMS"/>
    <n v="6.1"/>
    <x v="51"/>
    <x v="2"/>
  </r>
  <r>
    <s v="HC-00796"/>
    <s v="P-0103"/>
    <s v="Male"/>
    <n v="38"/>
    <x v="0"/>
    <s v="General Consultation"/>
    <d v="2025-05-30T00:00:00"/>
    <d v="2025-06-11T00:00:00"/>
    <s v="Wednesday"/>
    <s v="Morning"/>
    <x v="0"/>
    <n v="12"/>
    <n v="3"/>
    <x v="0"/>
    <x v="1"/>
    <s v="None"/>
    <n v="7.6"/>
    <x v="12"/>
    <x v="0"/>
  </r>
  <r>
    <s v="HC-00797"/>
    <s v="P-0995"/>
    <s v="Female"/>
    <n v="41"/>
    <x v="0"/>
    <s v="Follow-up"/>
    <d v="2026-04-22T00:00:00"/>
    <d v="2026-06-13T00:00:00"/>
    <s v="Saturday"/>
    <s v="Morning"/>
    <x v="2"/>
    <n v="52"/>
    <n v="2"/>
    <x v="0"/>
    <x v="0"/>
    <s v="WhatsApp"/>
    <n v="18.3"/>
    <x v="8"/>
    <x v="0"/>
  </r>
  <r>
    <s v="HC-00798"/>
    <s v="P-0778"/>
    <s v="Female"/>
    <n v="61"/>
    <x v="3"/>
    <s v="General Consultation"/>
    <d v="2025-08-01T00:00:00"/>
    <d v="2025-09-08T00:00:00"/>
    <s v="Monday"/>
    <s v="Morning"/>
    <x v="2"/>
    <n v="38"/>
    <n v="7"/>
    <x v="1"/>
    <x v="0"/>
    <s v="SMS"/>
    <n v="9.4"/>
    <x v="11"/>
    <x v="1"/>
  </r>
  <r>
    <s v="HC-00799"/>
    <s v="P-1258"/>
    <s v="Male"/>
    <n v="24"/>
    <x v="5"/>
    <s v="General Consultation"/>
    <d v="2025-05-19T00:00:00"/>
    <d v="2025-06-22T00:00:00"/>
    <s v="Sunday"/>
    <s v="Afternoon"/>
    <x v="2"/>
    <n v="34"/>
    <n v="8"/>
    <x v="0"/>
    <x v="0"/>
    <s v="SMS"/>
    <n v="4.4000000000000004"/>
    <x v="21"/>
    <x v="0"/>
  </r>
  <r>
    <s v="HC-00800"/>
    <s v="P-1087"/>
    <s v="Female"/>
    <n v="20"/>
    <x v="5"/>
    <s v="General Consultation"/>
    <d v="2025-08-05T00:00:00"/>
    <d v="2025-08-30T00:00:00"/>
    <s v="Saturday"/>
    <s v="Afternoon"/>
    <x v="3"/>
    <n v="25"/>
    <n v="1"/>
    <x v="0"/>
    <x v="0"/>
    <s v="SMS"/>
    <n v="4.5"/>
    <x v="35"/>
    <x v="1"/>
  </r>
  <r>
    <s v="HC-00801"/>
    <s v="P-0698"/>
    <s v="Male"/>
    <n v="50"/>
    <x v="2"/>
    <s v="Specialist Consultation"/>
    <d v="2024-12-31T00:00:00"/>
    <d v="2025-01-07T00:00:00"/>
    <s v="Tuesday"/>
    <s v="Afternoon"/>
    <x v="1"/>
    <n v="7"/>
    <n v="2"/>
    <x v="1"/>
    <x v="1"/>
    <s v="None"/>
    <n v="4.2"/>
    <x v="17"/>
    <x v="1"/>
  </r>
  <r>
    <s v="HC-00802"/>
    <s v="P-0813"/>
    <s v="Female"/>
    <n v="60"/>
    <x v="3"/>
    <s v="General Consultation"/>
    <d v="2025-05-22T00:00:00"/>
    <d v="2025-06-14T00:00:00"/>
    <s v="Saturday"/>
    <s v="Evening"/>
    <x v="3"/>
    <n v="23"/>
    <n v="1"/>
    <x v="0"/>
    <x v="0"/>
    <s v="SMS"/>
    <n v="23.7"/>
    <x v="0"/>
    <x v="0"/>
  </r>
  <r>
    <s v="HC-00803"/>
    <s v="P-0202"/>
    <s v="Female"/>
    <n v="34"/>
    <x v="1"/>
    <s v="General Consultation"/>
    <d v="2025-09-13T00:00:00"/>
    <d v="2025-10-09T00:00:00"/>
    <s v="Thursday"/>
    <s v="Evening"/>
    <x v="3"/>
    <n v="26"/>
    <n v="2"/>
    <x v="1"/>
    <x v="0"/>
    <s v="Email"/>
    <n v="1.4"/>
    <x v="25"/>
    <x v="0"/>
  </r>
  <r>
    <s v="HC-00804"/>
    <s v="P-1189"/>
    <s v="Female"/>
    <n v="30"/>
    <x v="1"/>
    <s v="Follow-up"/>
    <d v="2026-03-22T00:00:00"/>
    <d v="2026-05-17T00:00:00"/>
    <s v="Sunday"/>
    <s v="Evening"/>
    <x v="2"/>
    <n v="56"/>
    <n v="3"/>
    <x v="0"/>
    <x v="0"/>
    <s v="SMS"/>
    <n v="3.8"/>
    <x v="3"/>
    <x v="0"/>
  </r>
  <r>
    <s v="HC-00805"/>
    <s v="P-0943"/>
    <s v="Male"/>
    <n v="57"/>
    <x v="3"/>
    <s v="Specialist Consultation"/>
    <d v="2026-01-21T00:00:00"/>
    <d v="2026-02-08T00:00:00"/>
    <s v="Sunday"/>
    <s v="Afternoon"/>
    <x v="3"/>
    <n v="18"/>
    <n v="5"/>
    <x v="1"/>
    <x v="0"/>
    <s v="Email"/>
    <n v="6.3"/>
    <x v="18"/>
    <x v="0"/>
  </r>
  <r>
    <s v="HC-00806"/>
    <s v="P-0916"/>
    <s v="Male"/>
    <n v="42"/>
    <x v="0"/>
    <s v="General Consultation"/>
    <d v="2026-02-22T00:00:00"/>
    <d v="2026-03-03T00:00:00"/>
    <s v="Tuesday"/>
    <s v="Morning"/>
    <x v="0"/>
    <n v="9"/>
    <n v="3"/>
    <x v="1"/>
    <x v="1"/>
    <s v="None"/>
    <n v="6.2"/>
    <x v="7"/>
    <x v="1"/>
  </r>
  <r>
    <s v="HC-00807"/>
    <s v="P-1635"/>
    <s v="Male"/>
    <n v="64"/>
    <x v="3"/>
    <s v="Follow-up"/>
    <d v="2025-09-29T00:00:00"/>
    <d v="2025-10-25T00:00:00"/>
    <s v="Saturday"/>
    <s v="Evening"/>
    <x v="3"/>
    <n v="26"/>
    <n v="4"/>
    <x v="1"/>
    <x v="0"/>
    <s v="SMS"/>
    <n v="5.8"/>
    <x v="22"/>
    <x v="1"/>
  </r>
  <r>
    <s v="HC-00808"/>
    <s v="P-0195"/>
    <s v="Female"/>
    <n v="27"/>
    <x v="1"/>
    <s v="Follow-up"/>
    <d v="2025-01-01T00:00:00"/>
    <d v="2025-03-02T00:00:00"/>
    <s v="Sunday"/>
    <s v="Morning"/>
    <x v="2"/>
    <n v="60"/>
    <n v="4"/>
    <x v="0"/>
    <x v="0"/>
    <s v="SMS"/>
    <n v="11.9"/>
    <x v="47"/>
    <x v="1"/>
  </r>
  <r>
    <s v="HC-00809"/>
    <s v="P-0538"/>
    <s v="Female"/>
    <n v="25"/>
    <x v="1"/>
    <s v="General Consultation"/>
    <d v="2025-07-04T00:00:00"/>
    <d v="2025-08-02T00:00:00"/>
    <s v="Saturday"/>
    <s v="Morning"/>
    <x v="3"/>
    <n v="29"/>
    <n v="3"/>
    <x v="0"/>
    <x v="0"/>
    <s v="SMS"/>
    <n v="10"/>
    <x v="31"/>
    <x v="0"/>
  </r>
  <r>
    <s v="HC-00810"/>
    <s v="P-0277"/>
    <s v="Female"/>
    <n v="52"/>
    <x v="2"/>
    <s v="Diagnostic Test"/>
    <d v="2026-06-06T00:00:00"/>
    <d v="2026-06-29T00:00:00"/>
    <s v="Monday"/>
    <s v="Morning"/>
    <x v="3"/>
    <n v="23"/>
    <n v="3"/>
    <x v="1"/>
    <x v="0"/>
    <s v="SMS"/>
    <n v="5"/>
    <x v="53"/>
    <x v="0"/>
  </r>
  <r>
    <s v="HC-00811"/>
    <s v="P-0822"/>
    <s v="Female"/>
    <n v="42"/>
    <x v="0"/>
    <s v="Diagnostic Test"/>
    <d v="2024-12-16T00:00:00"/>
    <d v="2025-01-25T00:00:00"/>
    <s v="Saturday"/>
    <s v="Afternoon"/>
    <x v="2"/>
    <n v="40"/>
    <n v="8"/>
    <x v="1"/>
    <x v="0"/>
    <s v="SMS"/>
    <n v="6"/>
    <x v="3"/>
    <x v="1"/>
  </r>
  <r>
    <s v="HC-00812"/>
    <s v="P-1155"/>
    <s v="Female"/>
    <n v="63"/>
    <x v="3"/>
    <s v="General Consultation"/>
    <d v="2026-03-18T00:00:00"/>
    <d v="2026-04-26T00:00:00"/>
    <s v="Sunday"/>
    <s v="Afternoon"/>
    <x v="2"/>
    <n v="39"/>
    <n v="2"/>
    <x v="0"/>
    <x v="0"/>
    <s v="Email"/>
    <n v="35"/>
    <x v="17"/>
    <x v="0"/>
  </r>
  <r>
    <s v="HC-00813"/>
    <s v="P-0733"/>
    <s v="Male"/>
    <n v="49"/>
    <x v="2"/>
    <s v="General Consultation"/>
    <d v="2025-12-22T00:00:00"/>
    <d v="2026-01-09T00:00:00"/>
    <s v="Friday"/>
    <s v="Morning"/>
    <x v="3"/>
    <n v="18"/>
    <n v="5"/>
    <x v="0"/>
    <x v="1"/>
    <s v="None"/>
    <n v="10.3"/>
    <x v="23"/>
    <x v="1"/>
  </r>
  <r>
    <s v="HC-00814"/>
    <s v="P-1442"/>
    <s v="Female"/>
    <n v="40"/>
    <x v="0"/>
    <s v="General Consultation"/>
    <d v="2025-04-07T00:00:00"/>
    <d v="2025-06-05T00:00:00"/>
    <s v="Thursday"/>
    <s v="Afternoon"/>
    <x v="2"/>
    <n v="59"/>
    <n v="2"/>
    <x v="1"/>
    <x v="1"/>
    <s v="None"/>
    <n v="0.6"/>
    <x v="27"/>
    <x v="2"/>
  </r>
  <r>
    <s v="HC-00815"/>
    <s v="P-0105"/>
    <s v="Female"/>
    <n v="28"/>
    <x v="1"/>
    <s v="General Consultation"/>
    <d v="2026-01-24T00:00:00"/>
    <d v="2026-03-01T00:00:00"/>
    <s v="Sunday"/>
    <s v="Morning"/>
    <x v="2"/>
    <n v="36"/>
    <n v="3"/>
    <x v="0"/>
    <x v="0"/>
    <s v="SMS"/>
    <n v="4.5"/>
    <x v="10"/>
    <x v="0"/>
  </r>
  <r>
    <s v="HC-00816"/>
    <s v="P-0029"/>
    <s v="Male"/>
    <n v="28"/>
    <x v="1"/>
    <s v="Follow-up"/>
    <d v="2026-03-30T00:00:00"/>
    <d v="2026-04-02T00:00:00"/>
    <s v="Thursday"/>
    <s v="Morning"/>
    <x v="1"/>
    <n v="3"/>
    <n v="6"/>
    <x v="0"/>
    <x v="0"/>
    <s v="SMS"/>
    <n v="5.8"/>
    <x v="22"/>
    <x v="1"/>
  </r>
  <r>
    <s v="HC-00817"/>
    <s v="P-1796"/>
    <s v="Female"/>
    <n v="65"/>
    <x v="4"/>
    <s v="Diagnostic Test"/>
    <d v="2024-12-31T00:00:00"/>
    <d v="2025-01-24T00:00:00"/>
    <s v="Friday"/>
    <s v="Morning"/>
    <x v="3"/>
    <n v="24"/>
    <n v="4"/>
    <x v="3"/>
    <x v="1"/>
    <s v="None"/>
    <n v="29.1"/>
    <x v="6"/>
    <x v="0"/>
  </r>
  <r>
    <s v="HC-00818"/>
    <s v="P-0616"/>
    <s v="Male"/>
    <n v="32"/>
    <x v="1"/>
    <s v="Specialist Consultation"/>
    <d v="2025-01-03T00:00:00"/>
    <d v="2025-02-28T00:00:00"/>
    <s v="Friday"/>
    <s v="Morning"/>
    <x v="2"/>
    <n v="56"/>
    <n v="3"/>
    <x v="0"/>
    <x v="0"/>
    <s v="SMS"/>
    <n v="6.1"/>
    <x v="3"/>
    <x v="0"/>
  </r>
  <r>
    <s v="HC-00819"/>
    <s v="P-1742"/>
    <s v="Female"/>
    <n v="49"/>
    <x v="2"/>
    <s v="General Consultation"/>
    <d v="2025-12-07T00:00:00"/>
    <d v="2025-12-30T00:00:00"/>
    <s v="Tuesday"/>
    <s v="Afternoon"/>
    <x v="3"/>
    <n v="23"/>
    <n v="2"/>
    <x v="0"/>
    <x v="0"/>
    <s v="SMS"/>
    <n v="6.4"/>
    <x v="40"/>
    <x v="1"/>
  </r>
  <r>
    <s v="HC-00820"/>
    <s v="P-0401"/>
    <s v="Female"/>
    <n v="69"/>
    <x v="4"/>
    <s v="Follow-up"/>
    <d v="2026-05-27T00:00:00"/>
    <d v="2026-06-30T00:00:00"/>
    <s v="Tuesday"/>
    <s v="Morning"/>
    <x v="2"/>
    <n v="34"/>
    <n v="1"/>
    <x v="0"/>
    <x v="0"/>
    <s v="SMS"/>
    <n v="2.1"/>
    <x v="55"/>
    <x v="0"/>
  </r>
  <r>
    <s v="HC-00821"/>
    <s v="P-0917"/>
    <s v="Male"/>
    <n v="74"/>
    <x v="4"/>
    <s v="General Consultation"/>
    <d v="2024-12-08T00:00:00"/>
    <d v="2025-01-14T00:00:00"/>
    <s v="Tuesday"/>
    <s v="Morning"/>
    <x v="2"/>
    <n v="37"/>
    <n v="0"/>
    <x v="0"/>
    <x v="0"/>
    <s v="WhatsApp"/>
    <n v="8.6999999999999993"/>
    <x v="4"/>
    <x v="0"/>
  </r>
  <r>
    <s v="HC-00822"/>
    <s v="P-1703"/>
    <s v="Male"/>
    <n v="34"/>
    <x v="1"/>
    <s v="Follow-up"/>
    <d v="2025-11-18T00:00:00"/>
    <d v="2025-12-30T00:00:00"/>
    <s v="Tuesday"/>
    <s v="Morning"/>
    <x v="2"/>
    <n v="42"/>
    <n v="3"/>
    <x v="0"/>
    <x v="0"/>
    <s v="SMS"/>
    <n v="13.9"/>
    <x v="23"/>
    <x v="0"/>
  </r>
  <r>
    <s v="HC-00823"/>
    <s v="P-0144"/>
    <s v="Male"/>
    <n v="24"/>
    <x v="5"/>
    <s v="General Consultation"/>
    <d v="2025-01-22T00:00:00"/>
    <d v="2025-03-16T00:00:00"/>
    <s v="Sunday"/>
    <s v="Afternoon"/>
    <x v="2"/>
    <n v="53"/>
    <n v="3"/>
    <x v="0"/>
    <x v="1"/>
    <s v="None"/>
    <n v="8.3000000000000007"/>
    <x v="8"/>
    <x v="0"/>
  </r>
  <r>
    <s v="HC-00824"/>
    <s v="P-0595"/>
    <s v="Female"/>
    <n v="66"/>
    <x v="4"/>
    <s v="Diagnostic Test"/>
    <d v="2025-12-12T00:00:00"/>
    <d v="2025-12-21T00:00:00"/>
    <s v="Sunday"/>
    <s v="Evening"/>
    <x v="0"/>
    <n v="9"/>
    <n v="2"/>
    <x v="0"/>
    <x v="0"/>
    <s v="Email"/>
    <n v="6"/>
    <x v="11"/>
    <x v="0"/>
  </r>
  <r>
    <s v="HC-00825"/>
    <s v="P-1102"/>
    <s v="Female"/>
    <n v="61"/>
    <x v="3"/>
    <s v="Specialist Consultation"/>
    <d v="2025-11-06T00:00:00"/>
    <d v="2025-12-07T00:00:00"/>
    <s v="Sunday"/>
    <s v="Afternoon"/>
    <x v="2"/>
    <n v="31"/>
    <n v="6"/>
    <x v="1"/>
    <x v="0"/>
    <s v="WhatsApp"/>
    <n v="7.4"/>
    <x v="30"/>
    <x v="0"/>
  </r>
  <r>
    <s v="HC-00826"/>
    <s v="P-0810"/>
    <s v="Male"/>
    <n v="38"/>
    <x v="0"/>
    <s v="General Consultation"/>
    <d v="2025-01-18T00:00:00"/>
    <d v="2025-02-19T00:00:00"/>
    <s v="Wednesday"/>
    <s v="Afternoon"/>
    <x v="2"/>
    <n v="32"/>
    <n v="4"/>
    <x v="0"/>
    <x v="0"/>
    <s v="SMS"/>
    <n v="13.5"/>
    <x v="27"/>
    <x v="0"/>
  </r>
  <r>
    <s v="HC-00827"/>
    <s v="P-0688"/>
    <s v="Female"/>
    <n v="55"/>
    <x v="3"/>
    <s v="Follow-up"/>
    <d v="2025-12-29T00:00:00"/>
    <d v="2026-01-07T00:00:00"/>
    <s v="Wednesday"/>
    <s v="Evening"/>
    <x v="0"/>
    <n v="9"/>
    <n v="2"/>
    <x v="0"/>
    <x v="1"/>
    <s v="None"/>
    <n v="6.9"/>
    <x v="1"/>
    <x v="1"/>
  </r>
  <r>
    <s v="HC-00828"/>
    <s v="P-1317"/>
    <s v="Male"/>
    <n v="29"/>
    <x v="1"/>
    <s v="Follow-up"/>
    <d v="2026-03-25T00:00:00"/>
    <d v="2026-05-05T00:00:00"/>
    <s v="Tuesday"/>
    <s v="Morning"/>
    <x v="2"/>
    <n v="41"/>
    <n v="4"/>
    <x v="2"/>
    <x v="0"/>
    <s v="SMS"/>
    <n v="7"/>
    <x v="36"/>
    <x v="0"/>
  </r>
  <r>
    <s v="HC-00829"/>
    <s v="P-0548"/>
    <s v="Female"/>
    <n v="62"/>
    <x v="3"/>
    <s v="Specialist Consultation"/>
    <d v="2026-04-10T00:00:00"/>
    <d v="2026-04-17T00:00:00"/>
    <s v="Friday"/>
    <s v="Morning"/>
    <x v="1"/>
    <n v="7"/>
    <n v="0"/>
    <x v="0"/>
    <x v="0"/>
    <s v="SMS"/>
    <n v="11.1"/>
    <x v="8"/>
    <x v="0"/>
  </r>
  <r>
    <s v="HC-00830"/>
    <s v="P-0211"/>
    <s v="Female"/>
    <n v="63"/>
    <x v="3"/>
    <s v="Follow-up"/>
    <d v="2024-12-20T00:00:00"/>
    <d v="2025-01-16T00:00:00"/>
    <s v="Thursday"/>
    <s v="Afternoon"/>
    <x v="3"/>
    <n v="27"/>
    <n v="1"/>
    <x v="1"/>
    <x v="0"/>
    <s v="SMS"/>
    <n v="5.3"/>
    <x v="27"/>
    <x v="1"/>
  </r>
  <r>
    <s v="HC-00831"/>
    <s v="P-0920"/>
    <s v="Female"/>
    <n v="36"/>
    <x v="0"/>
    <s v="General Consultation"/>
    <d v="2025-04-25T00:00:00"/>
    <d v="2025-05-15T00:00:00"/>
    <s v="Thursday"/>
    <s v="Morning"/>
    <x v="3"/>
    <n v="20"/>
    <n v="2"/>
    <x v="1"/>
    <x v="1"/>
    <s v="None"/>
    <n v="4.2"/>
    <x v="5"/>
    <x v="1"/>
  </r>
  <r>
    <s v="HC-00832"/>
    <s v="P-0515"/>
    <s v="Male"/>
    <n v="47"/>
    <x v="2"/>
    <s v="Follow-up"/>
    <d v="2025-05-03T00:00:00"/>
    <d v="2025-05-12T00:00:00"/>
    <s v="Monday"/>
    <s v="Afternoon"/>
    <x v="0"/>
    <n v="9"/>
    <n v="5"/>
    <x v="0"/>
    <x v="0"/>
    <s v="Email"/>
    <n v="2.1"/>
    <x v="9"/>
    <x v="1"/>
  </r>
  <r>
    <s v="HC-00833"/>
    <s v="P-0140"/>
    <s v="Female"/>
    <n v="39"/>
    <x v="0"/>
    <s v="General Consultation"/>
    <d v="2025-07-17T00:00:00"/>
    <d v="2025-09-05T00:00:00"/>
    <s v="Friday"/>
    <s v="Afternoon"/>
    <x v="2"/>
    <n v="50"/>
    <n v="3"/>
    <x v="1"/>
    <x v="1"/>
    <s v="None"/>
    <n v="7.7"/>
    <x v="21"/>
    <x v="0"/>
  </r>
  <r>
    <s v="HC-00834"/>
    <s v="P-1619"/>
    <s v="Male"/>
    <n v="19"/>
    <x v="5"/>
    <s v="Follow-up"/>
    <d v="2025-03-06T00:00:00"/>
    <d v="2025-03-20T00:00:00"/>
    <s v="Thursday"/>
    <s v="Morning"/>
    <x v="0"/>
    <n v="14"/>
    <n v="2"/>
    <x v="1"/>
    <x v="0"/>
    <s v="SMS"/>
    <n v="5.2"/>
    <x v="5"/>
    <x v="1"/>
  </r>
  <r>
    <s v="HC-00835"/>
    <s v="P-0167"/>
    <s v="Female"/>
    <n v="26"/>
    <x v="1"/>
    <s v="General Consultation"/>
    <d v="2026-03-28T00:00:00"/>
    <d v="2026-04-12T00:00:00"/>
    <s v="Sunday"/>
    <s v="Afternoon"/>
    <x v="3"/>
    <n v="15"/>
    <n v="0"/>
    <x v="0"/>
    <x v="0"/>
    <s v="WhatsApp"/>
    <n v="15"/>
    <x v="47"/>
    <x v="0"/>
  </r>
  <r>
    <s v="HC-00836"/>
    <s v="P-1162"/>
    <s v="Female"/>
    <n v="78"/>
    <x v="4"/>
    <s v="Follow-up"/>
    <d v="2026-01-08T00:00:00"/>
    <d v="2026-03-01T00:00:00"/>
    <s v="Sunday"/>
    <s v="Morning"/>
    <x v="2"/>
    <n v="52"/>
    <n v="2"/>
    <x v="1"/>
    <x v="0"/>
    <s v="SMS"/>
    <n v="7"/>
    <x v="23"/>
    <x v="0"/>
  </r>
  <r>
    <s v="HC-00837"/>
    <s v="P-0837"/>
    <s v="Female"/>
    <n v="46"/>
    <x v="2"/>
    <s v="Specialist Consultation"/>
    <d v="2026-01-24T00:00:00"/>
    <d v="2026-03-18T00:00:00"/>
    <s v="Wednesday"/>
    <s v="Morning"/>
    <x v="2"/>
    <n v="53"/>
    <n v="3"/>
    <x v="0"/>
    <x v="0"/>
    <s v="SMS"/>
    <n v="13.8"/>
    <x v="27"/>
    <x v="1"/>
  </r>
  <r>
    <s v="HC-00838"/>
    <s v="P-0887"/>
    <s v="Male"/>
    <n v="27"/>
    <x v="1"/>
    <s v="General Consultation"/>
    <d v="2025-04-17T00:00:00"/>
    <d v="2025-04-19T00:00:00"/>
    <s v="Saturday"/>
    <s v="Afternoon"/>
    <x v="1"/>
    <n v="2"/>
    <n v="4"/>
    <x v="2"/>
    <x v="1"/>
    <s v="None"/>
    <n v="12.2"/>
    <x v="12"/>
    <x v="0"/>
  </r>
  <r>
    <s v="HC-00839"/>
    <s v="P-1239"/>
    <s v="Male"/>
    <n v="20"/>
    <x v="5"/>
    <s v="General Consultation"/>
    <d v="2024-12-23T00:00:00"/>
    <d v="2025-01-08T00:00:00"/>
    <s v="Wednesday"/>
    <s v="Afternoon"/>
    <x v="3"/>
    <n v="16"/>
    <n v="2"/>
    <x v="0"/>
    <x v="0"/>
    <s v="SMS"/>
    <n v="1.9"/>
    <x v="3"/>
    <x v="1"/>
  </r>
  <r>
    <s v="HC-00840"/>
    <s v="P-1157"/>
    <s v="Female"/>
    <n v="40"/>
    <x v="0"/>
    <s v="Specialist Consultation"/>
    <d v="2026-03-31T00:00:00"/>
    <d v="2026-05-13T00:00:00"/>
    <s v="Wednesday"/>
    <s v="Morning"/>
    <x v="2"/>
    <n v="43"/>
    <n v="7"/>
    <x v="2"/>
    <x v="1"/>
    <s v="None"/>
    <n v="3.3"/>
    <x v="36"/>
    <x v="0"/>
  </r>
  <r>
    <s v="HC-00841"/>
    <s v="P-0434"/>
    <s v="Female"/>
    <n v="79"/>
    <x v="4"/>
    <s v="General Consultation"/>
    <d v="2025-04-21T00:00:00"/>
    <d v="2025-06-07T00:00:00"/>
    <s v="Saturday"/>
    <s v="Morning"/>
    <x v="2"/>
    <n v="47"/>
    <n v="3"/>
    <x v="1"/>
    <x v="1"/>
    <s v="None"/>
    <n v="24.9"/>
    <x v="5"/>
    <x v="0"/>
  </r>
  <r>
    <s v="HC-00842"/>
    <s v="P-1145"/>
    <s v="Male"/>
    <n v="42"/>
    <x v="0"/>
    <s v="Follow-up"/>
    <d v="2025-10-26T00:00:00"/>
    <d v="2025-12-25T00:00:00"/>
    <s v="Thursday"/>
    <s v="Morning"/>
    <x v="2"/>
    <n v="60"/>
    <n v="1"/>
    <x v="0"/>
    <x v="0"/>
    <s v="SMS"/>
    <n v="5.4"/>
    <x v="10"/>
    <x v="0"/>
  </r>
  <r>
    <s v="HC-00843"/>
    <s v="P-0404"/>
    <s v="Female"/>
    <n v="80"/>
    <x v="4"/>
    <s v="Follow-up"/>
    <d v="2026-04-09T00:00:00"/>
    <d v="2026-05-12T00:00:00"/>
    <s v="Tuesday"/>
    <s v="Morning"/>
    <x v="2"/>
    <n v="33"/>
    <n v="5"/>
    <x v="1"/>
    <x v="0"/>
    <s v="Email"/>
    <n v="10.6"/>
    <x v="19"/>
    <x v="1"/>
  </r>
  <r>
    <s v="HC-00844"/>
    <s v="P-0443"/>
    <s v="Male"/>
    <n v="48"/>
    <x v="2"/>
    <s v="General Consultation"/>
    <d v="2025-01-20T00:00:00"/>
    <d v="2025-01-20T00:00:00"/>
    <s v="Monday"/>
    <s v="Morning"/>
    <x v="1"/>
    <n v="0"/>
    <n v="5"/>
    <x v="1"/>
    <x v="1"/>
    <s v="None"/>
    <n v="7.6"/>
    <x v="11"/>
    <x v="1"/>
  </r>
  <r>
    <s v="HC-00845"/>
    <s v="P-1667"/>
    <s v="Male"/>
    <n v="66"/>
    <x v="4"/>
    <s v="Specialist Consultation"/>
    <d v="2024-11-11T00:00:00"/>
    <d v="2025-01-03T00:00:00"/>
    <s v="Friday"/>
    <s v="Morning"/>
    <x v="2"/>
    <n v="53"/>
    <n v="7"/>
    <x v="3"/>
    <x v="0"/>
    <s v="Email"/>
    <n v="2"/>
    <x v="26"/>
    <x v="0"/>
  </r>
  <r>
    <s v="HC-00846"/>
    <s v="P-1709"/>
    <s v="Female"/>
    <n v="67"/>
    <x v="4"/>
    <s v="Follow-up"/>
    <d v="2024-12-25T00:00:00"/>
    <d v="2025-01-03T00:00:00"/>
    <s v="Friday"/>
    <s v="Afternoon"/>
    <x v="0"/>
    <n v="9"/>
    <n v="2"/>
    <x v="0"/>
    <x v="0"/>
    <s v="WhatsApp"/>
    <n v="4.5"/>
    <x v="9"/>
    <x v="0"/>
  </r>
  <r>
    <s v="HC-00847"/>
    <s v="P-0453"/>
    <s v="Male"/>
    <n v="19"/>
    <x v="5"/>
    <s v="Follow-up"/>
    <d v="2025-03-20T00:00:00"/>
    <d v="2025-03-27T00:00:00"/>
    <s v="Thursday"/>
    <s v="Afternoon"/>
    <x v="1"/>
    <n v="7"/>
    <n v="0"/>
    <x v="0"/>
    <x v="1"/>
    <s v="None"/>
    <n v="3.8"/>
    <x v="1"/>
    <x v="2"/>
  </r>
  <r>
    <s v="HC-00848"/>
    <s v="P-0612"/>
    <s v="Male"/>
    <n v="18"/>
    <x v="5"/>
    <s v="General Consultation"/>
    <d v="2024-12-19T00:00:00"/>
    <d v="2025-01-29T00:00:00"/>
    <s v="Wednesday"/>
    <s v="Afternoon"/>
    <x v="2"/>
    <n v="41"/>
    <n v="3"/>
    <x v="0"/>
    <x v="0"/>
    <s v="SMS"/>
    <n v="13.1"/>
    <x v="26"/>
    <x v="1"/>
  </r>
  <r>
    <s v="HC-00849"/>
    <s v="P-0876"/>
    <s v="Female"/>
    <n v="76"/>
    <x v="4"/>
    <s v="General Consultation"/>
    <d v="2026-02-16T00:00:00"/>
    <d v="2026-03-24T00:00:00"/>
    <s v="Tuesday"/>
    <s v="Afternoon"/>
    <x v="2"/>
    <n v="36"/>
    <n v="2"/>
    <x v="0"/>
    <x v="1"/>
    <s v="None"/>
    <n v="4.4000000000000004"/>
    <x v="37"/>
    <x v="1"/>
  </r>
  <r>
    <s v="HC-00850"/>
    <s v="P-0747"/>
    <s v="Female"/>
    <n v="76"/>
    <x v="4"/>
    <s v="General Consultation"/>
    <d v="2025-11-24T00:00:00"/>
    <d v="2025-11-27T00:00:00"/>
    <s v="Thursday"/>
    <s v="Afternoon"/>
    <x v="1"/>
    <n v="3"/>
    <n v="5"/>
    <x v="0"/>
    <x v="0"/>
    <s v="WhatsApp"/>
    <n v="11.3"/>
    <x v="13"/>
    <x v="1"/>
  </r>
  <r>
    <s v="HC-00851"/>
    <s v="P-0539"/>
    <s v="Female"/>
    <n v="26"/>
    <x v="1"/>
    <s v="Diagnostic Test"/>
    <d v="2026-06-10T00:00:00"/>
    <d v="2026-06-20T00:00:00"/>
    <s v="Saturday"/>
    <s v="Afternoon"/>
    <x v="0"/>
    <n v="10"/>
    <n v="1"/>
    <x v="0"/>
    <x v="0"/>
    <s v="WhatsApp"/>
    <n v="2.9"/>
    <x v="7"/>
    <x v="0"/>
  </r>
  <r>
    <s v="HC-00852"/>
    <s v="P-0201"/>
    <s v="Male"/>
    <n v="58"/>
    <x v="3"/>
    <s v="Diagnostic Test"/>
    <d v="2026-02-07T00:00:00"/>
    <d v="2026-03-14T00:00:00"/>
    <s v="Saturday"/>
    <s v="Evening"/>
    <x v="2"/>
    <n v="35"/>
    <n v="6"/>
    <x v="1"/>
    <x v="0"/>
    <s v="WhatsApp"/>
    <n v="0.9"/>
    <x v="8"/>
    <x v="1"/>
  </r>
  <r>
    <s v="HC-00853"/>
    <s v="P-1519"/>
    <s v="Male"/>
    <n v="76"/>
    <x v="4"/>
    <s v="Specialist Consultation"/>
    <d v="2026-05-26T00:00:00"/>
    <d v="2026-06-10T00:00:00"/>
    <s v="Wednesday"/>
    <s v="Afternoon"/>
    <x v="3"/>
    <n v="15"/>
    <n v="5"/>
    <x v="0"/>
    <x v="1"/>
    <s v="None"/>
    <n v="8.8000000000000007"/>
    <x v="14"/>
    <x v="1"/>
  </r>
  <r>
    <s v="HC-00854"/>
    <s v="P-0945"/>
    <s v="Female"/>
    <n v="77"/>
    <x v="4"/>
    <s v="General Consultation"/>
    <d v="2025-03-31T00:00:00"/>
    <d v="2025-05-11T00:00:00"/>
    <s v="Sunday"/>
    <s v="Afternoon"/>
    <x v="2"/>
    <n v="41"/>
    <n v="5"/>
    <x v="0"/>
    <x v="1"/>
    <s v="None"/>
    <n v="10.9"/>
    <x v="6"/>
    <x v="1"/>
  </r>
  <r>
    <s v="HC-00855"/>
    <s v="P-0451"/>
    <s v="Female"/>
    <n v="36"/>
    <x v="0"/>
    <s v="Follow-up"/>
    <d v="2025-05-13T00:00:00"/>
    <d v="2025-06-07T00:00:00"/>
    <s v="Saturday"/>
    <s v="Afternoon"/>
    <x v="3"/>
    <n v="25"/>
    <n v="4"/>
    <x v="0"/>
    <x v="0"/>
    <s v="WhatsApp"/>
    <n v="6.2"/>
    <x v="15"/>
    <x v="1"/>
  </r>
  <r>
    <s v="HC-00856"/>
    <s v="P-1089"/>
    <s v="Female"/>
    <n v="69"/>
    <x v="4"/>
    <s v="Specialist Consultation"/>
    <d v="2026-03-05T00:00:00"/>
    <d v="2026-04-09T00:00:00"/>
    <s v="Thursday"/>
    <s v="Afternoon"/>
    <x v="2"/>
    <n v="35"/>
    <n v="4"/>
    <x v="2"/>
    <x v="0"/>
    <s v="WhatsApp"/>
    <n v="8.6"/>
    <x v="6"/>
    <x v="1"/>
  </r>
  <r>
    <s v="HC-00857"/>
    <s v="P-0168"/>
    <s v="Female"/>
    <n v="58"/>
    <x v="3"/>
    <s v="Follow-up"/>
    <d v="2025-04-16T00:00:00"/>
    <d v="2025-05-14T00:00:00"/>
    <s v="Wednesday"/>
    <s v="Morning"/>
    <x v="3"/>
    <n v="28"/>
    <n v="1"/>
    <x v="0"/>
    <x v="0"/>
    <s v="SMS"/>
    <n v="2.5"/>
    <x v="25"/>
    <x v="1"/>
  </r>
  <r>
    <s v="HC-00858"/>
    <s v="P-0906"/>
    <s v="Female"/>
    <n v="76"/>
    <x v="4"/>
    <s v="General Consultation"/>
    <d v="2025-01-10T00:00:00"/>
    <d v="2025-02-01T00:00:00"/>
    <s v="Saturday"/>
    <s v="Morning"/>
    <x v="3"/>
    <n v="22"/>
    <n v="2"/>
    <x v="0"/>
    <x v="0"/>
    <s v="WhatsApp"/>
    <n v="6.6"/>
    <x v="6"/>
    <x v="1"/>
  </r>
  <r>
    <s v="HC-00859"/>
    <s v="P-1324"/>
    <s v="Female"/>
    <n v="27"/>
    <x v="1"/>
    <s v="Diagnostic Test"/>
    <d v="2025-12-12T00:00:00"/>
    <d v="2026-01-01T00:00:00"/>
    <s v="Thursday"/>
    <s v="Morning"/>
    <x v="3"/>
    <n v="20"/>
    <n v="5"/>
    <x v="2"/>
    <x v="0"/>
    <s v="WhatsApp"/>
    <n v="15"/>
    <x v="47"/>
    <x v="0"/>
  </r>
  <r>
    <s v="HC-00860"/>
    <s v="P-1365"/>
    <s v="Female"/>
    <n v="55"/>
    <x v="3"/>
    <s v="General Consultation"/>
    <d v="2026-01-31T00:00:00"/>
    <d v="2026-03-14T00:00:00"/>
    <s v="Saturday"/>
    <s v="Morning"/>
    <x v="2"/>
    <n v="42"/>
    <n v="4"/>
    <x v="2"/>
    <x v="0"/>
    <s v="WhatsApp"/>
    <n v="25.5"/>
    <x v="27"/>
    <x v="1"/>
  </r>
  <r>
    <s v="HC-00861"/>
    <s v="P-1176"/>
    <s v="Male"/>
    <n v="19"/>
    <x v="5"/>
    <s v="General Consultation"/>
    <d v="2026-05-13T00:00:00"/>
    <d v="2026-06-13T00:00:00"/>
    <s v="Saturday"/>
    <s v="Morning"/>
    <x v="2"/>
    <n v="31"/>
    <n v="3"/>
    <x v="1"/>
    <x v="0"/>
    <s v="WhatsApp"/>
    <n v="7.8"/>
    <x v="8"/>
    <x v="0"/>
  </r>
  <r>
    <s v="HC-00862"/>
    <s v="P-0607"/>
    <s v="Male"/>
    <n v="40"/>
    <x v="0"/>
    <s v="Diagnostic Test"/>
    <d v="2026-04-16T00:00:00"/>
    <d v="2026-05-22T00:00:00"/>
    <s v="Friday"/>
    <s v="Morning"/>
    <x v="2"/>
    <n v="36"/>
    <n v="3"/>
    <x v="0"/>
    <x v="0"/>
    <s v="WhatsApp"/>
    <n v="10.199999999999999"/>
    <x v="12"/>
    <x v="0"/>
  </r>
  <r>
    <s v="HC-00863"/>
    <s v="P-1758"/>
    <s v="Female"/>
    <n v="18"/>
    <x v="5"/>
    <s v="Follow-up"/>
    <d v="2025-01-31T00:00:00"/>
    <d v="2025-03-07T00:00:00"/>
    <s v="Friday"/>
    <s v="Morning"/>
    <x v="2"/>
    <n v="35"/>
    <n v="2"/>
    <x v="0"/>
    <x v="1"/>
    <s v="None"/>
    <n v="15.3"/>
    <x v="7"/>
    <x v="1"/>
  </r>
  <r>
    <s v="HC-00864"/>
    <s v="P-1074"/>
    <s v="Male"/>
    <n v="45"/>
    <x v="2"/>
    <s v="General Consultation"/>
    <d v="2026-02-14T00:00:00"/>
    <d v="2026-02-26T00:00:00"/>
    <s v="Thursday"/>
    <s v="Evening"/>
    <x v="0"/>
    <n v="12"/>
    <n v="4"/>
    <x v="0"/>
    <x v="0"/>
    <s v="SMS"/>
    <n v="9"/>
    <x v="36"/>
    <x v="1"/>
  </r>
  <r>
    <s v="HC-00865"/>
    <s v="P-1277"/>
    <s v="Female"/>
    <n v="69"/>
    <x v="4"/>
    <s v="Follow-up"/>
    <d v="2026-02-11T00:00:00"/>
    <d v="2026-04-07T00:00:00"/>
    <s v="Tuesday"/>
    <s v="Morning"/>
    <x v="2"/>
    <n v="55"/>
    <n v="3"/>
    <x v="1"/>
    <x v="0"/>
    <s v="Email"/>
    <n v="10.7"/>
    <x v="17"/>
    <x v="0"/>
  </r>
  <r>
    <s v="HC-00866"/>
    <s v="P-0389"/>
    <s v="Female"/>
    <n v="59"/>
    <x v="3"/>
    <s v="Diagnostic Test"/>
    <d v="2025-12-14T00:00:00"/>
    <d v="2026-01-17T00:00:00"/>
    <s v="Saturday"/>
    <s v="Morning"/>
    <x v="2"/>
    <n v="34"/>
    <n v="6"/>
    <x v="0"/>
    <x v="0"/>
    <s v="WhatsApp"/>
    <n v="20.6"/>
    <x v="6"/>
    <x v="1"/>
  </r>
  <r>
    <s v="HC-00867"/>
    <s v="P-0261"/>
    <s v="Prefer not to say"/>
    <n v="37"/>
    <x v="0"/>
    <s v="General Consultation"/>
    <d v="2026-02-09T00:00:00"/>
    <d v="2026-03-24T00:00:00"/>
    <s v="Tuesday"/>
    <s v="Morning"/>
    <x v="2"/>
    <n v="43"/>
    <n v="2"/>
    <x v="0"/>
    <x v="0"/>
    <s v="Email"/>
    <n v="10.3"/>
    <x v="0"/>
    <x v="2"/>
  </r>
  <r>
    <s v="HC-00868"/>
    <s v="P-1695"/>
    <s v="Male"/>
    <n v="44"/>
    <x v="0"/>
    <s v="Specialist Consultation"/>
    <d v="2026-02-09T00:00:00"/>
    <d v="2026-04-03T00:00:00"/>
    <s v="Friday"/>
    <s v="Morning"/>
    <x v="2"/>
    <n v="53"/>
    <n v="4"/>
    <x v="0"/>
    <x v="1"/>
    <s v="None"/>
    <n v="6.4"/>
    <x v="20"/>
    <x v="0"/>
  </r>
  <r>
    <s v="HC-00869"/>
    <s v="P-1523"/>
    <s v="Female"/>
    <n v="41"/>
    <x v="0"/>
    <s v="General Consultation"/>
    <d v="2025-07-07T00:00:00"/>
    <d v="2025-09-01T00:00:00"/>
    <s v="Monday"/>
    <s v="Afternoon"/>
    <x v="2"/>
    <n v="56"/>
    <n v="1"/>
    <x v="0"/>
    <x v="0"/>
    <s v="SMS"/>
    <n v="20.399999999999999"/>
    <x v="16"/>
    <x v="0"/>
  </r>
  <r>
    <s v="HC-00870"/>
    <s v="P-1340"/>
    <s v="Female"/>
    <n v="64"/>
    <x v="3"/>
    <s v="General Consultation"/>
    <d v="2024-12-13T00:00:00"/>
    <d v="2025-01-22T00:00:00"/>
    <s v="Wednesday"/>
    <s v="Afternoon"/>
    <x v="2"/>
    <n v="40"/>
    <n v="5"/>
    <x v="0"/>
    <x v="1"/>
    <s v="None"/>
    <n v="9.6999999999999993"/>
    <x v="9"/>
    <x v="0"/>
  </r>
  <r>
    <s v="HC-00871"/>
    <s v="P-0381"/>
    <s v="Male"/>
    <n v="34"/>
    <x v="1"/>
    <s v="Follow-up"/>
    <d v="2025-07-21T00:00:00"/>
    <d v="2025-09-07T00:00:00"/>
    <s v="Sunday"/>
    <s v="Morning"/>
    <x v="2"/>
    <n v="48"/>
    <n v="1"/>
    <x v="0"/>
    <x v="0"/>
    <s v="SMS"/>
    <n v="3.2"/>
    <x v="9"/>
    <x v="1"/>
  </r>
  <r>
    <s v="HC-00872"/>
    <s v="P-0447"/>
    <s v="Female"/>
    <n v="23"/>
    <x v="5"/>
    <s v="Follow-up"/>
    <d v="2025-03-24T00:00:00"/>
    <d v="2025-04-21T00:00:00"/>
    <s v="Monday"/>
    <s v="Afternoon"/>
    <x v="3"/>
    <n v="28"/>
    <n v="3"/>
    <x v="0"/>
    <x v="0"/>
    <s v="SMS"/>
    <n v="6.9"/>
    <x v="5"/>
    <x v="1"/>
  </r>
  <r>
    <s v="HC-00873"/>
    <s v="P-0875"/>
    <s v="Male"/>
    <n v="49"/>
    <x v="2"/>
    <s v="General Consultation"/>
    <d v="2025-01-18T00:00:00"/>
    <d v="2025-03-04T00:00:00"/>
    <s v="Tuesday"/>
    <s v="Morning"/>
    <x v="2"/>
    <n v="45"/>
    <n v="4"/>
    <x v="1"/>
    <x v="0"/>
    <s v="Email"/>
    <n v="27.4"/>
    <x v="10"/>
    <x v="0"/>
  </r>
  <r>
    <s v="HC-00874"/>
    <s v="P-0164"/>
    <s v="Female"/>
    <n v="70"/>
    <x v="4"/>
    <s v="General Consultation"/>
    <d v="2025-02-19T00:00:00"/>
    <d v="2025-03-10T00:00:00"/>
    <s v="Monday"/>
    <s v="Afternoon"/>
    <x v="3"/>
    <n v="19"/>
    <n v="2"/>
    <x v="0"/>
    <x v="0"/>
    <s v="SMS"/>
    <n v="16"/>
    <x v="56"/>
    <x v="0"/>
  </r>
  <r>
    <s v="HC-00875"/>
    <s v="P-0846"/>
    <s v="Female"/>
    <n v="48"/>
    <x v="2"/>
    <s v="Follow-up"/>
    <d v="2025-12-04T00:00:00"/>
    <d v="2026-01-16T00:00:00"/>
    <s v="Friday"/>
    <s v="Evening"/>
    <x v="2"/>
    <n v="43"/>
    <n v="2"/>
    <x v="0"/>
    <x v="0"/>
    <s v="SMS"/>
    <n v="5.5"/>
    <x v="26"/>
    <x v="1"/>
  </r>
  <r>
    <s v="HC-00876"/>
    <s v="P-0302"/>
    <s v="Male"/>
    <n v="30"/>
    <x v="1"/>
    <s v="Follow-up"/>
    <d v="2025-09-28T00:00:00"/>
    <d v="2025-10-03T00:00:00"/>
    <s v="Friday"/>
    <s v="Evening"/>
    <x v="1"/>
    <n v="5"/>
    <n v="4"/>
    <x v="1"/>
    <x v="0"/>
    <s v="WhatsApp"/>
    <n v="17.399999999999999"/>
    <x v="11"/>
    <x v="1"/>
  </r>
  <r>
    <s v="HC-00877"/>
    <s v="P-1295"/>
    <s v="Male"/>
    <n v="20"/>
    <x v="5"/>
    <s v="Specialist Consultation"/>
    <d v="2025-08-28T00:00:00"/>
    <d v="2025-10-22T00:00:00"/>
    <s v="Wednesday"/>
    <s v="Morning"/>
    <x v="2"/>
    <n v="55"/>
    <n v="5"/>
    <x v="1"/>
    <x v="0"/>
    <s v="Email"/>
    <n v="6.9"/>
    <x v="30"/>
    <x v="0"/>
  </r>
  <r>
    <s v="HC-00878"/>
    <s v="P-0270"/>
    <s v="Female"/>
    <n v="77"/>
    <x v="4"/>
    <s v="Specialist Consultation"/>
    <d v="2026-01-28T00:00:00"/>
    <d v="2026-02-11T00:00:00"/>
    <s v="Wednesday"/>
    <s v="Afternoon"/>
    <x v="0"/>
    <n v="14"/>
    <n v="2"/>
    <x v="0"/>
    <x v="1"/>
    <s v="None"/>
    <n v="4.5"/>
    <x v="18"/>
    <x v="0"/>
  </r>
  <r>
    <s v="HC-00879"/>
    <s v="P-0067"/>
    <s v="Male"/>
    <n v="65"/>
    <x v="4"/>
    <s v="General Consultation"/>
    <d v="2025-09-17T00:00:00"/>
    <d v="2025-10-27T00:00:00"/>
    <s v="Monday"/>
    <s v="Afternoon"/>
    <x v="2"/>
    <n v="40"/>
    <n v="2"/>
    <x v="0"/>
    <x v="0"/>
    <s v="SMS"/>
    <n v="15.2"/>
    <x v="26"/>
    <x v="1"/>
  </r>
  <r>
    <s v="HC-00880"/>
    <s v="P-1274"/>
    <s v="Male"/>
    <n v="27"/>
    <x v="1"/>
    <s v="Follow-up"/>
    <d v="2025-12-10T00:00:00"/>
    <d v="2025-12-10T00:00:00"/>
    <s v="Wednesday"/>
    <s v="Afternoon"/>
    <x v="1"/>
    <n v="0"/>
    <n v="4"/>
    <x v="0"/>
    <x v="0"/>
    <s v="WhatsApp"/>
    <n v="3.3"/>
    <x v="25"/>
    <x v="1"/>
  </r>
  <r>
    <s v="HC-00881"/>
    <s v="P-1097"/>
    <s v="Female"/>
    <n v="22"/>
    <x v="5"/>
    <s v="Follow-up"/>
    <d v="2025-02-07T00:00:00"/>
    <d v="2025-02-16T00:00:00"/>
    <s v="Sunday"/>
    <s v="Morning"/>
    <x v="0"/>
    <n v="9"/>
    <n v="4"/>
    <x v="0"/>
    <x v="0"/>
    <s v="SMS"/>
    <n v="4.5999999999999996"/>
    <x v="35"/>
    <x v="1"/>
  </r>
  <r>
    <s v="HC-00882"/>
    <s v="P-0017"/>
    <s v="Female"/>
    <n v="26"/>
    <x v="1"/>
    <s v="Follow-up"/>
    <d v="2026-02-09T00:00:00"/>
    <d v="2026-04-10T00:00:00"/>
    <s v="Friday"/>
    <s v="Afternoon"/>
    <x v="2"/>
    <n v="60"/>
    <n v="1"/>
    <x v="0"/>
    <x v="0"/>
    <s v="WhatsApp"/>
    <n v="8.9"/>
    <x v="4"/>
    <x v="1"/>
  </r>
  <r>
    <s v="HC-00883"/>
    <s v="P-1189"/>
    <s v="Female"/>
    <n v="41"/>
    <x v="0"/>
    <s v="General Consultation"/>
    <d v="2025-07-15T00:00:00"/>
    <d v="2025-09-03T00:00:00"/>
    <s v="Wednesday"/>
    <s v="Morning"/>
    <x v="2"/>
    <n v="50"/>
    <n v="6"/>
    <x v="4"/>
    <x v="1"/>
    <s v="None"/>
    <n v="10"/>
    <x v="42"/>
    <x v="0"/>
  </r>
  <r>
    <s v="HC-00884"/>
    <s v="P-0472"/>
    <s v="Male"/>
    <n v="69"/>
    <x v="4"/>
    <s v="General Consultation"/>
    <d v="2025-03-13T00:00:00"/>
    <d v="2025-03-26T00:00:00"/>
    <s v="Wednesday"/>
    <s v="Morning"/>
    <x v="0"/>
    <n v="13"/>
    <n v="3"/>
    <x v="0"/>
    <x v="1"/>
    <s v="None"/>
    <n v="13.7"/>
    <x v="20"/>
    <x v="1"/>
  </r>
  <r>
    <s v="HC-00885"/>
    <s v="P-1793"/>
    <s v="Male"/>
    <n v="28"/>
    <x v="1"/>
    <s v="General Consultation"/>
    <d v="2026-03-14T00:00:00"/>
    <d v="2026-03-21T00:00:00"/>
    <s v="Saturday"/>
    <s v="Afternoon"/>
    <x v="1"/>
    <n v="7"/>
    <n v="2"/>
    <x v="0"/>
    <x v="0"/>
    <s v="SMS"/>
    <n v="3.9"/>
    <x v="47"/>
    <x v="1"/>
  </r>
  <r>
    <s v="HC-00886"/>
    <s v="P-0724"/>
    <s v="Female"/>
    <n v="69"/>
    <x v="4"/>
    <s v="General Consultation"/>
    <d v="2025-12-19T00:00:00"/>
    <d v="2026-02-06T00:00:00"/>
    <s v="Friday"/>
    <s v="Morning"/>
    <x v="2"/>
    <n v="49"/>
    <n v="9"/>
    <x v="0"/>
    <x v="1"/>
    <s v="None"/>
    <n v="9"/>
    <x v="19"/>
    <x v="1"/>
  </r>
  <r>
    <s v="HC-00887"/>
    <s v="P-0319"/>
    <s v="Male"/>
    <n v="18"/>
    <x v="5"/>
    <s v="Diagnostic Test"/>
    <d v="2024-11-30T00:00:00"/>
    <d v="2025-01-29T00:00:00"/>
    <s v="Wednesday"/>
    <s v="Morning"/>
    <x v="2"/>
    <n v="60"/>
    <n v="5"/>
    <x v="1"/>
    <x v="0"/>
    <s v="SMS"/>
    <n v="1.2"/>
    <x v="16"/>
    <x v="1"/>
  </r>
  <r>
    <s v="HC-00888"/>
    <s v="P-0051"/>
    <s v="Female"/>
    <n v="64"/>
    <x v="3"/>
    <s v="Follow-up"/>
    <d v="2025-04-06T00:00:00"/>
    <d v="2025-04-16T00:00:00"/>
    <s v="Wednesday"/>
    <s v="Afternoon"/>
    <x v="0"/>
    <n v="10"/>
    <n v="4"/>
    <x v="0"/>
    <x v="1"/>
    <s v="None"/>
    <n v="1.4"/>
    <x v="28"/>
    <x v="1"/>
  </r>
  <r>
    <s v="HC-00889"/>
    <s v="P-0206"/>
    <s v="Male"/>
    <n v="35"/>
    <x v="0"/>
    <s v="Follow-up"/>
    <d v="2024-11-30T00:00:00"/>
    <d v="2025-01-09T00:00:00"/>
    <s v="Thursday"/>
    <s v="Afternoon"/>
    <x v="2"/>
    <n v="40"/>
    <n v="1"/>
    <x v="0"/>
    <x v="0"/>
    <s v="SMS"/>
    <n v="4.8"/>
    <x v="47"/>
    <x v="0"/>
  </r>
  <r>
    <s v="HC-00890"/>
    <s v="P-0454"/>
    <s v="Male"/>
    <n v="78"/>
    <x v="4"/>
    <s v="Follow-up"/>
    <d v="2025-05-11T00:00:00"/>
    <d v="2025-05-28T00:00:00"/>
    <s v="Wednesday"/>
    <s v="Evening"/>
    <x v="3"/>
    <n v="17"/>
    <n v="2"/>
    <x v="0"/>
    <x v="0"/>
    <s v="SMS"/>
    <n v="13.7"/>
    <x v="35"/>
    <x v="1"/>
  </r>
  <r>
    <s v="HC-00891"/>
    <s v="P-0681"/>
    <s v="Female"/>
    <n v="47"/>
    <x v="2"/>
    <s v="Follow-up"/>
    <d v="2025-01-10T00:00:00"/>
    <d v="2025-02-24T00:00:00"/>
    <s v="Monday"/>
    <s v="Afternoon"/>
    <x v="2"/>
    <n v="45"/>
    <n v="4"/>
    <x v="0"/>
    <x v="0"/>
    <s v="Email"/>
    <n v="11.6"/>
    <x v="21"/>
    <x v="0"/>
  </r>
  <r>
    <s v="HC-00892"/>
    <s v="P-1407"/>
    <s v="Female"/>
    <n v="35"/>
    <x v="0"/>
    <s v="Follow-up"/>
    <d v="2025-12-29T00:00:00"/>
    <d v="2026-01-23T00:00:00"/>
    <s v="Friday"/>
    <s v="Afternoon"/>
    <x v="3"/>
    <n v="25"/>
    <n v="5"/>
    <x v="1"/>
    <x v="0"/>
    <s v="SMS"/>
    <n v="6.9"/>
    <x v="2"/>
    <x v="1"/>
  </r>
  <r>
    <s v="HC-00893"/>
    <s v="P-0792"/>
    <s v="Female"/>
    <n v="33"/>
    <x v="1"/>
    <s v="Follow-up"/>
    <d v="2025-10-06T00:00:00"/>
    <d v="2025-10-13T00:00:00"/>
    <s v="Monday"/>
    <s v="Afternoon"/>
    <x v="1"/>
    <n v="7"/>
    <n v="5"/>
    <x v="1"/>
    <x v="0"/>
    <s v="SMS"/>
    <n v="1.8"/>
    <x v="19"/>
    <x v="1"/>
  </r>
  <r>
    <s v="HC-00894"/>
    <s v="P-1534"/>
    <s v="Male"/>
    <n v="70"/>
    <x v="4"/>
    <s v="Specialist Consultation"/>
    <d v="2026-06-01T00:00:00"/>
    <d v="2026-06-20T00:00:00"/>
    <s v="Saturday"/>
    <s v="Morning"/>
    <x v="3"/>
    <n v="19"/>
    <n v="3"/>
    <x v="0"/>
    <x v="0"/>
    <s v="SMS"/>
    <n v="9.9"/>
    <x v="11"/>
    <x v="1"/>
  </r>
  <r>
    <s v="HC-00895"/>
    <s v="P-0639"/>
    <s v="Female"/>
    <n v="43"/>
    <x v="0"/>
    <s v="General Consultation"/>
    <d v="2026-01-13T00:00:00"/>
    <d v="2026-02-14T00:00:00"/>
    <s v="Saturday"/>
    <s v="Morning"/>
    <x v="2"/>
    <n v="32"/>
    <n v="0"/>
    <x v="0"/>
    <x v="0"/>
    <s v="WhatsApp"/>
    <n v="39.6"/>
    <x v="23"/>
    <x v="0"/>
  </r>
  <r>
    <s v="HC-00896"/>
    <s v="P-0838"/>
    <s v="Male"/>
    <n v="40"/>
    <x v="0"/>
    <s v="Follow-up"/>
    <d v="2025-10-13T00:00:00"/>
    <d v="2025-11-30T00:00:00"/>
    <s v="Sunday"/>
    <s v="Evening"/>
    <x v="2"/>
    <n v="48"/>
    <n v="1"/>
    <x v="1"/>
    <x v="0"/>
    <s v="SMS"/>
    <n v="8.1"/>
    <x v="7"/>
    <x v="0"/>
  </r>
  <r>
    <s v="HC-00897"/>
    <s v="P-1640"/>
    <s v="Female"/>
    <n v="64"/>
    <x v="3"/>
    <s v="Follow-up"/>
    <d v="2025-10-05T00:00:00"/>
    <d v="2025-10-06T00:00:00"/>
    <s v="Monday"/>
    <s v="Morning"/>
    <x v="1"/>
    <n v="1"/>
    <n v="2"/>
    <x v="0"/>
    <x v="0"/>
    <s v="SMS"/>
    <n v="3.3"/>
    <x v="18"/>
    <x v="1"/>
  </r>
  <r>
    <s v="HC-00898"/>
    <s v="P-1285"/>
    <s v="Female"/>
    <n v="51"/>
    <x v="2"/>
    <s v="Specialist Consultation"/>
    <d v="2024-12-03T00:00:00"/>
    <d v="2025-01-30T00:00:00"/>
    <s v="Thursday"/>
    <s v="Morning"/>
    <x v="2"/>
    <n v="58"/>
    <n v="1"/>
    <x v="0"/>
    <x v="1"/>
    <s v="None"/>
    <n v="7.7"/>
    <x v="10"/>
    <x v="0"/>
  </r>
  <r>
    <s v="HC-00899"/>
    <s v="P-1756"/>
    <s v="Male"/>
    <n v="59"/>
    <x v="3"/>
    <s v="Diagnostic Test"/>
    <d v="2024-12-31T00:00:00"/>
    <d v="2025-02-08T00:00:00"/>
    <s v="Saturday"/>
    <s v="Afternoon"/>
    <x v="2"/>
    <n v="39"/>
    <n v="4"/>
    <x v="0"/>
    <x v="1"/>
    <s v="None"/>
    <n v="2.2000000000000002"/>
    <x v="2"/>
    <x v="0"/>
  </r>
  <r>
    <s v="HC-00900"/>
    <s v="P-1520"/>
    <s v="Female"/>
    <n v="46"/>
    <x v="2"/>
    <s v="Specialist Consultation"/>
    <d v="2025-10-11T00:00:00"/>
    <d v="2025-12-03T00:00:00"/>
    <s v="Wednesday"/>
    <s v="Morning"/>
    <x v="2"/>
    <n v="53"/>
    <n v="0"/>
    <x v="0"/>
    <x v="0"/>
    <s v="Email"/>
    <n v="5.4"/>
    <x v="11"/>
    <x v="0"/>
  </r>
  <r>
    <s v="HC-00901"/>
    <s v="P-0123"/>
    <s v="Male"/>
    <n v="22"/>
    <x v="5"/>
    <s v="Follow-up"/>
    <d v="2024-11-08T00:00:00"/>
    <d v="2025-01-03T00:00:00"/>
    <s v="Friday"/>
    <s v="Morning"/>
    <x v="2"/>
    <n v="56"/>
    <n v="2"/>
    <x v="1"/>
    <x v="0"/>
    <s v="SMS"/>
    <n v="13"/>
    <x v="37"/>
    <x v="0"/>
  </r>
  <r>
    <s v="HC-00902"/>
    <s v="P-0147"/>
    <s v="Female"/>
    <n v="18"/>
    <x v="5"/>
    <s v="General Consultation"/>
    <d v="2025-01-15T00:00:00"/>
    <d v="2025-01-24T00:00:00"/>
    <s v="Friday"/>
    <s v="Afternoon"/>
    <x v="0"/>
    <n v="9"/>
    <n v="2"/>
    <x v="0"/>
    <x v="0"/>
    <s v="SMS"/>
    <n v="19.399999999999999"/>
    <x v="14"/>
    <x v="1"/>
  </r>
  <r>
    <s v="HC-00903"/>
    <s v="P-0067"/>
    <s v="Female"/>
    <n v="20"/>
    <x v="5"/>
    <s v="Follow-up"/>
    <d v="2025-04-25T00:00:00"/>
    <d v="2025-04-30T00:00:00"/>
    <s v="Wednesday"/>
    <s v="Morning"/>
    <x v="1"/>
    <n v="5"/>
    <n v="4"/>
    <x v="0"/>
    <x v="1"/>
    <s v="None"/>
    <n v="6.5"/>
    <x v="14"/>
    <x v="0"/>
  </r>
  <r>
    <s v="HC-00904"/>
    <s v="P-1458"/>
    <s v="Female"/>
    <n v="54"/>
    <x v="2"/>
    <s v="Specialist Consultation"/>
    <d v="2026-03-12T00:00:00"/>
    <d v="2026-04-28T00:00:00"/>
    <s v="Tuesday"/>
    <s v="Afternoon"/>
    <x v="2"/>
    <n v="47"/>
    <n v="4"/>
    <x v="0"/>
    <x v="1"/>
    <s v="None"/>
    <n v="2.8"/>
    <x v="3"/>
    <x v="1"/>
  </r>
  <r>
    <s v="HC-00905"/>
    <s v="P-1315"/>
    <s v="Female"/>
    <n v="50"/>
    <x v="2"/>
    <s v="Diagnostic Test"/>
    <d v="2025-08-28T00:00:00"/>
    <d v="2025-09-08T00:00:00"/>
    <s v="Monday"/>
    <s v="Morning"/>
    <x v="0"/>
    <n v="11"/>
    <n v="2"/>
    <x v="0"/>
    <x v="1"/>
    <s v="None"/>
    <n v="13.6"/>
    <x v="21"/>
    <x v="1"/>
  </r>
  <r>
    <s v="HC-00906"/>
    <s v="P-1509"/>
    <s v="Male"/>
    <n v="65"/>
    <x v="4"/>
    <s v="Specialist Consultation"/>
    <d v="2026-01-14T00:00:00"/>
    <d v="2026-01-23T00:00:00"/>
    <s v="Friday"/>
    <s v="Afternoon"/>
    <x v="0"/>
    <n v="9"/>
    <n v="0"/>
    <x v="0"/>
    <x v="0"/>
    <s v="SMS"/>
    <n v="9.6"/>
    <x v="14"/>
    <x v="1"/>
  </r>
  <r>
    <s v="HC-00907"/>
    <s v="P-1417"/>
    <s v="Female"/>
    <n v="74"/>
    <x v="4"/>
    <s v="General Consultation"/>
    <d v="2025-07-16T00:00:00"/>
    <d v="2025-08-13T00:00:00"/>
    <s v="Wednesday"/>
    <s v="Morning"/>
    <x v="3"/>
    <n v="28"/>
    <n v="4"/>
    <x v="1"/>
    <x v="1"/>
    <s v="None"/>
    <n v="7.6"/>
    <x v="28"/>
    <x v="1"/>
  </r>
  <r>
    <s v="HC-00908"/>
    <s v="P-1289"/>
    <s v="Female"/>
    <n v="28"/>
    <x v="1"/>
    <s v="Specialist Consultation"/>
    <d v="2025-02-09T00:00:00"/>
    <d v="2025-04-05T00:00:00"/>
    <s v="Saturday"/>
    <s v="Afternoon"/>
    <x v="2"/>
    <n v="55"/>
    <n v="3"/>
    <x v="0"/>
    <x v="0"/>
    <s v="SMS"/>
    <n v="8.6"/>
    <x v="37"/>
    <x v="1"/>
  </r>
  <r>
    <s v="HC-00909"/>
    <s v="P-0152"/>
    <s v="Female"/>
    <n v="78"/>
    <x v="4"/>
    <s v="Diagnostic Test"/>
    <d v="2025-06-04T00:00:00"/>
    <d v="2025-07-22T00:00:00"/>
    <s v="Tuesday"/>
    <s v="Morning"/>
    <x v="2"/>
    <n v="48"/>
    <n v="3"/>
    <x v="0"/>
    <x v="0"/>
    <s v="Email"/>
    <n v="6.7"/>
    <x v="26"/>
    <x v="1"/>
  </r>
  <r>
    <s v="HC-00910"/>
    <s v="P-0737"/>
    <s v="Male"/>
    <n v="76"/>
    <x v="4"/>
    <s v="Follow-up"/>
    <d v="2025-01-20T00:00:00"/>
    <d v="2025-02-20T00:00:00"/>
    <s v="Thursday"/>
    <s v="Morning"/>
    <x v="2"/>
    <n v="31"/>
    <n v="3"/>
    <x v="1"/>
    <x v="0"/>
    <s v="SMS"/>
    <n v="8.1"/>
    <x v="4"/>
    <x v="0"/>
  </r>
  <r>
    <s v="HC-00911"/>
    <s v="P-1742"/>
    <s v="Male"/>
    <n v="56"/>
    <x v="3"/>
    <s v="Follow-up"/>
    <d v="2026-02-14T00:00:00"/>
    <d v="2026-02-25T00:00:00"/>
    <s v="Wednesday"/>
    <s v="Afternoon"/>
    <x v="0"/>
    <n v="11"/>
    <n v="3"/>
    <x v="0"/>
    <x v="0"/>
    <s v="SMS"/>
    <n v="9.1999999999999993"/>
    <x v="19"/>
    <x v="0"/>
  </r>
  <r>
    <s v="HC-00912"/>
    <s v="P-0929"/>
    <s v="Male"/>
    <n v="51"/>
    <x v="2"/>
    <s v="Follow-up"/>
    <d v="2025-03-22T00:00:00"/>
    <d v="2025-04-11T00:00:00"/>
    <s v="Friday"/>
    <s v="Morning"/>
    <x v="3"/>
    <n v="20"/>
    <n v="2"/>
    <x v="1"/>
    <x v="0"/>
    <s v="SMS"/>
    <n v="9.8000000000000007"/>
    <x v="22"/>
    <x v="1"/>
  </r>
  <r>
    <s v="HC-00913"/>
    <s v="P-0078"/>
    <s v="Prefer not to say"/>
    <n v="29"/>
    <x v="1"/>
    <s v="Follow-up"/>
    <d v="2025-06-14T00:00:00"/>
    <d v="2025-07-25T00:00:00"/>
    <s v="Friday"/>
    <s v="Afternoon"/>
    <x v="2"/>
    <n v="41"/>
    <n v="3"/>
    <x v="0"/>
    <x v="0"/>
    <s v="SMS"/>
    <n v="8.5"/>
    <x v="19"/>
    <x v="0"/>
  </r>
  <r>
    <s v="HC-00914"/>
    <s v="P-0278"/>
    <s v="Female"/>
    <n v="29"/>
    <x v="1"/>
    <s v="General Consultation"/>
    <d v="2026-06-11T00:00:00"/>
    <d v="2026-06-20T00:00:00"/>
    <s v="Saturday"/>
    <s v="Morning"/>
    <x v="0"/>
    <n v="9"/>
    <n v="2"/>
    <x v="1"/>
    <x v="0"/>
    <s v="SMS"/>
    <n v="4.2"/>
    <x v="27"/>
    <x v="1"/>
  </r>
  <r>
    <s v="HC-00915"/>
    <s v="P-0709"/>
    <s v="Female"/>
    <n v="19"/>
    <x v="5"/>
    <s v="General Consultation"/>
    <d v="2025-10-20T00:00:00"/>
    <d v="2025-11-20T00:00:00"/>
    <s v="Thursday"/>
    <s v="Morning"/>
    <x v="2"/>
    <n v="31"/>
    <n v="2"/>
    <x v="0"/>
    <x v="1"/>
    <s v="None"/>
    <n v="24.6"/>
    <x v="25"/>
    <x v="0"/>
  </r>
  <r>
    <s v="HC-00916"/>
    <s v="P-1352"/>
    <s v="Female"/>
    <n v="58"/>
    <x v="3"/>
    <s v="Specialist Consultation"/>
    <d v="2025-09-08T00:00:00"/>
    <d v="2025-09-08T00:00:00"/>
    <s v="Monday"/>
    <s v="Morning"/>
    <x v="1"/>
    <n v="0"/>
    <n v="2"/>
    <x v="0"/>
    <x v="1"/>
    <s v="None"/>
    <n v="7.8"/>
    <x v="18"/>
    <x v="1"/>
  </r>
  <r>
    <s v="HC-00917"/>
    <s v="P-1444"/>
    <s v="Female"/>
    <n v="45"/>
    <x v="2"/>
    <s v="Diagnostic Test"/>
    <d v="2025-10-05T00:00:00"/>
    <d v="2025-10-24T00:00:00"/>
    <s v="Friday"/>
    <s v="Evening"/>
    <x v="3"/>
    <n v="19"/>
    <n v="4"/>
    <x v="2"/>
    <x v="0"/>
    <s v="SMS"/>
    <n v="1.7"/>
    <x v="12"/>
    <x v="0"/>
  </r>
  <r>
    <s v="HC-00918"/>
    <s v="P-1294"/>
    <s v="Male"/>
    <n v="30"/>
    <x v="1"/>
    <s v="Specialist Consultation"/>
    <d v="2026-02-18T00:00:00"/>
    <d v="2026-03-05T00:00:00"/>
    <s v="Thursday"/>
    <s v="Morning"/>
    <x v="3"/>
    <n v="15"/>
    <n v="1"/>
    <x v="0"/>
    <x v="0"/>
    <s v="SMS"/>
    <n v="7"/>
    <x v="35"/>
    <x v="0"/>
  </r>
  <r>
    <s v="HC-00919"/>
    <s v="P-1163"/>
    <s v="Male"/>
    <n v="26"/>
    <x v="1"/>
    <s v="General Consultation"/>
    <d v="2025-04-08T00:00:00"/>
    <d v="2025-05-19T00:00:00"/>
    <s v="Monday"/>
    <s v="Morning"/>
    <x v="2"/>
    <n v="41"/>
    <n v="0"/>
    <x v="0"/>
    <x v="0"/>
    <s v="WhatsApp"/>
    <n v="7.3"/>
    <x v="11"/>
    <x v="1"/>
  </r>
  <r>
    <s v="HC-00920"/>
    <s v="P-1122"/>
    <s v="Female"/>
    <n v="22"/>
    <x v="5"/>
    <s v="General Consultation"/>
    <d v="2025-10-20T00:00:00"/>
    <d v="2025-12-14T00:00:00"/>
    <s v="Sunday"/>
    <s v="Afternoon"/>
    <x v="2"/>
    <n v="55"/>
    <n v="3"/>
    <x v="2"/>
    <x v="1"/>
    <s v="None"/>
    <n v="4.5999999999999996"/>
    <x v="11"/>
    <x v="0"/>
  </r>
  <r>
    <s v="HC-00921"/>
    <s v="P-1017"/>
    <s v="Male"/>
    <n v="58"/>
    <x v="3"/>
    <s v="General Consultation"/>
    <d v="2026-04-14T00:00:00"/>
    <d v="2026-04-22T00:00:00"/>
    <s v="Wednesday"/>
    <s v="Morning"/>
    <x v="0"/>
    <n v="8"/>
    <n v="3"/>
    <x v="0"/>
    <x v="0"/>
    <s v="WhatsApp"/>
    <n v="3.5"/>
    <x v="7"/>
    <x v="1"/>
  </r>
  <r>
    <s v="HC-00922"/>
    <s v="P-1498"/>
    <s v="Female"/>
    <n v="61"/>
    <x v="3"/>
    <s v="Specialist Consultation"/>
    <d v="2025-09-22T00:00:00"/>
    <d v="2025-11-09T00:00:00"/>
    <s v="Sunday"/>
    <s v="Afternoon"/>
    <x v="2"/>
    <n v="48"/>
    <n v="2"/>
    <x v="1"/>
    <x v="0"/>
    <s v="SMS"/>
    <n v="9.1"/>
    <x v="40"/>
    <x v="1"/>
  </r>
  <r>
    <s v="HC-00923"/>
    <s v="P-1279"/>
    <s v="Male"/>
    <n v="57"/>
    <x v="3"/>
    <s v="Follow-up"/>
    <d v="2025-07-23T00:00:00"/>
    <d v="2025-09-01T00:00:00"/>
    <s v="Monday"/>
    <s v="Evening"/>
    <x v="2"/>
    <n v="40"/>
    <n v="3"/>
    <x v="0"/>
    <x v="0"/>
    <s v="SMS"/>
    <n v="9.1"/>
    <x v="7"/>
    <x v="1"/>
  </r>
  <r>
    <s v="HC-00924"/>
    <s v="P-0149"/>
    <s v="Female"/>
    <n v="24"/>
    <x v="5"/>
    <s v="Diagnostic Test"/>
    <d v="2025-01-21T00:00:00"/>
    <d v="2025-03-21T00:00:00"/>
    <s v="Friday"/>
    <s v="Afternoon"/>
    <x v="2"/>
    <n v="59"/>
    <n v="5"/>
    <x v="2"/>
    <x v="0"/>
    <s v="SMS"/>
    <n v="3.2"/>
    <x v="44"/>
    <x v="0"/>
  </r>
  <r>
    <s v="HC-00925"/>
    <s v="P-1698"/>
    <s v="Male"/>
    <n v="20"/>
    <x v="5"/>
    <s v="General Consultation"/>
    <d v="2025-03-22T00:00:00"/>
    <d v="2025-05-16T00:00:00"/>
    <s v="Friday"/>
    <s v="Afternoon"/>
    <x v="2"/>
    <n v="55"/>
    <n v="4"/>
    <x v="2"/>
    <x v="0"/>
    <s v="WhatsApp"/>
    <m/>
    <x v="20"/>
    <x v="0"/>
  </r>
  <r>
    <s v="HC-00926"/>
    <s v="P-0949"/>
    <s v="Female"/>
    <n v="24"/>
    <x v="5"/>
    <s v="Follow-up"/>
    <d v="2026-05-26T00:00:00"/>
    <d v="2026-06-01T00:00:00"/>
    <s v="Monday"/>
    <s v="Morning"/>
    <x v="1"/>
    <n v="6"/>
    <n v="1"/>
    <x v="0"/>
    <x v="1"/>
    <s v="None"/>
    <n v="10.8"/>
    <x v="10"/>
    <x v="1"/>
  </r>
  <r>
    <s v="HC-00927"/>
    <s v="P-0307"/>
    <s v="Male"/>
    <n v="65"/>
    <x v="4"/>
    <s v="Specialist Consultation"/>
    <d v="2025-09-08T00:00:00"/>
    <d v="2025-10-23T00:00:00"/>
    <s v="Thursday"/>
    <s v="Evening"/>
    <x v="2"/>
    <n v="45"/>
    <n v="4"/>
    <x v="0"/>
    <x v="1"/>
    <s v="None"/>
    <n v="2.9"/>
    <x v="29"/>
    <x v="0"/>
  </r>
  <r>
    <s v="HC-00928"/>
    <s v="P-0572"/>
    <s v="Male"/>
    <n v="64"/>
    <x v="3"/>
    <s v="General Consultation"/>
    <d v="2025-05-09T00:00:00"/>
    <d v="2025-06-14T00:00:00"/>
    <s v="Saturday"/>
    <s v="Afternoon"/>
    <x v="2"/>
    <n v="36"/>
    <n v="2"/>
    <x v="0"/>
    <x v="0"/>
    <s v="SMS"/>
    <n v="6.8"/>
    <x v="26"/>
    <x v="1"/>
  </r>
  <r>
    <s v="HC-00929"/>
    <s v="P-1468"/>
    <s v="Male"/>
    <n v="36"/>
    <x v="0"/>
    <s v="Diagnostic Test"/>
    <d v="2025-08-11T00:00:00"/>
    <d v="2025-08-17T00:00:00"/>
    <s v="Sunday"/>
    <s v="Morning"/>
    <x v="1"/>
    <n v="6"/>
    <n v="3"/>
    <x v="0"/>
    <x v="0"/>
    <s v="SMS"/>
    <n v="24.4"/>
    <x v="7"/>
    <x v="1"/>
  </r>
  <r>
    <s v="HC-00930"/>
    <s v="P-1072"/>
    <s v="Female"/>
    <n v="21"/>
    <x v="5"/>
    <s v="Follow-up"/>
    <d v="2025-10-28T00:00:00"/>
    <d v="2025-11-12T00:00:00"/>
    <s v="Wednesday"/>
    <s v="Evening"/>
    <x v="3"/>
    <n v="15"/>
    <n v="0"/>
    <x v="0"/>
    <x v="0"/>
    <s v="WhatsApp"/>
    <n v="12.4"/>
    <x v="9"/>
    <x v="1"/>
  </r>
  <r>
    <s v="HC-00931"/>
    <s v="P-1574"/>
    <s v="Male"/>
    <n v="38"/>
    <x v="0"/>
    <s v="General Consultation"/>
    <d v="2025-08-26T00:00:00"/>
    <d v="2025-10-21T00:00:00"/>
    <s v="Tuesday"/>
    <s v="Evening"/>
    <x v="2"/>
    <n v="56"/>
    <n v="2"/>
    <x v="0"/>
    <x v="0"/>
    <s v="Email"/>
    <n v="12.5"/>
    <x v="35"/>
    <x v="1"/>
  </r>
  <r>
    <s v="HC-00932"/>
    <s v="P-0020"/>
    <s v="Male"/>
    <n v="69"/>
    <x v="4"/>
    <s v="General Consultation"/>
    <d v="2025-12-16T00:00:00"/>
    <d v="2026-01-18T00:00:00"/>
    <s v="Sunday"/>
    <s v="Morning"/>
    <x v="2"/>
    <n v="33"/>
    <n v="1"/>
    <x v="0"/>
    <x v="0"/>
    <s v="WhatsApp"/>
    <n v="12.6"/>
    <x v="28"/>
    <x v="0"/>
  </r>
  <r>
    <s v="HC-00933"/>
    <s v="P-0953"/>
    <s v="Male"/>
    <n v="27"/>
    <x v="1"/>
    <s v="Diagnostic Test"/>
    <d v="2025-05-01T00:00:00"/>
    <d v="2025-05-21T00:00:00"/>
    <s v="Wednesday"/>
    <s v="Morning"/>
    <x v="3"/>
    <n v="20"/>
    <n v="3"/>
    <x v="2"/>
    <x v="0"/>
    <s v="Email"/>
    <n v="16.899999999999999"/>
    <x v="47"/>
    <x v="0"/>
  </r>
  <r>
    <s v="HC-00934"/>
    <s v="P-0514"/>
    <s v="Male"/>
    <n v="68"/>
    <x v="4"/>
    <s v="Follow-up"/>
    <d v="2025-12-02T00:00:00"/>
    <d v="2025-12-21T00:00:00"/>
    <s v="Sunday"/>
    <s v="Afternoon"/>
    <x v="3"/>
    <n v="19"/>
    <n v="3"/>
    <x v="1"/>
    <x v="0"/>
    <s v="SMS"/>
    <n v="0.9"/>
    <x v="12"/>
    <x v="1"/>
  </r>
  <r>
    <s v="HC-00935"/>
    <s v="P-1339"/>
    <s v="Male"/>
    <n v="47"/>
    <x v="2"/>
    <s v="Specialist Consultation"/>
    <d v="2025-07-10T00:00:00"/>
    <d v="2025-08-30T00:00:00"/>
    <s v="Saturday"/>
    <s v="Afternoon"/>
    <x v="2"/>
    <n v="51"/>
    <n v="3"/>
    <x v="0"/>
    <x v="0"/>
    <s v="WhatsApp"/>
    <n v="4.7"/>
    <x v="16"/>
    <x v="0"/>
  </r>
  <r>
    <s v="HC-00936"/>
    <s v="P-0157"/>
    <s v="Male"/>
    <n v="26"/>
    <x v="1"/>
    <s v="Specialist Consultation"/>
    <d v="2026-05-12T00:00:00"/>
    <d v="2026-05-29T00:00:00"/>
    <s v="Friday"/>
    <s v="Afternoon"/>
    <x v="3"/>
    <n v="17"/>
    <n v="2"/>
    <x v="0"/>
    <x v="0"/>
    <s v="SMS"/>
    <n v="2"/>
    <x v="11"/>
    <x v="1"/>
  </r>
  <r>
    <s v="HC-00937"/>
    <s v="P-0152"/>
    <s v="Female"/>
    <n v="76"/>
    <x v="4"/>
    <s v="Follow-up"/>
    <d v="2025-03-19T00:00:00"/>
    <d v="2025-03-28T00:00:00"/>
    <s v="Friday"/>
    <s v="Morning"/>
    <x v="0"/>
    <n v="9"/>
    <n v="5"/>
    <x v="2"/>
    <x v="0"/>
    <s v="WhatsApp"/>
    <n v="6.7"/>
    <x v="2"/>
    <x v="0"/>
  </r>
  <r>
    <s v="HC-00938"/>
    <s v="P-0787"/>
    <s v="Male"/>
    <n v="50"/>
    <x v="2"/>
    <s v="Specialist Consultation"/>
    <d v="2025-02-16T00:00:00"/>
    <d v="2025-03-23T00:00:00"/>
    <s v="Sunday"/>
    <s v="Morning"/>
    <x v="2"/>
    <n v="35"/>
    <n v="7"/>
    <x v="1"/>
    <x v="0"/>
    <s v="SMS"/>
    <n v="5.6"/>
    <x v="14"/>
    <x v="1"/>
  </r>
  <r>
    <s v="HC-00939"/>
    <s v="P-1615"/>
    <s v="Female"/>
    <n v="60"/>
    <x v="3"/>
    <s v="Diagnostic Test"/>
    <d v="2025-07-12T00:00:00"/>
    <d v="2025-09-10T00:00:00"/>
    <s v="Wednesday"/>
    <s v="Morning"/>
    <x v="2"/>
    <n v="60"/>
    <n v="5"/>
    <x v="3"/>
    <x v="0"/>
    <s v="Email"/>
    <n v="6"/>
    <x v="14"/>
    <x v="0"/>
  </r>
  <r>
    <s v="HC-00940"/>
    <s v="P-1662"/>
    <s v="Female"/>
    <n v="24"/>
    <x v="5"/>
    <s v="General Consultation"/>
    <d v="2025-09-24T00:00:00"/>
    <d v="2025-10-05T00:00:00"/>
    <s v="Sunday"/>
    <s v="Morning"/>
    <x v="0"/>
    <n v="11"/>
    <n v="2"/>
    <x v="0"/>
    <x v="0"/>
    <s v="SMS"/>
    <n v="13.1"/>
    <x v="31"/>
    <x v="0"/>
  </r>
  <r>
    <s v="HC-00941"/>
    <s v="P-0657"/>
    <s v="Prefer not to say"/>
    <n v="41"/>
    <x v="0"/>
    <s v="Specialist Consultation"/>
    <d v="2025-12-29T00:00:00"/>
    <d v="2026-01-13T00:00:00"/>
    <s v="Tuesday"/>
    <s v="Afternoon"/>
    <x v="3"/>
    <n v="15"/>
    <n v="2"/>
    <x v="0"/>
    <x v="0"/>
    <s v="SMS"/>
    <n v="4.8"/>
    <x v="47"/>
    <x v="1"/>
  </r>
  <r>
    <s v="HC-00942"/>
    <s v="P-0083"/>
    <s v="Female"/>
    <n v="57"/>
    <x v="3"/>
    <s v="General Consultation"/>
    <d v="2025-07-12T00:00:00"/>
    <d v="2025-08-09T00:00:00"/>
    <s v="Saturday"/>
    <s v="Morning"/>
    <x v="3"/>
    <n v="28"/>
    <n v="5"/>
    <x v="1"/>
    <x v="0"/>
    <s v="WhatsApp"/>
    <n v="25.1"/>
    <x v="8"/>
    <x v="0"/>
  </r>
  <r>
    <s v="HC-00943"/>
    <s v="P-0372"/>
    <s v="Female"/>
    <n v="58"/>
    <x v="3"/>
    <s v="General Consultation"/>
    <d v="2026-05-02T00:00:00"/>
    <d v="2026-05-14T00:00:00"/>
    <s v="Thursday"/>
    <s v="Morning"/>
    <x v="0"/>
    <n v="12"/>
    <n v="5"/>
    <x v="0"/>
    <x v="0"/>
    <s v="WhatsApp"/>
    <n v="1.5"/>
    <x v="12"/>
    <x v="2"/>
  </r>
  <r>
    <s v="HC-00944"/>
    <s v="P-1657"/>
    <s v="Male"/>
    <n v="21"/>
    <x v="5"/>
    <s v="General Consultation"/>
    <d v="2025-08-08T00:00:00"/>
    <d v="2025-09-16T00:00:00"/>
    <s v="Tuesday"/>
    <s v="Afternoon"/>
    <x v="2"/>
    <n v="39"/>
    <n v="3"/>
    <x v="0"/>
    <x v="1"/>
    <s v="None"/>
    <n v="18"/>
    <x v="17"/>
    <x v="0"/>
  </r>
  <r>
    <s v="HC-00945"/>
    <s v="P-1091"/>
    <s v="Male"/>
    <n v="56"/>
    <x v="3"/>
    <s v="Specialist Consultation"/>
    <d v="2025-02-25T00:00:00"/>
    <d v="2025-03-12T00:00:00"/>
    <s v="Wednesday"/>
    <s v="Morning"/>
    <x v="3"/>
    <n v="15"/>
    <n v="4"/>
    <x v="1"/>
    <x v="1"/>
    <s v="None"/>
    <n v="2.4"/>
    <x v="14"/>
    <x v="1"/>
  </r>
  <r>
    <s v="HC-00946"/>
    <s v="P-1258"/>
    <s v="Female"/>
    <n v="77"/>
    <x v="4"/>
    <s v="General Consultation"/>
    <d v="2025-02-28T00:00:00"/>
    <d v="2025-03-07T00:00:00"/>
    <s v="Friday"/>
    <s v="Morning"/>
    <x v="1"/>
    <n v="7"/>
    <n v="4"/>
    <x v="0"/>
    <x v="1"/>
    <s v="None"/>
    <n v="12.7"/>
    <x v="28"/>
    <x v="1"/>
  </r>
  <r>
    <s v="HC-00947"/>
    <s v="P-0321"/>
    <s v="Female"/>
    <n v="67"/>
    <x v="4"/>
    <s v="Follow-up"/>
    <d v="2026-06-01T00:00:00"/>
    <d v="2026-06-16T00:00:00"/>
    <s v="Tuesday"/>
    <s v="Evening"/>
    <x v="3"/>
    <n v="15"/>
    <n v="3"/>
    <x v="0"/>
    <x v="1"/>
    <s v="None"/>
    <n v="12.3"/>
    <x v="14"/>
    <x v="1"/>
  </r>
  <r>
    <s v="HC-00948"/>
    <s v="P-1590"/>
    <s v="Female"/>
    <n v="31"/>
    <x v="1"/>
    <s v="Follow-up"/>
    <d v="2025-01-18T00:00:00"/>
    <d v="2025-03-15T00:00:00"/>
    <s v="Saturday"/>
    <s v="Morning"/>
    <x v="2"/>
    <n v="56"/>
    <n v="3"/>
    <x v="0"/>
    <x v="1"/>
    <s v="None"/>
    <n v="6.8"/>
    <x v="49"/>
    <x v="1"/>
  </r>
  <r>
    <s v="HC-00949"/>
    <s v="P-1185"/>
    <s v="Female"/>
    <n v="75"/>
    <x v="4"/>
    <s v="General Consultation"/>
    <d v="2026-04-06T00:00:00"/>
    <d v="2026-06-02T00:00:00"/>
    <s v="Tuesday"/>
    <s v="Evening"/>
    <x v="2"/>
    <n v="57"/>
    <n v="3"/>
    <x v="0"/>
    <x v="1"/>
    <s v="None"/>
    <n v="13.6"/>
    <x v="38"/>
    <x v="1"/>
  </r>
  <r>
    <s v="HC-00950"/>
    <s v="P-1427"/>
    <s v="Female"/>
    <n v="61"/>
    <x v="3"/>
    <s v="Specialist Consultation"/>
    <d v="2025-05-02T00:00:00"/>
    <d v="2025-06-01T00:00:00"/>
    <s v="Sunday"/>
    <s v="Morning"/>
    <x v="3"/>
    <n v="30"/>
    <n v="2"/>
    <x v="0"/>
    <x v="0"/>
    <s v="SMS"/>
    <n v="4.4000000000000004"/>
    <x v="17"/>
    <x v="1"/>
  </r>
  <r>
    <s v="HC-00951"/>
    <s v="P-0661"/>
    <s v="Female"/>
    <n v="21"/>
    <x v="5"/>
    <s v="Diagnostic Test"/>
    <d v="2025-01-28T00:00:00"/>
    <d v="2025-02-21T00:00:00"/>
    <s v="Friday"/>
    <s v="Morning"/>
    <x v="3"/>
    <n v="24"/>
    <n v="2"/>
    <x v="0"/>
    <x v="1"/>
    <s v="None"/>
    <n v="3.8"/>
    <x v="9"/>
    <x v="1"/>
  </r>
  <r>
    <s v="HC-00952"/>
    <s v="P-0769"/>
    <s v="Male"/>
    <n v="26"/>
    <x v="1"/>
    <s v="General Consultation"/>
    <d v="2025-04-28T00:00:00"/>
    <d v="2025-06-16T00:00:00"/>
    <s v="Monday"/>
    <s v="Afternoon"/>
    <x v="2"/>
    <n v="49"/>
    <n v="4"/>
    <x v="2"/>
    <x v="0"/>
    <s v="WhatsApp"/>
    <n v="12.9"/>
    <x v="13"/>
    <x v="0"/>
  </r>
  <r>
    <s v="HC-00953"/>
    <s v="P-0028"/>
    <s v="Male"/>
    <n v="76"/>
    <x v="4"/>
    <s v="General Consultation"/>
    <d v="2025-11-21T00:00:00"/>
    <d v="2025-12-02T00:00:00"/>
    <s v="Tuesday"/>
    <s v="Morning"/>
    <x v="0"/>
    <n v="11"/>
    <n v="4"/>
    <x v="0"/>
    <x v="1"/>
    <s v="None"/>
    <n v="5.6"/>
    <x v="23"/>
    <x v="1"/>
  </r>
  <r>
    <s v="HC-00954"/>
    <s v="P-0805"/>
    <s v="Male"/>
    <n v="31"/>
    <x v="1"/>
    <s v="Diagnostic Test"/>
    <d v="2025-07-14T00:00:00"/>
    <d v="2025-08-22T00:00:00"/>
    <s v="Friday"/>
    <s v="Afternoon"/>
    <x v="2"/>
    <n v="39"/>
    <n v="4"/>
    <x v="0"/>
    <x v="0"/>
    <s v="WhatsApp"/>
    <n v="23.3"/>
    <x v="49"/>
    <x v="1"/>
  </r>
  <r>
    <s v="HC-00955"/>
    <s v="P-1363"/>
    <s v="Male"/>
    <n v="24"/>
    <x v="5"/>
    <s v="General Consultation"/>
    <d v="2026-01-23T00:00:00"/>
    <d v="2026-03-05T00:00:00"/>
    <s v="Thursday"/>
    <s v="Morning"/>
    <x v="2"/>
    <n v="41"/>
    <n v="2"/>
    <x v="1"/>
    <x v="0"/>
    <s v="Email"/>
    <n v="12.9"/>
    <x v="45"/>
    <x v="0"/>
  </r>
  <r>
    <s v="HC-00956"/>
    <s v="P-0030"/>
    <s v="Male"/>
    <n v="46"/>
    <x v="2"/>
    <s v="General Consultation"/>
    <d v="2025-10-18T00:00:00"/>
    <d v="2025-11-30T00:00:00"/>
    <s v="Sunday"/>
    <s v="Afternoon"/>
    <x v="2"/>
    <n v="43"/>
    <n v="1"/>
    <x v="0"/>
    <x v="0"/>
    <s v="Email"/>
    <n v="10.4"/>
    <x v="5"/>
    <x v="0"/>
  </r>
  <r>
    <s v="HC-00957"/>
    <s v="P-1589"/>
    <s v="Male"/>
    <n v="51"/>
    <x v="2"/>
    <s v="Diagnostic Test"/>
    <d v="2025-07-25T00:00:00"/>
    <d v="2025-08-07T00:00:00"/>
    <s v="Thursday"/>
    <s v="Morning"/>
    <x v="0"/>
    <n v="13"/>
    <n v="3"/>
    <x v="0"/>
    <x v="1"/>
    <s v="None"/>
    <n v="6"/>
    <x v="19"/>
    <x v="1"/>
  </r>
  <r>
    <s v="HC-00958"/>
    <s v="P-0905"/>
    <s v="Female"/>
    <n v="54"/>
    <x v="2"/>
    <s v="Diagnostic Test"/>
    <d v="2025-10-31T00:00:00"/>
    <d v="2025-12-13T00:00:00"/>
    <s v="Saturday"/>
    <s v="Afternoon"/>
    <x v="2"/>
    <n v="43"/>
    <n v="1"/>
    <x v="1"/>
    <x v="0"/>
    <s v="WhatsApp"/>
    <n v="3.2"/>
    <x v="21"/>
    <x v="0"/>
  </r>
  <r>
    <s v="HC-00959"/>
    <s v="P-1372"/>
    <s v="Male"/>
    <n v="59"/>
    <x v="3"/>
    <s v="Follow-up"/>
    <d v="2026-05-09T00:00:00"/>
    <d v="2026-06-15T00:00:00"/>
    <s v="Monday"/>
    <s v="Afternoon"/>
    <x v="2"/>
    <n v="37"/>
    <n v="5"/>
    <x v="2"/>
    <x v="1"/>
    <s v="None"/>
    <n v="16"/>
    <x v="12"/>
    <x v="0"/>
  </r>
  <r>
    <s v="HC-00960"/>
    <s v="P-0906"/>
    <s v="Male"/>
    <n v="80"/>
    <x v="4"/>
    <s v="Follow-up"/>
    <d v="2025-06-21T00:00:00"/>
    <d v="2025-08-13T00:00:00"/>
    <s v="Wednesday"/>
    <s v="Afternoon"/>
    <x v="2"/>
    <n v="53"/>
    <n v="5"/>
    <x v="1"/>
    <x v="0"/>
    <s v="SMS"/>
    <n v="15.8"/>
    <x v="29"/>
    <x v="0"/>
  </r>
  <r>
    <s v="HC-00961"/>
    <s v="P-1248"/>
    <s v="Female"/>
    <n v="65"/>
    <x v="4"/>
    <s v="Diagnostic Test"/>
    <d v="2025-03-15T00:00:00"/>
    <d v="2025-03-25T00:00:00"/>
    <s v="Tuesday"/>
    <s v="Morning"/>
    <x v="0"/>
    <n v="10"/>
    <n v="6"/>
    <x v="1"/>
    <x v="0"/>
    <s v="SMS"/>
    <n v="4.8"/>
    <x v="54"/>
    <x v="1"/>
  </r>
  <r>
    <s v="HC-00962"/>
    <s v="P-1366"/>
    <s v="Female"/>
    <n v="19"/>
    <x v="5"/>
    <s v="Follow-up"/>
    <d v="2025-07-06T00:00:00"/>
    <d v="2025-08-12T00:00:00"/>
    <s v="Tuesday"/>
    <s v="Afternoon"/>
    <x v="2"/>
    <n v="37"/>
    <n v="2"/>
    <x v="0"/>
    <x v="1"/>
    <s v="None"/>
    <n v="2.8"/>
    <x v="10"/>
    <x v="0"/>
  </r>
  <r>
    <s v="HC-00963"/>
    <s v="P-1075"/>
    <s v="Female"/>
    <n v="23"/>
    <x v="5"/>
    <s v="Follow-up"/>
    <d v="2026-02-13T00:00:00"/>
    <d v="2026-04-04T00:00:00"/>
    <s v="Saturday"/>
    <s v="Afternoon"/>
    <x v="2"/>
    <n v="50"/>
    <n v="1"/>
    <x v="1"/>
    <x v="0"/>
    <s v="SMS"/>
    <n v="8.6999999999999993"/>
    <x v="20"/>
    <x v="0"/>
  </r>
  <r>
    <s v="HC-00964"/>
    <s v="P-1026"/>
    <s v="Female"/>
    <n v="18"/>
    <x v="5"/>
    <s v="Specialist Consultation"/>
    <d v="2025-04-13T00:00:00"/>
    <d v="2025-04-29T00:00:00"/>
    <s v="Tuesday"/>
    <s v="Morning"/>
    <x v="3"/>
    <n v="16"/>
    <n v="3"/>
    <x v="0"/>
    <x v="0"/>
    <s v="WhatsApp"/>
    <n v="8.3000000000000007"/>
    <x v="12"/>
    <x v="0"/>
  </r>
  <r>
    <s v="HC-00965"/>
    <s v="P-0472"/>
    <s v="Male"/>
    <n v="42"/>
    <x v="0"/>
    <s v="Follow-up"/>
    <d v="2026-04-19T00:00:00"/>
    <d v="2026-06-03T00:00:00"/>
    <s v="Wednesday"/>
    <s v="Afternoon"/>
    <x v="2"/>
    <n v="45"/>
    <n v="3"/>
    <x v="1"/>
    <x v="1"/>
    <s v="None"/>
    <n v="14.3"/>
    <x v="20"/>
    <x v="0"/>
  </r>
  <r>
    <s v="HC-00966"/>
    <s v="P-0513"/>
    <s v="Female"/>
    <n v="40"/>
    <x v="0"/>
    <s v="Follow-up"/>
    <d v="2025-11-12T00:00:00"/>
    <d v="2025-11-18T00:00:00"/>
    <s v="Tuesday"/>
    <s v="Morning"/>
    <x v="1"/>
    <n v="6"/>
    <n v="2"/>
    <x v="0"/>
    <x v="0"/>
    <s v="WhatsApp"/>
    <n v="6.8"/>
    <x v="1"/>
    <x v="1"/>
  </r>
  <r>
    <s v="HC-00967"/>
    <s v="P-1392"/>
    <s v="Female"/>
    <n v="76"/>
    <x v="4"/>
    <s v="General Consultation"/>
    <d v="2025-10-13T00:00:00"/>
    <d v="2025-11-25T00:00:00"/>
    <s v="Tuesday"/>
    <s v="Morning"/>
    <x v="2"/>
    <n v="43"/>
    <n v="5"/>
    <x v="1"/>
    <x v="0"/>
    <s v="SMS"/>
    <n v="21.5"/>
    <x v="8"/>
    <x v="0"/>
  </r>
  <r>
    <s v="HC-00968"/>
    <s v="P-0409"/>
    <s v="Female"/>
    <n v="41"/>
    <x v="0"/>
    <s v="Follow-up"/>
    <d v="2025-05-18T00:00:00"/>
    <d v="2025-06-23T00:00:00"/>
    <s v="Monday"/>
    <s v="Afternoon"/>
    <x v="2"/>
    <n v="36"/>
    <n v="0"/>
    <x v="0"/>
    <x v="0"/>
    <s v="SMS"/>
    <n v="11.5"/>
    <x v="10"/>
    <x v="0"/>
  </r>
  <r>
    <s v="HC-00969"/>
    <s v="P-1092"/>
    <s v="Male"/>
    <n v="19"/>
    <x v="5"/>
    <s v="Follow-up"/>
    <d v="2026-05-07T00:00:00"/>
    <d v="2026-05-18T00:00:00"/>
    <s v="Monday"/>
    <s v="Morning"/>
    <x v="0"/>
    <n v="11"/>
    <n v="1"/>
    <x v="0"/>
    <x v="0"/>
    <s v="WhatsApp"/>
    <n v="23.8"/>
    <x v="15"/>
    <x v="0"/>
  </r>
  <r>
    <s v="HC-00970"/>
    <s v="P-1392"/>
    <s v="Female"/>
    <n v="73"/>
    <x v="4"/>
    <s v="General Consultation"/>
    <d v="2025-01-16T00:00:00"/>
    <d v="2025-01-20T00:00:00"/>
    <s v="Monday"/>
    <s v="Morning"/>
    <x v="1"/>
    <n v="4"/>
    <n v="0"/>
    <x v="0"/>
    <x v="1"/>
    <s v="None"/>
    <n v="2.7"/>
    <x v="12"/>
    <x v="1"/>
  </r>
  <r>
    <s v="HC-00971"/>
    <s v="P-1056"/>
    <s v="Female"/>
    <n v="34"/>
    <x v="1"/>
    <s v="Follow-up"/>
    <d v="2025-04-29T00:00:00"/>
    <d v="2025-06-13T00:00:00"/>
    <s v="Friday"/>
    <s v="Afternoon"/>
    <x v="2"/>
    <n v="45"/>
    <n v="3"/>
    <x v="1"/>
    <x v="0"/>
    <s v="SMS"/>
    <n v="9.3000000000000007"/>
    <x v="18"/>
    <x v="1"/>
  </r>
  <r>
    <s v="HC-00972"/>
    <s v="P-0912"/>
    <s v="Male"/>
    <n v="75"/>
    <x v="4"/>
    <s v="Specialist Consultation"/>
    <d v="2025-08-03T00:00:00"/>
    <d v="2025-08-17T00:00:00"/>
    <s v="Sunday"/>
    <s v="Afternoon"/>
    <x v="0"/>
    <n v="14"/>
    <n v="4"/>
    <x v="1"/>
    <x v="0"/>
    <s v="SMS"/>
    <n v="20.399999999999999"/>
    <x v="14"/>
    <x v="1"/>
  </r>
  <r>
    <s v="HC-00973"/>
    <s v="P-0564"/>
    <s v="Male"/>
    <n v="66"/>
    <x v="4"/>
    <s v="General Consultation"/>
    <d v="2025-08-19T00:00:00"/>
    <d v="2025-09-18T00:00:00"/>
    <s v="Thursday"/>
    <s v="Morning"/>
    <x v="3"/>
    <n v="30"/>
    <n v="1"/>
    <x v="0"/>
    <x v="1"/>
    <s v="None"/>
    <m/>
    <x v="13"/>
    <x v="0"/>
  </r>
  <r>
    <s v="HC-00974"/>
    <s v="P-0181"/>
    <s v="Male"/>
    <n v="73"/>
    <x v="4"/>
    <s v="General Consultation"/>
    <d v="2025-09-13T00:00:00"/>
    <d v="2025-09-16T00:00:00"/>
    <s v="Tuesday"/>
    <s v="Morning"/>
    <x v="1"/>
    <n v="3"/>
    <n v="4"/>
    <x v="3"/>
    <x v="0"/>
    <s v="SMS"/>
    <n v="15.1"/>
    <x v="5"/>
    <x v="1"/>
  </r>
  <r>
    <s v="HC-00975"/>
    <s v="P-0274"/>
    <s v="Male"/>
    <n v="69"/>
    <x v="4"/>
    <s v="General Consultation"/>
    <d v="2025-01-23T00:00:00"/>
    <d v="2025-03-22T00:00:00"/>
    <s v="Saturday"/>
    <s v="Morning"/>
    <x v="2"/>
    <n v="58"/>
    <n v="3"/>
    <x v="0"/>
    <x v="0"/>
    <s v="Email"/>
    <n v="1.9"/>
    <x v="7"/>
    <x v="0"/>
  </r>
  <r>
    <s v="HC-00976"/>
    <s v="P-1439"/>
    <s v="Female"/>
    <n v="27"/>
    <x v="1"/>
    <s v="General Consultation"/>
    <d v="2025-04-01T00:00:00"/>
    <d v="2025-05-04T00:00:00"/>
    <s v="Sunday"/>
    <s v="Afternoon"/>
    <x v="2"/>
    <n v="33"/>
    <n v="2"/>
    <x v="1"/>
    <x v="0"/>
    <s v="SMS"/>
    <n v="3.2"/>
    <x v="19"/>
    <x v="1"/>
  </r>
  <r>
    <s v="HC-00977"/>
    <s v="P-0243"/>
    <s v="Male"/>
    <n v="57"/>
    <x v="3"/>
    <s v="Specialist Consultation"/>
    <d v="2024-12-28T00:00:00"/>
    <d v="2025-02-22T00:00:00"/>
    <s v="Saturday"/>
    <s v="Afternoon"/>
    <x v="2"/>
    <n v="56"/>
    <n v="1"/>
    <x v="0"/>
    <x v="0"/>
    <s v="SMS"/>
    <n v="2.9"/>
    <x v="0"/>
    <x v="0"/>
  </r>
  <r>
    <s v="HC-00978"/>
    <s v="P-0713"/>
    <s v="Male"/>
    <n v="43"/>
    <x v="0"/>
    <s v="Follow-up"/>
    <d v="2025-10-31T00:00:00"/>
    <d v="2025-11-09T00:00:00"/>
    <s v="Sunday"/>
    <s v="Afternoon"/>
    <x v="0"/>
    <n v="9"/>
    <n v="7"/>
    <x v="0"/>
    <x v="0"/>
    <s v="Email"/>
    <n v="3.4"/>
    <x v="17"/>
    <x v="1"/>
  </r>
  <r>
    <s v="HC-00979"/>
    <s v="P-1638"/>
    <s v="Male"/>
    <n v="57"/>
    <x v="3"/>
    <s v="General Consultation"/>
    <d v="2025-06-29T00:00:00"/>
    <d v="2025-07-11T00:00:00"/>
    <s v="Friday"/>
    <s v="Afternoon"/>
    <x v="0"/>
    <n v="12"/>
    <n v="6"/>
    <x v="0"/>
    <x v="0"/>
    <s v="SMS"/>
    <n v="13.8"/>
    <x v="20"/>
    <x v="0"/>
  </r>
  <r>
    <s v="HC-00980"/>
    <s v="P-0501"/>
    <s v="Female"/>
    <n v="64"/>
    <x v="3"/>
    <s v="Specialist Consultation"/>
    <d v="2025-09-29T00:00:00"/>
    <d v="2025-11-05T00:00:00"/>
    <s v="Wednesday"/>
    <s v="Evening"/>
    <x v="2"/>
    <n v="37"/>
    <n v="4"/>
    <x v="1"/>
    <x v="0"/>
    <s v="SMS"/>
    <n v="6.7"/>
    <x v="5"/>
    <x v="1"/>
  </r>
  <r>
    <s v="HC-00981"/>
    <s v="P-0633"/>
    <s v="Male"/>
    <n v="49"/>
    <x v="2"/>
    <s v="General Consultation"/>
    <d v="2025-10-13T00:00:00"/>
    <d v="2025-11-18T00:00:00"/>
    <s v="Tuesday"/>
    <s v="Morning"/>
    <x v="2"/>
    <n v="36"/>
    <n v="1"/>
    <x v="0"/>
    <x v="1"/>
    <s v="None"/>
    <n v="7.9"/>
    <x v="14"/>
    <x v="0"/>
  </r>
  <r>
    <s v="HC-00982"/>
    <s v="P-0205"/>
    <s v="Female"/>
    <n v="37"/>
    <x v="0"/>
    <s v="General Consultation"/>
    <d v="2025-12-02T00:00:00"/>
    <d v="2026-01-19T00:00:00"/>
    <s v="Monday"/>
    <s v="Morning"/>
    <x v="2"/>
    <n v="48"/>
    <n v="1"/>
    <x v="0"/>
    <x v="0"/>
    <s v="WhatsApp"/>
    <n v="4.4000000000000004"/>
    <x v="35"/>
    <x v="0"/>
  </r>
  <r>
    <s v="HC-00983"/>
    <s v="P-0866"/>
    <s v="Female"/>
    <n v="75"/>
    <x v="4"/>
    <s v="Specialist Consultation"/>
    <d v="2025-08-31T00:00:00"/>
    <d v="2025-10-26T00:00:00"/>
    <s v="Sunday"/>
    <s v="Morning"/>
    <x v="2"/>
    <n v="56"/>
    <n v="2"/>
    <x v="0"/>
    <x v="0"/>
    <s v="SMS"/>
    <n v="8.4"/>
    <x v="36"/>
    <x v="0"/>
  </r>
  <r>
    <s v="HC-00984"/>
    <s v="P-0349"/>
    <s v="Male"/>
    <n v="59"/>
    <x v="3"/>
    <s v="Follow-up"/>
    <d v="2025-10-31T00:00:00"/>
    <d v="2025-12-20T00:00:00"/>
    <s v="Saturday"/>
    <s v="Morning"/>
    <x v="2"/>
    <n v="50"/>
    <n v="4"/>
    <x v="1"/>
    <x v="0"/>
    <s v="SMS"/>
    <n v="19.8"/>
    <x v="25"/>
    <x v="1"/>
  </r>
  <r>
    <s v="HC-00985"/>
    <s v="P-1132"/>
    <s v="Male"/>
    <n v="73"/>
    <x v="4"/>
    <s v="Specialist Consultation"/>
    <d v="2025-11-09T00:00:00"/>
    <d v="2025-11-17T00:00:00"/>
    <s v="Monday"/>
    <s v="Morning"/>
    <x v="0"/>
    <n v="8"/>
    <n v="3"/>
    <x v="0"/>
    <x v="1"/>
    <s v="None"/>
    <n v="3.1"/>
    <x v="6"/>
    <x v="1"/>
  </r>
  <r>
    <s v="HC-00986"/>
    <s v="P-0095"/>
    <s v="Female"/>
    <n v="32"/>
    <x v="1"/>
    <s v="Specialist Consultation"/>
    <d v="2025-12-05T00:00:00"/>
    <d v="2025-12-23T00:00:00"/>
    <s v="Tuesday"/>
    <s v="Evening"/>
    <x v="3"/>
    <n v="18"/>
    <n v="3"/>
    <x v="0"/>
    <x v="0"/>
    <s v="WhatsApp"/>
    <n v="45"/>
    <x v="4"/>
    <x v="0"/>
  </r>
  <r>
    <s v="HC-00987"/>
    <s v="P-0714"/>
    <s v="Male"/>
    <n v="70"/>
    <x v="4"/>
    <s v="Diagnostic Test"/>
    <d v="2025-10-09T00:00:00"/>
    <d v="2025-12-03T00:00:00"/>
    <s v="Wednesday"/>
    <s v="Morning"/>
    <x v="2"/>
    <n v="55"/>
    <n v="0"/>
    <x v="0"/>
    <x v="1"/>
    <s v="None"/>
    <n v="7.2"/>
    <x v="7"/>
    <x v="0"/>
  </r>
  <r>
    <s v="HC-00988"/>
    <s v="P-1299"/>
    <s v="Female"/>
    <n v="38"/>
    <x v="0"/>
    <s v="General Consultation"/>
    <d v="2025-05-20T00:00:00"/>
    <d v="2025-06-22T00:00:00"/>
    <s v="Sunday"/>
    <s v="Morning"/>
    <x v="2"/>
    <n v="33"/>
    <n v="2"/>
    <x v="0"/>
    <x v="0"/>
    <s v="SMS"/>
    <n v="4.2"/>
    <x v="45"/>
    <x v="1"/>
  </r>
  <r>
    <s v="HC-00989"/>
    <s v="P-0845"/>
    <s v="Male"/>
    <n v="47"/>
    <x v="2"/>
    <s v="Specialist Consultation"/>
    <d v="2025-03-24T00:00:00"/>
    <d v="2025-05-15T00:00:00"/>
    <s v="Thursday"/>
    <s v="Afternoon"/>
    <x v="2"/>
    <n v="52"/>
    <n v="5"/>
    <x v="2"/>
    <x v="0"/>
    <s v="WhatsApp"/>
    <n v="2.8"/>
    <x v="5"/>
    <x v="0"/>
  </r>
  <r>
    <s v="HC-00990"/>
    <s v="P-1110"/>
    <s v="Female"/>
    <n v="72"/>
    <x v="4"/>
    <s v="Specialist Consultation"/>
    <d v="2026-01-31T00:00:00"/>
    <d v="2026-03-06T00:00:00"/>
    <s v="Friday"/>
    <s v="Evening"/>
    <x v="2"/>
    <n v="34"/>
    <n v="4"/>
    <x v="0"/>
    <x v="1"/>
    <s v="None"/>
    <n v="10.7"/>
    <x v="45"/>
    <x v="0"/>
  </r>
  <r>
    <s v="HC-00991"/>
    <s v="P-0577"/>
    <s v="Female"/>
    <n v="40"/>
    <x v="0"/>
    <s v="General Consultation"/>
    <d v="2025-07-04T00:00:00"/>
    <d v="2025-07-07T00:00:00"/>
    <s v="Monday"/>
    <s v="Morning"/>
    <x v="1"/>
    <n v="3"/>
    <n v="11"/>
    <x v="3"/>
    <x v="0"/>
    <s v="SMS"/>
    <n v="9.6999999999999993"/>
    <x v="51"/>
    <x v="0"/>
  </r>
  <r>
    <s v="HC-00992"/>
    <s v="P-1734"/>
    <s v="Male"/>
    <n v="33"/>
    <x v="1"/>
    <s v="Diagnostic Test"/>
    <d v="2025-09-29T00:00:00"/>
    <d v="2025-10-27T00:00:00"/>
    <s v="Monday"/>
    <s v="Afternoon"/>
    <x v="3"/>
    <n v="28"/>
    <n v="7"/>
    <x v="3"/>
    <x v="0"/>
    <s v="Email"/>
    <m/>
    <x v="6"/>
    <x v="0"/>
  </r>
  <r>
    <s v="HC-00993"/>
    <s v="P-1381"/>
    <s v="Female"/>
    <n v="75"/>
    <x v="4"/>
    <s v="General Consultation"/>
    <d v="2025-02-27T00:00:00"/>
    <d v="2025-04-18T00:00:00"/>
    <s v="Friday"/>
    <s v="Afternoon"/>
    <x v="2"/>
    <n v="50"/>
    <n v="6"/>
    <x v="1"/>
    <x v="0"/>
    <s v="SMS"/>
    <n v="17.600000000000001"/>
    <x v="8"/>
    <x v="1"/>
  </r>
  <r>
    <s v="HC-00994"/>
    <s v="P-0300"/>
    <s v="Male"/>
    <n v="78"/>
    <x v="4"/>
    <s v="Diagnostic Test"/>
    <d v="2025-07-16T00:00:00"/>
    <d v="2025-08-24T00:00:00"/>
    <s v="Sunday"/>
    <s v="Morning"/>
    <x v="2"/>
    <n v="39"/>
    <n v="4"/>
    <x v="1"/>
    <x v="1"/>
    <s v="None"/>
    <n v="11.9"/>
    <x v="26"/>
    <x v="0"/>
  </r>
  <r>
    <s v="HC-00995"/>
    <s v="P-1563"/>
    <s v="Female"/>
    <n v="37"/>
    <x v="0"/>
    <s v="Follow-up"/>
    <d v="2025-10-09T00:00:00"/>
    <d v="2025-10-17T00:00:00"/>
    <s v="Friday"/>
    <s v="Afternoon"/>
    <x v="0"/>
    <n v="8"/>
    <n v="4"/>
    <x v="2"/>
    <x v="0"/>
    <s v="Email"/>
    <n v="17"/>
    <x v="22"/>
    <x v="1"/>
  </r>
  <r>
    <s v="HC-00996"/>
    <s v="P-0553"/>
    <s v="Male"/>
    <n v="37"/>
    <x v="0"/>
    <s v="Follow-up"/>
    <d v="2025-11-26T00:00:00"/>
    <d v="2025-12-08T00:00:00"/>
    <s v="Monday"/>
    <s v="Morning"/>
    <x v="0"/>
    <n v="12"/>
    <n v="3"/>
    <x v="0"/>
    <x v="0"/>
    <s v="SMS"/>
    <n v="18.7"/>
    <x v="4"/>
    <x v="1"/>
  </r>
  <r>
    <s v="HC-00997"/>
    <s v="P-0607"/>
    <s v="Female"/>
    <n v="32"/>
    <x v="1"/>
    <s v="General Consultation"/>
    <d v="2025-08-24T00:00:00"/>
    <d v="2025-10-15T00:00:00"/>
    <s v="Wednesday"/>
    <s v="Morning"/>
    <x v="2"/>
    <n v="52"/>
    <n v="4"/>
    <x v="1"/>
    <x v="0"/>
    <s v="WhatsApp"/>
    <n v="2.8"/>
    <x v="9"/>
    <x v="0"/>
  </r>
  <r>
    <s v="HC-00998"/>
    <s v="P-1151"/>
    <s v="Male"/>
    <n v="19"/>
    <x v="5"/>
    <s v="Diagnostic Test"/>
    <d v="2025-05-18T00:00:00"/>
    <d v="2025-07-16T00:00:00"/>
    <s v="Wednesday"/>
    <s v="Morning"/>
    <x v="2"/>
    <n v="59"/>
    <n v="6"/>
    <x v="1"/>
    <x v="1"/>
    <s v="None"/>
    <n v="18.600000000000001"/>
    <x v="37"/>
    <x v="0"/>
  </r>
  <r>
    <s v="HC-00999"/>
    <s v="P-0849"/>
    <s v="Male"/>
    <n v="52"/>
    <x v="2"/>
    <s v="Follow-up"/>
    <d v="2026-04-26T00:00:00"/>
    <d v="2026-06-10T00:00:00"/>
    <s v="Wednesday"/>
    <s v="Morning"/>
    <x v="2"/>
    <n v="45"/>
    <n v="0"/>
    <x v="0"/>
    <x v="1"/>
    <s v="None"/>
    <n v="13.1"/>
    <x v="4"/>
    <x v="1"/>
  </r>
  <r>
    <s v="HC-01000"/>
    <s v="P-1000"/>
    <s v="Male"/>
    <n v="34"/>
    <x v="1"/>
    <s v="General Consultation"/>
    <d v="2025-10-02T00:00:00"/>
    <d v="2025-10-07T00:00:00"/>
    <s v="Tuesday"/>
    <s v="Afternoon"/>
    <x v="1"/>
    <n v="5"/>
    <n v="2"/>
    <x v="1"/>
    <x v="0"/>
    <s v="SMS"/>
    <n v="11.7"/>
    <x v="47"/>
    <x v="1"/>
  </r>
  <r>
    <s v="HC-01001"/>
    <s v="P-1201"/>
    <s v="Female"/>
    <n v="71"/>
    <x v="4"/>
    <s v="General Consultation"/>
    <d v="2026-02-09T00:00:00"/>
    <d v="2026-03-18T00:00:00"/>
    <s v="Wednesday"/>
    <s v="Afternoon"/>
    <x v="2"/>
    <n v="37"/>
    <n v="3"/>
    <x v="0"/>
    <x v="0"/>
    <s v="Email"/>
    <n v="7"/>
    <x v="51"/>
    <x v="1"/>
  </r>
  <r>
    <s v="HC-01002"/>
    <s v="P-0981"/>
    <s v="Male"/>
    <n v="28"/>
    <x v="1"/>
    <s v="Specialist Consultation"/>
    <d v="2025-12-19T00:00:00"/>
    <d v="2026-02-07T00:00:00"/>
    <s v="Saturday"/>
    <s v="Morning"/>
    <x v="2"/>
    <n v="50"/>
    <n v="4"/>
    <x v="0"/>
    <x v="0"/>
    <s v="WhatsApp"/>
    <n v="17.899999999999999"/>
    <x v="26"/>
    <x v="0"/>
  </r>
  <r>
    <s v="HC-01003"/>
    <s v="P-0276"/>
    <s v="Male"/>
    <n v="58"/>
    <x v="3"/>
    <s v="General Consultation"/>
    <d v="2025-09-23T00:00:00"/>
    <d v="2025-11-01T00:00:00"/>
    <s v="Saturday"/>
    <s v="Afternoon"/>
    <x v="2"/>
    <n v="39"/>
    <n v="4"/>
    <x v="0"/>
    <x v="1"/>
    <s v="None"/>
    <n v="19.7"/>
    <x v="14"/>
    <x v="1"/>
  </r>
  <r>
    <s v="HC-01004"/>
    <s v="P-0168"/>
    <s v="Female"/>
    <n v="49"/>
    <x v="2"/>
    <s v="Follow-up"/>
    <d v="2026-03-24T00:00:00"/>
    <d v="2026-04-29T00:00:00"/>
    <s v="Wednesday"/>
    <s v="Morning"/>
    <x v="2"/>
    <n v="36"/>
    <n v="3"/>
    <x v="1"/>
    <x v="0"/>
    <s v="Email"/>
    <n v="11.1"/>
    <x v="25"/>
    <x v="0"/>
  </r>
  <r>
    <s v="HC-01005"/>
    <s v="P-1040"/>
    <s v="Male"/>
    <n v="56"/>
    <x v="3"/>
    <s v="Follow-up"/>
    <d v="2025-02-12T00:00:00"/>
    <d v="2025-03-12T00:00:00"/>
    <s v="Wednesday"/>
    <s v="Morning"/>
    <x v="3"/>
    <n v="28"/>
    <n v="4"/>
    <x v="0"/>
    <x v="0"/>
    <s v="SMS"/>
    <n v="11.8"/>
    <x v="7"/>
    <x v="1"/>
  </r>
  <r>
    <s v="HC-01006"/>
    <s v="P-0038"/>
    <s v="Male"/>
    <n v="25"/>
    <x v="1"/>
    <s v="General Consultation"/>
    <d v="2026-05-04T00:00:00"/>
    <d v="2026-05-18T00:00:00"/>
    <s v="Monday"/>
    <s v="Afternoon"/>
    <x v="0"/>
    <n v="14"/>
    <n v="5"/>
    <x v="1"/>
    <x v="1"/>
    <s v="None"/>
    <n v="29.2"/>
    <x v="45"/>
    <x v="1"/>
  </r>
  <r>
    <s v="HC-01007"/>
    <s v="P-1479"/>
    <s v="Male"/>
    <n v="47"/>
    <x v="2"/>
    <s v="Follow-up"/>
    <d v="2026-03-24T00:00:00"/>
    <d v="2026-04-10T00:00:00"/>
    <s v="Friday"/>
    <s v="Morning"/>
    <x v="3"/>
    <n v="17"/>
    <n v="3"/>
    <x v="0"/>
    <x v="1"/>
    <s v="None"/>
    <n v="0.6"/>
    <x v="8"/>
    <x v="0"/>
  </r>
  <r>
    <s v="HC-01008"/>
    <s v="P-1300"/>
    <s v="Female"/>
    <n v="57"/>
    <x v="3"/>
    <s v="General Consultation"/>
    <d v="2025-08-18T00:00:00"/>
    <d v="2025-10-02T00:00:00"/>
    <s v="Thursday"/>
    <s v="Afternoon"/>
    <x v="2"/>
    <n v="45"/>
    <n v="5"/>
    <x v="1"/>
    <x v="1"/>
    <s v="None"/>
    <n v="21.1"/>
    <x v="23"/>
    <x v="0"/>
  </r>
  <r>
    <s v="HC-01009"/>
    <s v="P-1113"/>
    <s v="Female"/>
    <n v="39"/>
    <x v="0"/>
    <s v="Diagnostic Test"/>
    <d v="2026-02-01T00:00:00"/>
    <d v="2026-02-05T00:00:00"/>
    <s v="Thursday"/>
    <s v="Morning"/>
    <x v="1"/>
    <n v="4"/>
    <n v="5"/>
    <x v="1"/>
    <x v="0"/>
    <s v="SMS"/>
    <n v="8.6999999999999993"/>
    <x v="19"/>
    <x v="1"/>
  </r>
  <r>
    <s v="HC-01010"/>
    <s v="P-1274"/>
    <s v="Male"/>
    <n v="73"/>
    <x v="4"/>
    <s v="Specialist Consultation"/>
    <d v="2025-10-07T00:00:00"/>
    <d v="2025-10-12T00:00:00"/>
    <s v="Sunday"/>
    <s v="Afternoon"/>
    <x v="1"/>
    <n v="5"/>
    <n v="0"/>
    <x v="0"/>
    <x v="0"/>
    <s v="WhatsApp"/>
    <n v="22.3"/>
    <x v="31"/>
    <x v="1"/>
  </r>
  <r>
    <s v="HC-01011"/>
    <s v="P-0715"/>
    <s v="Male"/>
    <n v="51"/>
    <x v="2"/>
    <s v="General Consultation"/>
    <d v="2025-05-03T00:00:00"/>
    <d v="2025-05-27T00:00:00"/>
    <s v="Tuesday"/>
    <s v="Morning"/>
    <x v="3"/>
    <n v="24"/>
    <n v="3"/>
    <x v="0"/>
    <x v="0"/>
    <s v="SMS"/>
    <n v="4.3"/>
    <x v="45"/>
    <x v="0"/>
  </r>
  <r>
    <s v="HC-01012"/>
    <s v="P-0052"/>
    <s v="Female"/>
    <n v="40"/>
    <x v="0"/>
    <s v="Follow-up"/>
    <d v="2026-01-25T00:00:00"/>
    <d v="2026-03-13T00:00:00"/>
    <s v="Friday"/>
    <s v="Morning"/>
    <x v="2"/>
    <n v="47"/>
    <n v="0"/>
    <x v="0"/>
    <x v="0"/>
    <s v="Email"/>
    <n v="10.9"/>
    <x v="3"/>
    <x v="0"/>
  </r>
  <r>
    <s v="HC-01013"/>
    <s v="P-1499"/>
    <s v="Prefer not to say"/>
    <n v="19"/>
    <x v="5"/>
    <s v="Follow-up"/>
    <d v="2025-04-05T00:00:00"/>
    <d v="2025-05-15T00:00:00"/>
    <s v="Thursday"/>
    <s v="Afternoon"/>
    <x v="2"/>
    <n v="40"/>
    <n v="5"/>
    <x v="0"/>
    <x v="1"/>
    <s v="None"/>
    <n v="10.8"/>
    <x v="50"/>
    <x v="1"/>
  </r>
  <r>
    <s v="HC-01014"/>
    <s v="P-1496"/>
    <s v="Female"/>
    <n v="28"/>
    <x v="1"/>
    <s v="Diagnostic Test"/>
    <d v="2025-05-17T00:00:00"/>
    <d v="2025-06-21T00:00:00"/>
    <s v="Saturday"/>
    <s v="Afternoon"/>
    <x v="2"/>
    <n v="35"/>
    <n v="6"/>
    <x v="1"/>
    <x v="0"/>
    <s v="WhatsApp"/>
    <n v="12.5"/>
    <x v="50"/>
    <x v="1"/>
  </r>
  <r>
    <s v="HC-01015"/>
    <s v="P-1124"/>
    <s v="Female"/>
    <n v="48"/>
    <x v="2"/>
    <s v="General Consultation"/>
    <d v="2025-09-09T00:00:00"/>
    <d v="2025-10-11T00:00:00"/>
    <s v="Saturday"/>
    <s v="Morning"/>
    <x v="2"/>
    <n v="32"/>
    <n v="7"/>
    <x v="1"/>
    <x v="0"/>
    <s v="WhatsApp"/>
    <n v="7.3"/>
    <x v="39"/>
    <x v="0"/>
  </r>
  <r>
    <s v="HC-01016"/>
    <s v="P-1381"/>
    <s v="Male"/>
    <n v="43"/>
    <x v="0"/>
    <s v="Follow-up"/>
    <d v="2026-03-28T00:00:00"/>
    <d v="2026-04-03T00:00:00"/>
    <s v="Friday"/>
    <s v="Afternoon"/>
    <x v="1"/>
    <n v="6"/>
    <n v="3"/>
    <x v="0"/>
    <x v="1"/>
    <s v="None"/>
    <n v="5.8"/>
    <x v="26"/>
    <x v="1"/>
  </r>
  <r>
    <s v="HC-01017"/>
    <s v="P-0138"/>
    <s v="Male"/>
    <n v="72"/>
    <x v="4"/>
    <s v="Diagnostic Test"/>
    <d v="2025-07-09T00:00:00"/>
    <d v="2025-07-29T00:00:00"/>
    <s v="Tuesday"/>
    <s v="Morning"/>
    <x v="3"/>
    <n v="20"/>
    <n v="5"/>
    <x v="0"/>
    <x v="0"/>
    <s v="Email"/>
    <n v="12.5"/>
    <x v="14"/>
    <x v="1"/>
  </r>
  <r>
    <s v="HC-01018"/>
    <s v="P-0391"/>
    <s v="Male"/>
    <n v="67"/>
    <x v="4"/>
    <s v="General Consultation"/>
    <d v="2025-09-23T00:00:00"/>
    <d v="2025-09-27T00:00:00"/>
    <s v="Saturday"/>
    <s v="Morning"/>
    <x v="1"/>
    <n v="4"/>
    <n v="2"/>
    <x v="0"/>
    <x v="0"/>
    <s v="WhatsApp"/>
    <n v="13.5"/>
    <x v="48"/>
    <x v="2"/>
  </r>
  <r>
    <s v="HC-01019"/>
    <s v="P-0382"/>
    <s v="Male"/>
    <n v="28"/>
    <x v="1"/>
    <s v="Follow-up"/>
    <d v="2024-12-08T00:00:00"/>
    <d v="2025-01-23T00:00:00"/>
    <s v="Thursday"/>
    <s v="Morning"/>
    <x v="2"/>
    <n v="46"/>
    <n v="2"/>
    <x v="1"/>
    <x v="1"/>
    <s v="None"/>
    <n v="8.1"/>
    <x v="12"/>
    <x v="1"/>
  </r>
  <r>
    <s v="HC-01020"/>
    <s v="P-1020"/>
    <s v="Female"/>
    <n v="55"/>
    <x v="3"/>
    <s v="General Consultation"/>
    <d v="2025-01-19T00:00:00"/>
    <d v="2025-03-05T00:00:00"/>
    <s v="Wednesday"/>
    <s v="Afternoon"/>
    <x v="2"/>
    <n v="45"/>
    <n v="4"/>
    <x v="1"/>
    <x v="0"/>
    <s v="WhatsApp"/>
    <n v="12.1"/>
    <x v="5"/>
    <x v="0"/>
  </r>
  <r>
    <s v="HC-01021"/>
    <s v="P-1240"/>
    <s v="Female"/>
    <n v="46"/>
    <x v="2"/>
    <s v="Follow-up"/>
    <d v="2025-01-16T00:00:00"/>
    <d v="2025-01-31T00:00:00"/>
    <s v="Friday"/>
    <s v="Afternoon"/>
    <x v="3"/>
    <n v="15"/>
    <n v="2"/>
    <x v="1"/>
    <x v="1"/>
    <s v="None"/>
    <n v="24.8"/>
    <x v="45"/>
    <x v="1"/>
  </r>
  <r>
    <s v="HC-01022"/>
    <s v="P-0474"/>
    <s v="Female"/>
    <n v="24"/>
    <x v="5"/>
    <s v="General Consultation"/>
    <d v="2025-01-23T00:00:00"/>
    <d v="2025-02-09T00:00:00"/>
    <s v="Sunday"/>
    <s v="Afternoon"/>
    <x v="3"/>
    <n v="17"/>
    <n v="6"/>
    <x v="1"/>
    <x v="1"/>
    <s v="None"/>
    <n v="9.1999999999999993"/>
    <x v="10"/>
    <x v="1"/>
  </r>
  <r>
    <s v="HC-01023"/>
    <s v="P-0794"/>
    <s v="Male"/>
    <n v="59"/>
    <x v="3"/>
    <s v="Diagnostic Test"/>
    <d v="2026-04-01T00:00:00"/>
    <d v="2026-04-20T00:00:00"/>
    <s v="Monday"/>
    <s v="Afternoon"/>
    <x v="3"/>
    <n v="19"/>
    <n v="2"/>
    <x v="1"/>
    <x v="1"/>
    <s v="None"/>
    <n v="1.3"/>
    <x v="14"/>
    <x v="0"/>
  </r>
  <r>
    <s v="HC-01024"/>
    <s v="P-1502"/>
    <s v="Female"/>
    <n v="51"/>
    <x v="2"/>
    <s v="General Consultation"/>
    <d v="2026-02-10T00:00:00"/>
    <d v="2026-04-05T00:00:00"/>
    <s v="Sunday"/>
    <s v="Morning"/>
    <x v="2"/>
    <n v="54"/>
    <n v="4"/>
    <x v="0"/>
    <x v="0"/>
    <s v="SMS"/>
    <n v="11.3"/>
    <x v="46"/>
    <x v="0"/>
  </r>
  <r>
    <s v="HC-01025"/>
    <s v="P-0667"/>
    <s v="Male"/>
    <n v="23"/>
    <x v="5"/>
    <s v="General Consultation"/>
    <d v="2026-02-24T00:00:00"/>
    <d v="2026-03-25T00:00:00"/>
    <s v="Wednesday"/>
    <s v="Morning"/>
    <x v="3"/>
    <n v="29"/>
    <n v="3"/>
    <x v="1"/>
    <x v="0"/>
    <s v="SMS"/>
    <n v="3.2"/>
    <x v="39"/>
    <x v="0"/>
  </r>
  <r>
    <s v="HC-01026"/>
    <s v="P-0314"/>
    <s v="Female"/>
    <n v="47"/>
    <x v="2"/>
    <s v="Specialist Consultation"/>
    <d v="2024-12-16T00:00:00"/>
    <d v="2025-01-31T00:00:00"/>
    <s v="Friday"/>
    <s v="Morning"/>
    <x v="2"/>
    <n v="46"/>
    <n v="6"/>
    <x v="1"/>
    <x v="0"/>
    <s v="WhatsApp"/>
    <n v="10.5"/>
    <x v="6"/>
    <x v="0"/>
  </r>
  <r>
    <s v="HC-01027"/>
    <s v="P-1742"/>
    <s v="Female"/>
    <n v="64"/>
    <x v="3"/>
    <s v="Specialist Consultation"/>
    <d v="2025-01-16T00:00:00"/>
    <d v="2025-02-12T00:00:00"/>
    <s v="Wednesday"/>
    <s v="Afternoon"/>
    <x v="3"/>
    <n v="27"/>
    <n v="2"/>
    <x v="1"/>
    <x v="1"/>
    <s v="None"/>
    <n v="15.8"/>
    <x v="25"/>
    <x v="1"/>
  </r>
  <r>
    <s v="HC-01028"/>
    <s v="P-1495"/>
    <s v="Female"/>
    <n v="38"/>
    <x v="0"/>
    <s v="Follow-up"/>
    <d v="2025-04-22T00:00:00"/>
    <d v="2025-06-03T00:00:00"/>
    <s v="Tuesday"/>
    <s v="Morning"/>
    <x v="2"/>
    <n v="42"/>
    <n v="1"/>
    <x v="1"/>
    <x v="0"/>
    <s v="Email"/>
    <n v="7.8"/>
    <x v="9"/>
    <x v="0"/>
  </r>
  <r>
    <s v="HC-01029"/>
    <s v="P-1724"/>
    <s v="Male"/>
    <n v="40"/>
    <x v="0"/>
    <s v="Specialist Consultation"/>
    <d v="2025-10-04T00:00:00"/>
    <d v="2025-11-05T00:00:00"/>
    <s v="Wednesday"/>
    <s v="Afternoon"/>
    <x v="2"/>
    <n v="32"/>
    <n v="3"/>
    <x v="1"/>
    <x v="0"/>
    <s v="SMS"/>
    <n v="14.6"/>
    <x v="8"/>
    <x v="1"/>
  </r>
  <r>
    <s v="HC-01030"/>
    <s v="P-1185"/>
    <s v="Female"/>
    <n v="24"/>
    <x v="5"/>
    <s v="General Consultation"/>
    <d v="2025-06-16T00:00:00"/>
    <d v="2025-07-02T00:00:00"/>
    <s v="Wednesday"/>
    <s v="Afternoon"/>
    <x v="3"/>
    <n v="16"/>
    <n v="1"/>
    <x v="0"/>
    <x v="1"/>
    <s v="None"/>
    <n v="14.9"/>
    <x v="4"/>
    <x v="1"/>
  </r>
  <r>
    <s v="HC-01031"/>
    <s v="P-1234"/>
    <s v="Male"/>
    <n v="30"/>
    <x v="1"/>
    <s v="Follow-up"/>
    <d v="2025-08-02T00:00:00"/>
    <d v="2025-09-24T00:00:00"/>
    <s v="Wednesday"/>
    <s v="Afternoon"/>
    <x v="2"/>
    <n v="53"/>
    <n v="3"/>
    <x v="1"/>
    <x v="0"/>
    <s v="SMS"/>
    <n v="18.8"/>
    <x v="16"/>
    <x v="0"/>
  </r>
  <r>
    <s v="HC-01032"/>
    <s v="P-0334"/>
    <s v="Male"/>
    <n v="79"/>
    <x v="4"/>
    <s v="General Consultation"/>
    <d v="2025-02-21T00:00:00"/>
    <d v="2025-04-05T00:00:00"/>
    <s v="Saturday"/>
    <s v="Morning"/>
    <x v="2"/>
    <n v="43"/>
    <n v="5"/>
    <x v="1"/>
    <x v="0"/>
    <s v="Email"/>
    <n v="27.2"/>
    <x v="27"/>
    <x v="0"/>
  </r>
  <r>
    <s v="HC-01033"/>
    <s v="P-1225"/>
    <s v="Female"/>
    <n v="57"/>
    <x v="3"/>
    <s v="General Consultation"/>
    <d v="2025-12-20T00:00:00"/>
    <d v="2026-02-04T00:00:00"/>
    <s v="Wednesday"/>
    <s v="Morning"/>
    <x v="2"/>
    <n v="46"/>
    <n v="0"/>
    <x v="0"/>
    <x v="0"/>
    <s v="WhatsApp"/>
    <n v="22.4"/>
    <x v="20"/>
    <x v="0"/>
  </r>
  <r>
    <s v="HC-01034"/>
    <s v="P-1558"/>
    <s v="Male"/>
    <n v="29"/>
    <x v="1"/>
    <s v="Diagnostic Test"/>
    <d v="2025-04-25T00:00:00"/>
    <d v="2025-06-21T00:00:00"/>
    <s v="Saturday"/>
    <s v="Evening"/>
    <x v="2"/>
    <n v="57"/>
    <n v="3"/>
    <x v="0"/>
    <x v="0"/>
    <s v="Email"/>
    <n v="0.9"/>
    <x v="38"/>
    <x v="0"/>
  </r>
  <r>
    <s v="HC-01035"/>
    <s v="P-1247"/>
    <s v="Female"/>
    <n v="48"/>
    <x v="2"/>
    <s v="Specialist Consultation"/>
    <d v="2025-01-22T00:00:00"/>
    <d v="2025-02-06T00:00:00"/>
    <s v="Thursday"/>
    <s v="Afternoon"/>
    <x v="3"/>
    <n v="15"/>
    <n v="3"/>
    <x v="1"/>
    <x v="0"/>
    <s v="SMS"/>
    <n v="5.7"/>
    <x v="1"/>
    <x v="1"/>
  </r>
  <r>
    <s v="HC-01036"/>
    <s v="P-1493"/>
    <s v="Female"/>
    <n v="30"/>
    <x v="1"/>
    <s v="General Consultation"/>
    <d v="2026-02-05T00:00:00"/>
    <d v="2026-02-10T00:00:00"/>
    <s v="Tuesday"/>
    <s v="Afternoon"/>
    <x v="1"/>
    <n v="5"/>
    <n v="5"/>
    <x v="0"/>
    <x v="0"/>
    <s v="WhatsApp"/>
    <n v="4.2"/>
    <x v="12"/>
    <x v="1"/>
  </r>
  <r>
    <s v="HC-01037"/>
    <s v="P-0066"/>
    <s v="Female"/>
    <n v="45"/>
    <x v="2"/>
    <s v="General Consultation"/>
    <d v="2026-04-03T00:00:00"/>
    <d v="2026-05-08T00:00:00"/>
    <s v="Friday"/>
    <s v="Afternoon"/>
    <x v="2"/>
    <n v="35"/>
    <n v="5"/>
    <x v="0"/>
    <x v="0"/>
    <s v="Email"/>
    <n v="13.2"/>
    <x v="7"/>
    <x v="1"/>
  </r>
  <r>
    <s v="HC-01038"/>
    <s v="P-1144"/>
    <s v="Male"/>
    <n v="27"/>
    <x v="1"/>
    <s v="Diagnostic Test"/>
    <d v="2024-12-21T00:00:00"/>
    <d v="2025-01-09T00:00:00"/>
    <s v="Thursday"/>
    <s v="Evening"/>
    <x v="3"/>
    <n v="19"/>
    <n v="0"/>
    <x v="0"/>
    <x v="0"/>
    <s v="SMS"/>
    <n v="7.9"/>
    <x v="37"/>
    <x v="0"/>
  </r>
  <r>
    <s v="HC-01039"/>
    <s v="P-0198"/>
    <s v="Male"/>
    <n v="56"/>
    <x v="3"/>
    <s v="General Consultation"/>
    <d v="2025-08-01T00:00:00"/>
    <d v="2025-08-27T00:00:00"/>
    <s v="Wednesday"/>
    <s v="Morning"/>
    <x v="3"/>
    <n v="26"/>
    <n v="4"/>
    <x v="2"/>
    <x v="0"/>
    <s v="SMS"/>
    <n v="4.7"/>
    <x v="5"/>
    <x v="1"/>
  </r>
  <r>
    <s v="HC-01040"/>
    <s v="P-0899"/>
    <s v="Female"/>
    <n v="53"/>
    <x v="2"/>
    <s v="General Consultation"/>
    <d v="2026-03-14T00:00:00"/>
    <d v="2026-03-28T00:00:00"/>
    <s v="Saturday"/>
    <s v="Evening"/>
    <x v="0"/>
    <n v="14"/>
    <n v="2"/>
    <x v="0"/>
    <x v="0"/>
    <s v="WhatsApp"/>
    <n v="5.8"/>
    <x v="0"/>
    <x v="1"/>
  </r>
  <r>
    <s v="HC-01041"/>
    <s v="P-0173"/>
    <s v="Male"/>
    <n v="57"/>
    <x v="3"/>
    <s v="General Consultation"/>
    <d v="2025-12-28T00:00:00"/>
    <d v="2026-01-21T00:00:00"/>
    <s v="Wednesday"/>
    <s v="Morning"/>
    <x v="3"/>
    <n v="24"/>
    <n v="2"/>
    <x v="2"/>
    <x v="0"/>
    <s v="WhatsApp"/>
    <n v="6.4"/>
    <x v="12"/>
    <x v="1"/>
  </r>
  <r>
    <s v="HC-01042"/>
    <s v="P-1133"/>
    <s v="Male"/>
    <n v="45"/>
    <x v="2"/>
    <s v="General Consultation"/>
    <d v="2026-03-21T00:00:00"/>
    <d v="2026-04-13T00:00:00"/>
    <s v="Monday"/>
    <s v="Evening"/>
    <x v="3"/>
    <n v="23"/>
    <n v="8"/>
    <x v="3"/>
    <x v="1"/>
    <s v="None"/>
    <n v="14.6"/>
    <x v="27"/>
    <x v="0"/>
  </r>
  <r>
    <s v="HC-01043"/>
    <s v="P-0911"/>
    <s v="Male"/>
    <n v="36"/>
    <x v="0"/>
    <s v="General Consultation"/>
    <d v="2025-07-25T00:00:00"/>
    <d v="2025-08-15T00:00:00"/>
    <s v="Friday"/>
    <s v="Morning"/>
    <x v="3"/>
    <n v="21"/>
    <n v="1"/>
    <x v="0"/>
    <x v="0"/>
    <s v="WhatsApp"/>
    <n v="2.2000000000000002"/>
    <x v="48"/>
    <x v="0"/>
  </r>
  <r>
    <s v="HC-01044"/>
    <s v="P-1206"/>
    <s v="Male"/>
    <n v="33"/>
    <x v="1"/>
    <s v="Diagnostic Test"/>
    <d v="2025-06-08T00:00:00"/>
    <d v="2025-07-23T00:00:00"/>
    <s v="Wednesday"/>
    <s v="Morning"/>
    <x v="2"/>
    <n v="45"/>
    <n v="1"/>
    <x v="0"/>
    <x v="1"/>
    <s v="None"/>
    <n v="4.7"/>
    <x v="14"/>
    <x v="2"/>
  </r>
  <r>
    <s v="HC-01045"/>
    <s v="P-1157"/>
    <s v="Male"/>
    <n v="31"/>
    <x v="1"/>
    <s v="General Consultation"/>
    <d v="2025-12-18T00:00:00"/>
    <d v="2026-01-23T00:00:00"/>
    <s v="Friday"/>
    <s v="Morning"/>
    <x v="2"/>
    <n v="36"/>
    <n v="2"/>
    <x v="1"/>
    <x v="1"/>
    <s v="None"/>
    <n v="0.7"/>
    <x v="28"/>
    <x v="1"/>
  </r>
  <r>
    <s v="HC-01046"/>
    <s v="P-0185"/>
    <s v="Male"/>
    <n v="45"/>
    <x v="2"/>
    <s v="Follow-up"/>
    <d v="2025-02-25T00:00:00"/>
    <d v="2025-03-25T00:00:00"/>
    <s v="Tuesday"/>
    <s v="Afternoon"/>
    <x v="3"/>
    <n v="28"/>
    <n v="4"/>
    <x v="1"/>
    <x v="1"/>
    <s v="None"/>
    <n v="14.5"/>
    <x v="6"/>
    <x v="1"/>
  </r>
  <r>
    <s v="HC-01047"/>
    <s v="P-1670"/>
    <s v="Female"/>
    <n v="46"/>
    <x v="2"/>
    <s v="Specialist Consultation"/>
    <d v="2025-05-05T00:00:00"/>
    <d v="2025-05-11T00:00:00"/>
    <s v="Sunday"/>
    <s v="Evening"/>
    <x v="1"/>
    <n v="6"/>
    <n v="5"/>
    <x v="0"/>
    <x v="0"/>
    <s v="SMS"/>
    <n v="17.7"/>
    <x v="6"/>
    <x v="1"/>
  </r>
  <r>
    <s v="HC-01048"/>
    <s v="P-0722"/>
    <s v="Male"/>
    <n v="60"/>
    <x v="3"/>
    <s v="Follow-up"/>
    <d v="2025-10-22T00:00:00"/>
    <d v="2025-11-25T00:00:00"/>
    <s v="Tuesday"/>
    <s v="Morning"/>
    <x v="2"/>
    <n v="34"/>
    <n v="3"/>
    <x v="0"/>
    <x v="1"/>
    <s v="None"/>
    <n v="12"/>
    <x v="22"/>
    <x v="1"/>
  </r>
  <r>
    <s v="HC-01049"/>
    <s v="P-0038"/>
    <s v="Female"/>
    <n v="21"/>
    <x v="5"/>
    <s v="Specialist Consultation"/>
    <d v="2025-12-21T00:00:00"/>
    <d v="2025-12-31T00:00:00"/>
    <s v="Wednesday"/>
    <s v="Morning"/>
    <x v="0"/>
    <n v="10"/>
    <n v="3"/>
    <x v="0"/>
    <x v="0"/>
    <s v="Email"/>
    <n v="13.2"/>
    <x v="14"/>
    <x v="2"/>
  </r>
  <r>
    <s v="HC-01050"/>
    <s v="P-1685"/>
    <s v="Male"/>
    <n v="35"/>
    <x v="0"/>
    <s v="Follow-up"/>
    <d v="2025-02-16T00:00:00"/>
    <d v="2025-03-07T00:00:00"/>
    <s v="Friday"/>
    <s v="Morning"/>
    <x v="3"/>
    <n v="19"/>
    <n v="3"/>
    <x v="0"/>
    <x v="0"/>
    <s v="SMS"/>
    <n v="10"/>
    <x v="36"/>
    <x v="0"/>
  </r>
  <r>
    <s v="HC-01051"/>
    <s v="P-1541"/>
    <s v="Male"/>
    <n v="71"/>
    <x v="4"/>
    <s v="Follow-up"/>
    <d v="2025-09-10T00:00:00"/>
    <d v="2025-10-05T00:00:00"/>
    <s v="Sunday"/>
    <s v="Morning"/>
    <x v="3"/>
    <n v="25"/>
    <n v="6"/>
    <x v="0"/>
    <x v="0"/>
    <s v="SMS"/>
    <n v="11.8"/>
    <x v="47"/>
    <x v="0"/>
  </r>
  <r>
    <s v="HC-01052"/>
    <s v="P-1392"/>
    <s v="Female"/>
    <n v="75"/>
    <x v="4"/>
    <s v="Follow-up"/>
    <d v="2025-07-11T00:00:00"/>
    <d v="2025-07-19T00:00:00"/>
    <s v="Saturday"/>
    <s v="Afternoon"/>
    <x v="0"/>
    <n v="8"/>
    <n v="3"/>
    <x v="0"/>
    <x v="1"/>
    <s v="None"/>
    <n v="1.6"/>
    <x v="57"/>
    <x v="1"/>
  </r>
  <r>
    <s v="HC-01053"/>
    <s v="P-1329"/>
    <s v="Female"/>
    <n v="76"/>
    <x v="4"/>
    <s v="Specialist Consultation"/>
    <d v="2025-09-08T00:00:00"/>
    <d v="2025-10-01T00:00:00"/>
    <s v="Wednesday"/>
    <s v="Morning"/>
    <x v="3"/>
    <n v="23"/>
    <n v="2"/>
    <x v="0"/>
    <x v="1"/>
    <s v="None"/>
    <n v="11.5"/>
    <x v="19"/>
    <x v="0"/>
  </r>
  <r>
    <s v="HC-01054"/>
    <s v="P-0139"/>
    <s v="Male"/>
    <n v="37"/>
    <x v="0"/>
    <s v="Specialist Consultation"/>
    <d v="2026-05-23T00:00:00"/>
    <d v="2026-06-08T00:00:00"/>
    <s v="Monday"/>
    <s v="Evening"/>
    <x v="3"/>
    <n v="16"/>
    <n v="5"/>
    <x v="0"/>
    <x v="0"/>
    <s v="SMS"/>
    <n v="4.4000000000000004"/>
    <x v="49"/>
    <x v="1"/>
  </r>
  <r>
    <s v="HC-01055"/>
    <s v="P-0591"/>
    <s v="Male"/>
    <n v="26"/>
    <x v="1"/>
    <s v="Specialist Consultation"/>
    <d v="2024-12-22T00:00:00"/>
    <d v="2025-02-11T00:00:00"/>
    <s v="Tuesday"/>
    <s v="Evening"/>
    <x v="2"/>
    <n v="51"/>
    <n v="1"/>
    <x v="1"/>
    <x v="0"/>
    <s v="SMS"/>
    <n v="13.3"/>
    <x v="3"/>
    <x v="1"/>
  </r>
  <r>
    <s v="HC-01056"/>
    <s v="P-1544"/>
    <s v="Male"/>
    <n v="30"/>
    <x v="1"/>
    <s v="General Consultation"/>
    <d v="2026-05-07T00:00:00"/>
    <d v="2026-06-28T00:00:00"/>
    <s v="Sunday"/>
    <s v="Morning"/>
    <x v="2"/>
    <n v="52"/>
    <n v="4"/>
    <x v="0"/>
    <x v="0"/>
    <s v="SMS"/>
    <n v="7.4"/>
    <x v="19"/>
    <x v="0"/>
  </r>
  <r>
    <s v="HC-01057"/>
    <s v="P-0169"/>
    <s v="Male"/>
    <n v="26"/>
    <x v="1"/>
    <s v="Follow-up"/>
    <d v="2025-09-03T00:00:00"/>
    <d v="2025-09-03T00:00:00"/>
    <s v="Wednesday"/>
    <s v="Afternoon"/>
    <x v="1"/>
    <n v="0"/>
    <n v="3"/>
    <x v="1"/>
    <x v="0"/>
    <s v="SMS"/>
    <n v="20.7"/>
    <x v="6"/>
    <x v="1"/>
  </r>
  <r>
    <s v="HC-01058"/>
    <s v="P-0113"/>
    <s v="Female"/>
    <n v="78"/>
    <x v="4"/>
    <s v="Specialist Consultation"/>
    <d v="2026-01-21T00:00:00"/>
    <d v="2026-02-26T00:00:00"/>
    <s v="Thursday"/>
    <s v="Evening"/>
    <x v="2"/>
    <n v="36"/>
    <n v="4"/>
    <x v="1"/>
    <x v="0"/>
    <s v="Email"/>
    <n v="10.4"/>
    <x v="22"/>
    <x v="2"/>
  </r>
  <r>
    <s v="HC-01059"/>
    <s v="P-0180"/>
    <s v="Female"/>
    <n v="73"/>
    <x v="4"/>
    <s v="General Consultation"/>
    <d v="2025-07-12T00:00:00"/>
    <d v="2025-08-20T00:00:00"/>
    <s v="Wednesday"/>
    <s v="Afternoon"/>
    <x v="2"/>
    <n v="39"/>
    <n v="5"/>
    <x v="3"/>
    <x v="0"/>
    <s v="WhatsApp"/>
    <n v="4.0999999999999996"/>
    <x v="26"/>
    <x v="0"/>
  </r>
  <r>
    <s v="HC-01060"/>
    <s v="P-1233"/>
    <s v="Male"/>
    <n v="69"/>
    <x v="4"/>
    <s v="Specialist Consultation"/>
    <d v="2025-05-27T00:00:00"/>
    <d v="2025-06-19T00:00:00"/>
    <s v="Thursday"/>
    <s v="Afternoon"/>
    <x v="3"/>
    <n v="23"/>
    <n v="3"/>
    <x v="0"/>
    <x v="1"/>
    <s v="None"/>
    <n v="3"/>
    <x v="7"/>
    <x v="1"/>
  </r>
  <r>
    <s v="HC-01061"/>
    <s v="P-1438"/>
    <s v="Female"/>
    <n v="63"/>
    <x v="3"/>
    <s v="General Consultation"/>
    <d v="2026-01-28T00:00:00"/>
    <d v="2026-02-25T00:00:00"/>
    <s v="Wednesday"/>
    <s v="Morning"/>
    <x v="3"/>
    <n v="28"/>
    <n v="2"/>
    <x v="0"/>
    <x v="0"/>
    <s v="Email"/>
    <n v="4.5"/>
    <x v="24"/>
    <x v="0"/>
  </r>
  <r>
    <s v="HC-01062"/>
    <s v="P-0607"/>
    <s v="Male"/>
    <n v="39"/>
    <x v="0"/>
    <s v="General Consultation"/>
    <d v="2025-11-24T00:00:00"/>
    <d v="2026-01-11T00:00:00"/>
    <s v="Sunday"/>
    <s v="Morning"/>
    <x v="2"/>
    <n v="48"/>
    <n v="6"/>
    <x v="1"/>
    <x v="0"/>
    <s v="Email"/>
    <n v="8.5"/>
    <x v="17"/>
    <x v="0"/>
  </r>
  <r>
    <s v="HC-01063"/>
    <s v="P-1632"/>
    <s v="Female"/>
    <n v="47"/>
    <x v="2"/>
    <s v="Specialist Consultation"/>
    <d v="2025-02-25T00:00:00"/>
    <d v="2025-03-20T00:00:00"/>
    <s v="Thursday"/>
    <s v="Afternoon"/>
    <x v="3"/>
    <n v="23"/>
    <n v="4"/>
    <x v="1"/>
    <x v="0"/>
    <s v="Email"/>
    <n v="19.8"/>
    <x v="21"/>
    <x v="0"/>
  </r>
  <r>
    <s v="HC-01064"/>
    <s v="P-0489"/>
    <s v="Female"/>
    <n v="71"/>
    <x v="4"/>
    <s v="General Consultation"/>
    <d v="2026-01-18T00:00:00"/>
    <d v="2026-01-21T00:00:00"/>
    <s v="Wednesday"/>
    <s v="Morning"/>
    <x v="1"/>
    <n v="3"/>
    <n v="1"/>
    <x v="0"/>
    <x v="1"/>
    <s v="None"/>
    <n v="6.2"/>
    <x v="16"/>
    <x v="1"/>
  </r>
  <r>
    <s v="HC-01065"/>
    <s v="P-0599"/>
    <s v="Male"/>
    <n v="69"/>
    <x v="4"/>
    <s v="General Consultation"/>
    <d v="2026-01-25T00:00:00"/>
    <d v="2026-02-16T00:00:00"/>
    <s v="Monday"/>
    <s v="Afternoon"/>
    <x v="3"/>
    <n v="22"/>
    <n v="3"/>
    <x v="0"/>
    <x v="1"/>
    <s v="None"/>
    <n v="11.2"/>
    <x v="9"/>
    <x v="1"/>
  </r>
  <r>
    <s v="HC-01066"/>
    <s v="P-0866"/>
    <s v="Male"/>
    <n v="50"/>
    <x v="2"/>
    <s v="General Consultation"/>
    <d v="2025-07-16T00:00:00"/>
    <d v="2025-07-31T00:00:00"/>
    <s v="Thursday"/>
    <s v="Afternoon"/>
    <x v="3"/>
    <n v="15"/>
    <n v="2"/>
    <x v="0"/>
    <x v="1"/>
    <s v="None"/>
    <n v="2.8"/>
    <x v="12"/>
    <x v="2"/>
  </r>
  <r>
    <s v="HC-01067"/>
    <s v="P-0717"/>
    <s v="Male"/>
    <n v="70"/>
    <x v="4"/>
    <s v="Diagnostic Test"/>
    <d v="2026-04-28T00:00:00"/>
    <d v="2026-05-21T00:00:00"/>
    <s v="Thursday"/>
    <s v="Morning"/>
    <x v="3"/>
    <n v="23"/>
    <n v="4"/>
    <x v="0"/>
    <x v="0"/>
    <s v="WhatsApp"/>
    <n v="13.1"/>
    <x v="42"/>
    <x v="0"/>
  </r>
  <r>
    <s v="HC-01068"/>
    <s v="P-0143"/>
    <s v="Female"/>
    <n v="39"/>
    <x v="0"/>
    <s v="Follow-up"/>
    <d v="2025-12-02T00:00:00"/>
    <d v="2025-12-16T00:00:00"/>
    <s v="Tuesday"/>
    <s v="Morning"/>
    <x v="0"/>
    <n v="14"/>
    <n v="4"/>
    <x v="1"/>
    <x v="0"/>
    <s v="Email"/>
    <n v="7.7"/>
    <x v="3"/>
    <x v="0"/>
  </r>
  <r>
    <s v="HC-01069"/>
    <s v="P-1057"/>
    <s v="Male"/>
    <n v="44"/>
    <x v="0"/>
    <s v="Follow-up"/>
    <d v="2025-06-23T00:00:00"/>
    <d v="2025-07-02T00:00:00"/>
    <s v="Wednesday"/>
    <s v="Morning"/>
    <x v="0"/>
    <n v="9"/>
    <n v="4"/>
    <x v="0"/>
    <x v="0"/>
    <s v="SMS"/>
    <n v="11.1"/>
    <x v="37"/>
    <x v="0"/>
  </r>
  <r>
    <s v="HC-01070"/>
    <s v="P-1741"/>
    <s v="Female"/>
    <n v="70"/>
    <x v="4"/>
    <s v="Specialist Consultation"/>
    <d v="2024-11-07T00:00:00"/>
    <d v="2025-01-06T00:00:00"/>
    <s v="Monday"/>
    <s v="Evening"/>
    <x v="2"/>
    <n v="60"/>
    <n v="2"/>
    <x v="0"/>
    <x v="0"/>
    <s v="WhatsApp"/>
    <n v="21.9"/>
    <x v="23"/>
    <x v="1"/>
  </r>
  <r>
    <s v="HC-01071"/>
    <s v="P-0667"/>
    <s v="Male"/>
    <n v="41"/>
    <x v="0"/>
    <s v="Follow-up"/>
    <d v="2025-12-28T00:00:00"/>
    <d v="2026-01-04T00:00:00"/>
    <s v="Sunday"/>
    <s v="Morning"/>
    <x v="1"/>
    <n v="7"/>
    <n v="3"/>
    <x v="1"/>
    <x v="0"/>
    <s v="SMS"/>
    <n v="9.3000000000000007"/>
    <x v="12"/>
    <x v="1"/>
  </r>
  <r>
    <s v="HC-01072"/>
    <s v="P-1722"/>
    <s v="Male"/>
    <n v="65"/>
    <x v="4"/>
    <s v="Diagnostic Test"/>
    <d v="2025-03-13T00:00:00"/>
    <d v="2025-04-25T00:00:00"/>
    <s v="Friday"/>
    <s v="Morning"/>
    <x v="2"/>
    <n v="43"/>
    <n v="2"/>
    <x v="0"/>
    <x v="0"/>
    <s v="Email"/>
    <n v="3.1"/>
    <x v="21"/>
    <x v="0"/>
  </r>
  <r>
    <s v="HC-01073"/>
    <s v="P-1502"/>
    <s v="Female"/>
    <n v="46"/>
    <x v="2"/>
    <s v="Specialist Consultation"/>
    <d v="2026-01-06T00:00:00"/>
    <d v="2026-02-18T00:00:00"/>
    <s v="Wednesday"/>
    <s v="Evening"/>
    <x v="2"/>
    <n v="43"/>
    <n v="4"/>
    <x v="0"/>
    <x v="0"/>
    <s v="WhatsApp"/>
    <n v="9.8000000000000007"/>
    <x v="42"/>
    <x v="1"/>
  </r>
  <r>
    <s v="HC-01074"/>
    <s v="P-0307"/>
    <s v="Male"/>
    <n v="36"/>
    <x v="0"/>
    <s v="General Consultation"/>
    <d v="2025-09-07T00:00:00"/>
    <d v="2025-10-14T00:00:00"/>
    <s v="Tuesday"/>
    <s v="Afternoon"/>
    <x v="2"/>
    <n v="37"/>
    <n v="4"/>
    <x v="0"/>
    <x v="0"/>
    <s v="Email"/>
    <n v="9.5"/>
    <x v="9"/>
    <x v="0"/>
  </r>
  <r>
    <s v="HC-01075"/>
    <s v="P-1785"/>
    <s v="Male"/>
    <n v="31"/>
    <x v="1"/>
    <s v="Diagnostic Test"/>
    <d v="2025-07-19T00:00:00"/>
    <d v="2025-09-12T00:00:00"/>
    <s v="Friday"/>
    <s v="Afternoon"/>
    <x v="2"/>
    <n v="55"/>
    <n v="5"/>
    <x v="2"/>
    <x v="0"/>
    <s v="SMS"/>
    <m/>
    <x v="13"/>
    <x v="0"/>
  </r>
  <r>
    <s v="HC-01076"/>
    <s v="P-1728"/>
    <s v="Male"/>
    <n v="56"/>
    <x v="3"/>
    <s v="Follow-up"/>
    <d v="2025-03-31T00:00:00"/>
    <d v="2025-03-31T00:00:00"/>
    <s v="Monday"/>
    <s v="Afternoon"/>
    <x v="1"/>
    <n v="0"/>
    <n v="4"/>
    <x v="1"/>
    <x v="0"/>
    <s v="SMS"/>
    <n v="9.1999999999999993"/>
    <x v="14"/>
    <x v="1"/>
  </r>
  <r>
    <s v="HC-01077"/>
    <s v="P-1251"/>
    <s v="Male"/>
    <n v="48"/>
    <x v="2"/>
    <s v="General Consultation"/>
    <d v="2026-01-06T00:00:00"/>
    <d v="2026-01-24T00:00:00"/>
    <s v="Saturday"/>
    <s v="Morning"/>
    <x v="3"/>
    <n v="18"/>
    <n v="2"/>
    <x v="0"/>
    <x v="0"/>
    <s v="WhatsApp"/>
    <n v="21.3"/>
    <x v="25"/>
    <x v="1"/>
  </r>
  <r>
    <s v="HC-01078"/>
    <s v="P-1724"/>
    <s v="Female"/>
    <n v="41"/>
    <x v="0"/>
    <s v="General Consultation"/>
    <d v="2025-03-21T00:00:00"/>
    <d v="2025-04-01T00:00:00"/>
    <s v="Tuesday"/>
    <s v="Evening"/>
    <x v="0"/>
    <n v="11"/>
    <n v="3"/>
    <x v="0"/>
    <x v="0"/>
    <s v="SMS"/>
    <n v="15.1"/>
    <x v="42"/>
    <x v="1"/>
  </r>
  <r>
    <s v="HC-01079"/>
    <s v="P-0596"/>
    <s v="Male"/>
    <n v="64"/>
    <x v="3"/>
    <s v="Follow-up"/>
    <d v="2025-07-13T00:00:00"/>
    <d v="2025-08-17T00:00:00"/>
    <s v="Sunday"/>
    <s v="Afternoon"/>
    <x v="2"/>
    <n v="35"/>
    <n v="1"/>
    <x v="1"/>
    <x v="1"/>
    <s v="None"/>
    <n v="9.3000000000000007"/>
    <x v="6"/>
    <x v="1"/>
  </r>
  <r>
    <s v="HC-01080"/>
    <s v="P-0220"/>
    <s v="Female"/>
    <n v="18"/>
    <x v="5"/>
    <s v="General Consultation"/>
    <d v="2026-02-23T00:00:00"/>
    <d v="2026-04-02T00:00:00"/>
    <s v="Thursday"/>
    <s v="Morning"/>
    <x v="2"/>
    <n v="38"/>
    <n v="3"/>
    <x v="0"/>
    <x v="0"/>
    <s v="SMS"/>
    <n v="8.6"/>
    <x v="0"/>
    <x v="0"/>
  </r>
  <r>
    <s v="HC-01081"/>
    <s v="P-0260"/>
    <s v="Female"/>
    <n v="23"/>
    <x v="5"/>
    <s v="Follow-up"/>
    <d v="2026-03-25T00:00:00"/>
    <d v="2026-05-18T00:00:00"/>
    <s v="Monday"/>
    <s v="Morning"/>
    <x v="2"/>
    <n v="54"/>
    <n v="2"/>
    <x v="0"/>
    <x v="0"/>
    <s v="Email"/>
    <n v="3.7"/>
    <x v="0"/>
    <x v="0"/>
  </r>
  <r>
    <s v="HC-01082"/>
    <s v="P-0025"/>
    <s v="Male"/>
    <n v="78"/>
    <x v="4"/>
    <s v="General Consultation"/>
    <d v="2026-06-02T00:00:00"/>
    <d v="2026-06-25T00:00:00"/>
    <s v="Thursday"/>
    <s v="Morning"/>
    <x v="3"/>
    <n v="23"/>
    <n v="1"/>
    <x v="1"/>
    <x v="0"/>
    <s v="SMS"/>
    <n v="6.7"/>
    <x v="0"/>
    <x v="1"/>
  </r>
  <r>
    <s v="HC-01083"/>
    <s v="P-1544"/>
    <s v="Female"/>
    <n v="59"/>
    <x v="3"/>
    <s v="Follow-up"/>
    <d v="2026-05-25T00:00:00"/>
    <d v="2026-06-08T00:00:00"/>
    <s v="Monday"/>
    <s v="Afternoon"/>
    <x v="0"/>
    <n v="14"/>
    <n v="4"/>
    <x v="1"/>
    <x v="0"/>
    <s v="Email"/>
    <n v="2.2000000000000002"/>
    <x v="3"/>
    <x v="0"/>
  </r>
  <r>
    <s v="HC-01084"/>
    <s v="P-0845"/>
    <s v="Prefer not to say"/>
    <n v="52"/>
    <x v="2"/>
    <s v="General Consultation"/>
    <d v="2025-09-05T00:00:00"/>
    <d v="2025-10-31T00:00:00"/>
    <s v="Friday"/>
    <s v="Afternoon"/>
    <x v="2"/>
    <n v="56"/>
    <n v="3"/>
    <x v="3"/>
    <x v="1"/>
    <s v="None"/>
    <n v="7.8"/>
    <x v="19"/>
    <x v="1"/>
  </r>
  <r>
    <s v="HC-01085"/>
    <s v="P-0899"/>
    <s v="Female"/>
    <n v="18"/>
    <x v="5"/>
    <s v="Specialist Consultation"/>
    <d v="2025-03-10T00:00:00"/>
    <d v="2025-04-20T00:00:00"/>
    <s v="Sunday"/>
    <s v="Afternoon"/>
    <x v="2"/>
    <n v="41"/>
    <n v="3"/>
    <x v="1"/>
    <x v="0"/>
    <s v="Email"/>
    <n v="1.8"/>
    <x v="14"/>
    <x v="1"/>
  </r>
  <r>
    <s v="HC-01086"/>
    <s v="P-0608"/>
    <s v="Female"/>
    <n v="55"/>
    <x v="3"/>
    <s v="General Consultation"/>
    <d v="2026-02-17T00:00:00"/>
    <d v="2026-04-04T00:00:00"/>
    <s v="Saturday"/>
    <s v="Evening"/>
    <x v="2"/>
    <n v="46"/>
    <n v="0"/>
    <x v="0"/>
    <x v="1"/>
    <s v="None"/>
    <n v="9.5"/>
    <x v="51"/>
    <x v="0"/>
  </r>
  <r>
    <s v="HC-01087"/>
    <s v="P-0947"/>
    <s v="Female"/>
    <n v="45"/>
    <x v="2"/>
    <s v="General Consultation"/>
    <d v="2026-02-15T00:00:00"/>
    <d v="2026-03-14T00:00:00"/>
    <s v="Saturday"/>
    <s v="Afternoon"/>
    <x v="3"/>
    <n v="27"/>
    <n v="2"/>
    <x v="0"/>
    <x v="0"/>
    <s v="WhatsApp"/>
    <n v="3.4"/>
    <x v="18"/>
    <x v="0"/>
  </r>
  <r>
    <s v="HC-01088"/>
    <s v="P-0868"/>
    <s v="Female"/>
    <n v="55"/>
    <x v="3"/>
    <s v="Follow-up"/>
    <d v="2026-05-29T00:00:00"/>
    <d v="2026-06-25T00:00:00"/>
    <s v="Thursday"/>
    <s v="Afternoon"/>
    <x v="3"/>
    <n v="27"/>
    <n v="3"/>
    <x v="0"/>
    <x v="1"/>
    <s v="None"/>
    <n v="11.4"/>
    <x v="17"/>
    <x v="1"/>
  </r>
  <r>
    <s v="HC-01089"/>
    <s v="P-0811"/>
    <s v="Female"/>
    <n v="20"/>
    <x v="5"/>
    <s v="Follow-up"/>
    <d v="2025-11-29T00:00:00"/>
    <d v="2025-12-22T00:00:00"/>
    <s v="Monday"/>
    <s v="Afternoon"/>
    <x v="3"/>
    <n v="23"/>
    <n v="2"/>
    <x v="1"/>
    <x v="1"/>
    <s v="None"/>
    <n v="9"/>
    <x v="17"/>
    <x v="0"/>
  </r>
  <r>
    <s v="HC-01090"/>
    <s v="P-0927"/>
    <s v="Female"/>
    <n v="52"/>
    <x v="2"/>
    <s v="Follow-up"/>
    <d v="2025-02-02T00:00:00"/>
    <d v="2025-03-19T00:00:00"/>
    <s v="Wednesday"/>
    <s v="Afternoon"/>
    <x v="2"/>
    <n v="45"/>
    <n v="0"/>
    <x v="0"/>
    <x v="0"/>
    <s v="SMS"/>
    <n v="5.8"/>
    <x v="8"/>
    <x v="1"/>
  </r>
  <r>
    <s v="HC-01091"/>
    <s v="P-0460"/>
    <s v="Female"/>
    <n v="54"/>
    <x v="2"/>
    <s v="Follow-up"/>
    <d v="2025-09-20T00:00:00"/>
    <d v="2025-10-02T00:00:00"/>
    <s v="Thursday"/>
    <s v="Morning"/>
    <x v="0"/>
    <n v="12"/>
    <n v="3"/>
    <x v="0"/>
    <x v="0"/>
    <s v="SMS"/>
    <n v="2.7"/>
    <x v="21"/>
    <x v="1"/>
  </r>
  <r>
    <s v="HC-01092"/>
    <s v="P-1357"/>
    <s v="Female"/>
    <n v="36"/>
    <x v="0"/>
    <s v="General Consultation"/>
    <d v="2025-07-05T00:00:00"/>
    <d v="2025-09-02T00:00:00"/>
    <s v="Tuesday"/>
    <s v="Afternoon"/>
    <x v="2"/>
    <n v="59"/>
    <n v="2"/>
    <x v="0"/>
    <x v="0"/>
    <s v="WhatsApp"/>
    <n v="8.4"/>
    <x v="19"/>
    <x v="1"/>
  </r>
  <r>
    <s v="HC-01093"/>
    <s v="P-0020"/>
    <s v="Female"/>
    <n v="21"/>
    <x v="5"/>
    <s v="Specialist Consultation"/>
    <d v="2026-03-27T00:00:00"/>
    <d v="2026-04-06T00:00:00"/>
    <s v="Monday"/>
    <s v="Afternoon"/>
    <x v="0"/>
    <n v="10"/>
    <n v="4"/>
    <x v="0"/>
    <x v="1"/>
    <s v="None"/>
    <n v="8"/>
    <x v="9"/>
    <x v="1"/>
  </r>
  <r>
    <s v="HC-01094"/>
    <s v="P-1138"/>
    <s v="Female"/>
    <n v="79"/>
    <x v="4"/>
    <s v="Follow-up"/>
    <d v="2025-07-06T00:00:00"/>
    <d v="2025-08-03T00:00:00"/>
    <s v="Sunday"/>
    <s v="Morning"/>
    <x v="3"/>
    <n v="28"/>
    <n v="4"/>
    <x v="0"/>
    <x v="0"/>
    <s v="SMS"/>
    <n v="26.3"/>
    <x v="21"/>
    <x v="1"/>
  </r>
  <r>
    <s v="HC-01095"/>
    <s v="P-0234"/>
    <s v="Female"/>
    <n v="62"/>
    <x v="3"/>
    <s v="General Consultation"/>
    <d v="2025-06-10T00:00:00"/>
    <d v="2025-06-29T00:00:00"/>
    <s v="Sunday"/>
    <s v="Afternoon"/>
    <x v="3"/>
    <n v="19"/>
    <n v="1"/>
    <x v="0"/>
    <x v="0"/>
    <s v="SMS"/>
    <n v="6.4"/>
    <x v="20"/>
    <x v="1"/>
  </r>
  <r>
    <s v="HC-01096"/>
    <s v="P-0920"/>
    <s v="Female"/>
    <n v="57"/>
    <x v="3"/>
    <s v="Specialist Consultation"/>
    <d v="2025-01-05T00:00:00"/>
    <d v="2025-02-13T00:00:00"/>
    <s v="Thursday"/>
    <s v="Afternoon"/>
    <x v="2"/>
    <n v="39"/>
    <n v="0"/>
    <x v="0"/>
    <x v="0"/>
    <s v="SMS"/>
    <n v="14"/>
    <x v="13"/>
    <x v="1"/>
  </r>
  <r>
    <s v="HC-01097"/>
    <s v="P-1129"/>
    <s v="Female"/>
    <n v="66"/>
    <x v="4"/>
    <s v="Follow-up"/>
    <d v="2026-02-20T00:00:00"/>
    <d v="2026-04-02T00:00:00"/>
    <s v="Thursday"/>
    <s v="Morning"/>
    <x v="2"/>
    <n v="41"/>
    <n v="1"/>
    <x v="1"/>
    <x v="0"/>
    <s v="WhatsApp"/>
    <n v="5"/>
    <x v="27"/>
    <x v="0"/>
  </r>
  <r>
    <s v="HC-01098"/>
    <s v="P-0904"/>
    <s v="Female"/>
    <n v="60"/>
    <x v="3"/>
    <s v="Follow-up"/>
    <d v="2025-12-23T00:00:00"/>
    <d v="2026-02-17T00:00:00"/>
    <s v="Tuesday"/>
    <s v="Afternoon"/>
    <x v="2"/>
    <n v="56"/>
    <n v="3"/>
    <x v="1"/>
    <x v="1"/>
    <s v="None"/>
    <n v="3.9"/>
    <x v="39"/>
    <x v="1"/>
  </r>
  <r>
    <s v="HC-01099"/>
    <s v="P-1754"/>
    <s v="Female"/>
    <n v="26"/>
    <x v="1"/>
    <s v="Follow-up"/>
    <d v="2024-12-06T00:00:00"/>
    <d v="2025-01-23T00:00:00"/>
    <s v="Thursday"/>
    <s v="Morning"/>
    <x v="2"/>
    <n v="48"/>
    <n v="4"/>
    <x v="0"/>
    <x v="1"/>
    <s v="None"/>
    <n v="12.1"/>
    <x v="15"/>
    <x v="0"/>
  </r>
  <r>
    <s v="HC-01100"/>
    <s v="P-1692"/>
    <s v="Female"/>
    <n v="46"/>
    <x v="2"/>
    <s v="General Consultation"/>
    <d v="2025-08-10T00:00:00"/>
    <d v="2025-08-25T00:00:00"/>
    <s v="Monday"/>
    <s v="Afternoon"/>
    <x v="3"/>
    <n v="15"/>
    <n v="3"/>
    <x v="0"/>
    <x v="0"/>
    <s v="WhatsApp"/>
    <n v="6.1"/>
    <x v="36"/>
    <x v="0"/>
  </r>
  <r>
    <s v="HC-01101"/>
    <s v="P-1717"/>
    <s v="Male"/>
    <n v="73"/>
    <x v="4"/>
    <s v="Follow-up"/>
    <d v="2025-09-07T00:00:00"/>
    <d v="2025-09-19T00:00:00"/>
    <s v="Friday"/>
    <s v="Afternoon"/>
    <x v="0"/>
    <n v="12"/>
    <n v="2"/>
    <x v="1"/>
    <x v="1"/>
    <s v="None"/>
    <n v="8.3000000000000007"/>
    <x v="14"/>
    <x v="1"/>
  </r>
  <r>
    <s v="HC-01102"/>
    <s v="P-0534"/>
    <s v="Female"/>
    <n v="36"/>
    <x v="0"/>
    <s v="General Consultation"/>
    <d v="2025-07-22T00:00:00"/>
    <d v="2025-09-14T00:00:00"/>
    <s v="Sunday"/>
    <s v="Morning"/>
    <x v="2"/>
    <n v="54"/>
    <n v="2"/>
    <x v="1"/>
    <x v="1"/>
    <s v="None"/>
    <n v="0.9"/>
    <x v="17"/>
    <x v="0"/>
  </r>
  <r>
    <s v="HC-01103"/>
    <s v="P-1799"/>
    <s v="Female"/>
    <n v="79"/>
    <x v="4"/>
    <s v="General Consultation"/>
    <d v="2026-04-18T00:00:00"/>
    <d v="2026-05-17T00:00:00"/>
    <s v="Sunday"/>
    <s v="Morning"/>
    <x v="3"/>
    <n v="29"/>
    <n v="2"/>
    <x v="0"/>
    <x v="1"/>
    <s v="None"/>
    <n v="5.2"/>
    <x v="19"/>
    <x v="1"/>
  </r>
  <r>
    <s v="HC-01104"/>
    <s v="P-0343"/>
    <s v="Male"/>
    <n v="22"/>
    <x v="5"/>
    <s v="Diagnostic Test"/>
    <d v="2025-03-19T00:00:00"/>
    <d v="2025-03-24T00:00:00"/>
    <s v="Monday"/>
    <s v="Morning"/>
    <x v="1"/>
    <n v="5"/>
    <n v="8"/>
    <x v="4"/>
    <x v="0"/>
    <s v="SMS"/>
    <n v="5.7"/>
    <x v="11"/>
    <x v="1"/>
  </r>
  <r>
    <s v="HC-01105"/>
    <s v="P-0653"/>
    <s v="Female"/>
    <n v="38"/>
    <x v="0"/>
    <s v="Follow-up"/>
    <d v="2025-04-28T00:00:00"/>
    <d v="2025-06-17T00:00:00"/>
    <s v="Tuesday"/>
    <s v="Morning"/>
    <x v="2"/>
    <n v="50"/>
    <n v="3"/>
    <x v="0"/>
    <x v="1"/>
    <s v="None"/>
    <n v="3.6"/>
    <x v="5"/>
    <x v="0"/>
  </r>
  <r>
    <s v="HC-01106"/>
    <s v="P-0566"/>
    <s v="Female"/>
    <n v="40"/>
    <x v="0"/>
    <s v="General Consultation"/>
    <d v="2025-03-01T00:00:00"/>
    <d v="2025-04-09T00:00:00"/>
    <s v="Wednesday"/>
    <s v="Afternoon"/>
    <x v="2"/>
    <n v="39"/>
    <n v="5"/>
    <x v="0"/>
    <x v="0"/>
    <s v="SMS"/>
    <n v="6.6"/>
    <x v="34"/>
    <x v="0"/>
  </r>
  <r>
    <s v="HC-01107"/>
    <s v="P-0365"/>
    <s v="Male"/>
    <n v="56"/>
    <x v="3"/>
    <s v="General Consultation"/>
    <d v="2025-05-13T00:00:00"/>
    <d v="2025-05-14T00:00:00"/>
    <s v="Wednesday"/>
    <s v="Morning"/>
    <x v="1"/>
    <n v="1"/>
    <n v="2"/>
    <x v="0"/>
    <x v="0"/>
    <s v="Email"/>
    <n v="2"/>
    <x v="18"/>
    <x v="0"/>
  </r>
  <r>
    <s v="HC-01108"/>
    <s v="P-1418"/>
    <s v="Male"/>
    <n v="29"/>
    <x v="1"/>
    <s v="Specialist Consultation"/>
    <d v="2026-03-25T00:00:00"/>
    <d v="2026-05-11T00:00:00"/>
    <s v="Monday"/>
    <s v="Evening"/>
    <x v="2"/>
    <n v="47"/>
    <n v="1"/>
    <x v="1"/>
    <x v="1"/>
    <s v="None"/>
    <n v="9.5"/>
    <x v="26"/>
    <x v="0"/>
  </r>
  <r>
    <s v="HC-01109"/>
    <s v="P-1340"/>
    <s v="Male"/>
    <n v="32"/>
    <x v="1"/>
    <s v="General Consultation"/>
    <d v="2026-04-22T00:00:00"/>
    <d v="2026-05-29T00:00:00"/>
    <s v="Friday"/>
    <s v="Morning"/>
    <x v="2"/>
    <n v="37"/>
    <n v="4"/>
    <x v="1"/>
    <x v="0"/>
    <s v="SMS"/>
    <n v="6.6"/>
    <x v="23"/>
    <x v="1"/>
  </r>
  <r>
    <s v="HC-01110"/>
    <s v="P-0537"/>
    <s v="Male"/>
    <n v="59"/>
    <x v="3"/>
    <s v="General Consultation"/>
    <d v="2024-12-19T00:00:00"/>
    <d v="2025-01-25T00:00:00"/>
    <s v="Saturday"/>
    <s v="Morning"/>
    <x v="2"/>
    <n v="37"/>
    <n v="4"/>
    <x v="1"/>
    <x v="0"/>
    <s v="WhatsApp"/>
    <n v="6.3"/>
    <x v="5"/>
    <x v="0"/>
  </r>
  <r>
    <s v="HC-01111"/>
    <s v="P-1244"/>
    <s v="Male"/>
    <n v="35"/>
    <x v="0"/>
    <s v="General Consultation"/>
    <d v="2025-10-21T00:00:00"/>
    <d v="2025-12-12T00:00:00"/>
    <s v="Friday"/>
    <s v="Evening"/>
    <x v="2"/>
    <n v="52"/>
    <n v="5"/>
    <x v="1"/>
    <x v="1"/>
    <s v="None"/>
    <n v="12.1"/>
    <x v="28"/>
    <x v="0"/>
  </r>
  <r>
    <s v="HC-01112"/>
    <s v="P-1172"/>
    <s v="Male"/>
    <n v="73"/>
    <x v="4"/>
    <s v="Specialist Consultation"/>
    <d v="2025-04-08T00:00:00"/>
    <d v="2025-05-08T00:00:00"/>
    <s v="Thursday"/>
    <s v="Afternoon"/>
    <x v="3"/>
    <n v="30"/>
    <n v="4"/>
    <x v="0"/>
    <x v="0"/>
    <s v="SMS"/>
    <n v="3.7"/>
    <x v="25"/>
    <x v="0"/>
  </r>
  <r>
    <s v="HC-01113"/>
    <s v="P-1705"/>
    <s v="Female"/>
    <n v="72"/>
    <x v="4"/>
    <s v="Follow-up"/>
    <d v="2025-03-19T00:00:00"/>
    <d v="2025-04-16T00:00:00"/>
    <s v="Wednesday"/>
    <s v="Afternoon"/>
    <x v="3"/>
    <n v="28"/>
    <n v="1"/>
    <x v="0"/>
    <x v="0"/>
    <s v="SMS"/>
    <n v="21.8"/>
    <x v="23"/>
    <x v="1"/>
  </r>
  <r>
    <s v="HC-01114"/>
    <s v="P-0683"/>
    <s v="Male"/>
    <n v="37"/>
    <x v="0"/>
    <s v="General Consultation"/>
    <d v="2025-05-03T00:00:00"/>
    <d v="2025-06-09T00:00:00"/>
    <s v="Monday"/>
    <s v="Afternoon"/>
    <x v="2"/>
    <n v="37"/>
    <n v="4"/>
    <x v="0"/>
    <x v="0"/>
    <s v="Email"/>
    <n v="3.6"/>
    <x v="22"/>
    <x v="1"/>
  </r>
  <r>
    <s v="HC-01115"/>
    <s v="P-0338"/>
    <s v="Male"/>
    <n v="53"/>
    <x v="2"/>
    <s v="General Consultation"/>
    <d v="2025-04-05T00:00:00"/>
    <d v="2025-04-17T00:00:00"/>
    <s v="Thursday"/>
    <s v="Evening"/>
    <x v="0"/>
    <n v="12"/>
    <n v="5"/>
    <x v="2"/>
    <x v="1"/>
    <s v="None"/>
    <n v="15.3"/>
    <x v="12"/>
    <x v="2"/>
  </r>
  <r>
    <s v="HC-01116"/>
    <s v="P-0718"/>
    <s v="Female"/>
    <n v="38"/>
    <x v="0"/>
    <s v="Follow-up"/>
    <d v="2025-09-16T00:00:00"/>
    <d v="2025-09-25T00:00:00"/>
    <s v="Thursday"/>
    <s v="Morning"/>
    <x v="0"/>
    <n v="9"/>
    <n v="1"/>
    <x v="0"/>
    <x v="0"/>
    <s v="SMS"/>
    <n v="19.7"/>
    <x v="16"/>
    <x v="1"/>
  </r>
  <r>
    <s v="HC-01117"/>
    <s v="P-0087"/>
    <s v="Female"/>
    <n v="39"/>
    <x v="0"/>
    <s v="Follow-up"/>
    <d v="2026-05-08T00:00:00"/>
    <d v="2026-06-28T00:00:00"/>
    <s v="Sunday"/>
    <s v="Morning"/>
    <x v="2"/>
    <n v="51"/>
    <n v="5"/>
    <x v="1"/>
    <x v="0"/>
    <s v="SMS"/>
    <n v="1.5"/>
    <x v="49"/>
    <x v="0"/>
  </r>
  <r>
    <s v="HC-01118"/>
    <s v="P-1338"/>
    <s v="Male"/>
    <n v="60"/>
    <x v="3"/>
    <s v="Follow-up"/>
    <d v="2025-11-04T00:00:00"/>
    <d v="2025-11-17T00:00:00"/>
    <s v="Monday"/>
    <s v="Evening"/>
    <x v="0"/>
    <n v="13"/>
    <n v="2"/>
    <x v="2"/>
    <x v="1"/>
    <s v="None"/>
    <n v="4.7"/>
    <x v="11"/>
    <x v="0"/>
  </r>
  <r>
    <s v="HC-01119"/>
    <s v="P-1779"/>
    <s v="Male"/>
    <n v="36"/>
    <x v="0"/>
    <s v="General Consultation"/>
    <d v="2025-12-31T00:00:00"/>
    <d v="2026-01-30T00:00:00"/>
    <s v="Friday"/>
    <s v="Morning"/>
    <x v="3"/>
    <n v="30"/>
    <n v="0"/>
    <x v="0"/>
    <x v="1"/>
    <s v="None"/>
    <n v="2.8"/>
    <x v="19"/>
    <x v="1"/>
  </r>
  <r>
    <s v="HC-01120"/>
    <s v="P-0337"/>
    <s v="Male"/>
    <n v="27"/>
    <x v="1"/>
    <s v="Specialist Consultation"/>
    <d v="2025-09-11T00:00:00"/>
    <d v="2025-09-27T00:00:00"/>
    <s v="Saturday"/>
    <s v="Afternoon"/>
    <x v="3"/>
    <n v="16"/>
    <n v="5"/>
    <x v="0"/>
    <x v="0"/>
    <s v="WhatsApp"/>
    <n v="11.9"/>
    <x v="17"/>
    <x v="0"/>
  </r>
  <r>
    <s v="HC-01121"/>
    <s v="P-1572"/>
    <s v="Female"/>
    <n v="34"/>
    <x v="1"/>
    <s v="Diagnostic Test"/>
    <d v="2024-12-25T00:00:00"/>
    <d v="2025-01-08T00:00:00"/>
    <s v="Wednesday"/>
    <s v="Afternoon"/>
    <x v="0"/>
    <n v="14"/>
    <n v="2"/>
    <x v="0"/>
    <x v="0"/>
    <s v="WhatsApp"/>
    <m/>
    <x v="22"/>
    <x v="0"/>
  </r>
  <r>
    <s v="HC-01122"/>
    <s v="P-1112"/>
    <s v="Male"/>
    <n v="76"/>
    <x v="4"/>
    <s v="Follow-up"/>
    <d v="2025-01-10T00:00:00"/>
    <d v="2025-02-15T00:00:00"/>
    <s v="Saturday"/>
    <s v="Afternoon"/>
    <x v="2"/>
    <n v="36"/>
    <n v="3"/>
    <x v="2"/>
    <x v="1"/>
    <s v="None"/>
    <n v="3.8"/>
    <x v="18"/>
    <x v="1"/>
  </r>
  <r>
    <s v="HC-01123"/>
    <s v="P-1178"/>
    <s v="Female"/>
    <n v="34"/>
    <x v="1"/>
    <s v="General Consultation"/>
    <d v="2025-04-09T00:00:00"/>
    <d v="2025-05-27T00:00:00"/>
    <s v="Tuesday"/>
    <s v="Afternoon"/>
    <x v="2"/>
    <n v="48"/>
    <n v="2"/>
    <x v="0"/>
    <x v="0"/>
    <s v="SMS"/>
    <n v="7.3"/>
    <x v="19"/>
    <x v="0"/>
  </r>
  <r>
    <s v="HC-01124"/>
    <s v="P-1027"/>
    <s v="Male"/>
    <n v="40"/>
    <x v="0"/>
    <s v="Follow-up"/>
    <d v="2025-04-18T00:00:00"/>
    <d v="2025-05-14T00:00:00"/>
    <s v="Wednesday"/>
    <s v="Evening"/>
    <x v="3"/>
    <n v="26"/>
    <n v="4"/>
    <x v="0"/>
    <x v="1"/>
    <s v="None"/>
    <n v="8.5"/>
    <x v="30"/>
    <x v="2"/>
  </r>
  <r>
    <s v="HC-01125"/>
    <s v="P-0290"/>
    <s v="Female"/>
    <n v="57"/>
    <x v="3"/>
    <s v="General Consultation"/>
    <d v="2026-03-27T00:00:00"/>
    <d v="2026-04-04T00:00:00"/>
    <s v="Saturday"/>
    <s v="Morning"/>
    <x v="0"/>
    <n v="8"/>
    <n v="4"/>
    <x v="0"/>
    <x v="0"/>
    <s v="SMS"/>
    <n v="18"/>
    <x v="5"/>
    <x v="1"/>
  </r>
  <r>
    <s v="HC-01126"/>
    <s v="P-1452"/>
    <s v="Female"/>
    <n v="24"/>
    <x v="5"/>
    <s v="General Consultation"/>
    <d v="2026-03-23T00:00:00"/>
    <d v="2026-04-06T00:00:00"/>
    <s v="Monday"/>
    <s v="Afternoon"/>
    <x v="0"/>
    <n v="14"/>
    <n v="6"/>
    <x v="3"/>
    <x v="1"/>
    <s v="None"/>
    <n v="18.100000000000001"/>
    <x v="14"/>
    <x v="0"/>
  </r>
  <r>
    <s v="HC-01127"/>
    <s v="P-0428"/>
    <s v="Female"/>
    <n v="34"/>
    <x v="1"/>
    <s v="General Consultation"/>
    <d v="2026-04-02T00:00:00"/>
    <d v="2026-04-12T00:00:00"/>
    <s v="Sunday"/>
    <s v="Afternoon"/>
    <x v="0"/>
    <n v="10"/>
    <n v="4"/>
    <x v="0"/>
    <x v="1"/>
    <s v="None"/>
    <n v="4.5999999999999996"/>
    <x v="25"/>
    <x v="2"/>
  </r>
  <r>
    <s v="HC-01128"/>
    <s v="P-1645"/>
    <s v="Female"/>
    <n v="29"/>
    <x v="1"/>
    <s v="Diagnostic Test"/>
    <d v="2025-10-23T00:00:00"/>
    <d v="2025-12-15T00:00:00"/>
    <s v="Monday"/>
    <s v="Morning"/>
    <x v="2"/>
    <n v="53"/>
    <n v="2"/>
    <x v="1"/>
    <x v="0"/>
    <s v="WhatsApp"/>
    <n v="2.2999999999999998"/>
    <x v="19"/>
    <x v="0"/>
  </r>
  <r>
    <s v="HC-01129"/>
    <s v="P-1518"/>
    <s v="Female"/>
    <n v="76"/>
    <x v="4"/>
    <s v="General Consultation"/>
    <d v="2025-10-12T00:00:00"/>
    <d v="2025-10-31T00:00:00"/>
    <s v="Friday"/>
    <s v="Evening"/>
    <x v="3"/>
    <n v="19"/>
    <n v="5"/>
    <x v="2"/>
    <x v="0"/>
    <s v="SMS"/>
    <n v="10.8"/>
    <x v="16"/>
    <x v="0"/>
  </r>
  <r>
    <s v="HC-01130"/>
    <s v="P-0258"/>
    <s v="Male"/>
    <n v="76"/>
    <x v="4"/>
    <s v="Specialist Consultation"/>
    <d v="2025-11-29T00:00:00"/>
    <d v="2025-12-21T00:00:00"/>
    <s v="Sunday"/>
    <s v="Afternoon"/>
    <x v="3"/>
    <n v="22"/>
    <n v="5"/>
    <x v="1"/>
    <x v="0"/>
    <s v="SMS"/>
    <n v="7.1"/>
    <x v="45"/>
    <x v="1"/>
  </r>
  <r>
    <s v="HC-01131"/>
    <s v="P-0787"/>
    <s v="Female"/>
    <n v="65"/>
    <x v="4"/>
    <s v="Follow-up"/>
    <d v="2025-08-07T00:00:00"/>
    <d v="2025-08-11T00:00:00"/>
    <s v="Monday"/>
    <s v="Morning"/>
    <x v="1"/>
    <n v="4"/>
    <n v="1"/>
    <x v="0"/>
    <x v="0"/>
    <s v="SMS"/>
    <n v="19"/>
    <x v="21"/>
    <x v="1"/>
  </r>
  <r>
    <s v="HC-01132"/>
    <s v="P-0463"/>
    <s v="Male"/>
    <n v="33"/>
    <x v="1"/>
    <s v="Follow-up"/>
    <d v="2025-12-05T00:00:00"/>
    <d v="2026-01-01T00:00:00"/>
    <s v="Thursday"/>
    <s v="Afternoon"/>
    <x v="3"/>
    <n v="27"/>
    <n v="3"/>
    <x v="0"/>
    <x v="0"/>
    <s v="SMS"/>
    <n v="19.399999999999999"/>
    <x v="24"/>
    <x v="0"/>
  </r>
  <r>
    <s v="HC-01133"/>
    <s v="P-1543"/>
    <s v="Male"/>
    <n v="56"/>
    <x v="3"/>
    <s v="General Consultation"/>
    <d v="2026-01-14T00:00:00"/>
    <d v="2026-03-10T00:00:00"/>
    <s v="Tuesday"/>
    <s v="Evening"/>
    <x v="2"/>
    <n v="55"/>
    <n v="5"/>
    <x v="0"/>
    <x v="0"/>
    <s v="SMS"/>
    <n v="11.3"/>
    <x v="4"/>
    <x v="0"/>
  </r>
  <r>
    <s v="HC-01134"/>
    <s v="P-0256"/>
    <s v="Female"/>
    <n v="59"/>
    <x v="3"/>
    <s v="Follow-up"/>
    <d v="2026-01-28T00:00:00"/>
    <d v="2026-02-21T00:00:00"/>
    <s v="Saturday"/>
    <s v="Morning"/>
    <x v="3"/>
    <n v="24"/>
    <n v="5"/>
    <x v="2"/>
    <x v="0"/>
    <s v="SMS"/>
    <n v="9.3000000000000007"/>
    <x v="6"/>
    <x v="0"/>
  </r>
  <r>
    <s v="HC-01135"/>
    <s v="P-0372"/>
    <s v="Male"/>
    <n v="72"/>
    <x v="4"/>
    <s v="General Consultation"/>
    <d v="2025-10-24T00:00:00"/>
    <d v="2025-12-02T00:00:00"/>
    <s v="Tuesday"/>
    <s v="Afternoon"/>
    <x v="2"/>
    <n v="39"/>
    <n v="4"/>
    <x v="1"/>
    <x v="0"/>
    <s v="SMS"/>
    <n v="9.9"/>
    <x v="9"/>
    <x v="0"/>
  </r>
  <r>
    <s v="HC-01136"/>
    <s v="P-1798"/>
    <s v="Male"/>
    <n v="27"/>
    <x v="1"/>
    <s v="Follow-up"/>
    <d v="2025-01-21T00:00:00"/>
    <d v="2025-02-01T00:00:00"/>
    <s v="Saturday"/>
    <s v="Morning"/>
    <x v="0"/>
    <n v="11"/>
    <n v="1"/>
    <x v="0"/>
    <x v="0"/>
    <s v="WhatsApp"/>
    <m/>
    <x v="12"/>
    <x v="1"/>
  </r>
  <r>
    <s v="HC-01137"/>
    <s v="P-1280"/>
    <s v="Male"/>
    <n v="64"/>
    <x v="3"/>
    <s v="General Consultation"/>
    <d v="2026-01-23T00:00:00"/>
    <d v="2026-01-31T00:00:00"/>
    <s v="Saturday"/>
    <s v="Morning"/>
    <x v="0"/>
    <n v="8"/>
    <n v="4"/>
    <x v="0"/>
    <x v="1"/>
    <s v="None"/>
    <n v="9.8000000000000007"/>
    <x v="17"/>
    <x v="0"/>
  </r>
  <r>
    <s v="HC-01138"/>
    <s v="P-1096"/>
    <s v="Male"/>
    <n v="30"/>
    <x v="1"/>
    <s v="General Consultation"/>
    <d v="2025-06-06T00:00:00"/>
    <d v="2025-07-20T00:00:00"/>
    <s v="Sunday"/>
    <s v="Morning"/>
    <x v="2"/>
    <n v="44"/>
    <n v="2"/>
    <x v="0"/>
    <x v="0"/>
    <s v="WhatsApp"/>
    <n v="5.8"/>
    <x v="43"/>
    <x v="1"/>
  </r>
  <r>
    <s v="HC-01139"/>
    <s v="P-0167"/>
    <s v="Male"/>
    <n v="53"/>
    <x v="2"/>
    <s v="Follow-up"/>
    <d v="2026-02-07T00:00:00"/>
    <d v="2026-02-11T00:00:00"/>
    <s v="Wednesday"/>
    <s v="Afternoon"/>
    <x v="1"/>
    <n v="4"/>
    <n v="6"/>
    <x v="1"/>
    <x v="0"/>
    <s v="SMS"/>
    <n v="5.3"/>
    <x v="6"/>
    <x v="0"/>
  </r>
  <r>
    <s v="HC-01140"/>
    <s v="P-1690"/>
    <s v="Prefer not to say"/>
    <n v="73"/>
    <x v="4"/>
    <s v="General Consultation"/>
    <d v="2025-09-25T00:00:00"/>
    <d v="2025-10-22T00:00:00"/>
    <s v="Wednesday"/>
    <s v="Morning"/>
    <x v="3"/>
    <n v="27"/>
    <n v="7"/>
    <x v="1"/>
    <x v="0"/>
    <s v="Email"/>
    <n v="6.2"/>
    <x v="46"/>
    <x v="0"/>
  </r>
  <r>
    <s v="HC-01141"/>
    <s v="P-0306"/>
    <s v="Female"/>
    <n v="21"/>
    <x v="5"/>
    <s v="General Consultation"/>
    <d v="2026-04-08T00:00:00"/>
    <d v="2026-04-27T00:00:00"/>
    <s v="Monday"/>
    <s v="Morning"/>
    <x v="3"/>
    <n v="19"/>
    <n v="6"/>
    <x v="4"/>
    <x v="0"/>
    <s v="Email"/>
    <n v="25.3"/>
    <x v="42"/>
    <x v="0"/>
  </r>
  <r>
    <s v="HC-01142"/>
    <s v="P-1735"/>
    <s v="Female"/>
    <n v="27"/>
    <x v="1"/>
    <s v="Diagnostic Test"/>
    <d v="2025-07-04T00:00:00"/>
    <d v="2025-07-04T00:00:00"/>
    <s v="Friday"/>
    <s v="Afternoon"/>
    <x v="1"/>
    <n v="0"/>
    <n v="3"/>
    <x v="0"/>
    <x v="0"/>
    <s v="WhatsApp"/>
    <n v="0.9"/>
    <x v="18"/>
    <x v="0"/>
  </r>
  <r>
    <s v="HC-01143"/>
    <s v="P-1004"/>
    <s v="Male"/>
    <n v="69"/>
    <x v="4"/>
    <s v="General Consultation"/>
    <d v="2026-04-22T00:00:00"/>
    <d v="2026-05-24T00:00:00"/>
    <s v="Sunday"/>
    <s v="Morning"/>
    <x v="2"/>
    <n v="32"/>
    <n v="4"/>
    <x v="0"/>
    <x v="0"/>
    <s v="SMS"/>
    <n v="5.3"/>
    <x v="36"/>
    <x v="0"/>
  </r>
  <r>
    <s v="HC-01144"/>
    <s v="P-1628"/>
    <s v="Female"/>
    <n v="19"/>
    <x v="5"/>
    <s v="General Consultation"/>
    <d v="2026-02-08T00:00:00"/>
    <d v="2026-04-07T00:00:00"/>
    <s v="Tuesday"/>
    <s v="Morning"/>
    <x v="2"/>
    <n v="58"/>
    <n v="4"/>
    <x v="1"/>
    <x v="0"/>
    <s v="SMS"/>
    <n v="6.1"/>
    <x v="19"/>
    <x v="1"/>
  </r>
  <r>
    <s v="HC-01145"/>
    <s v="P-0823"/>
    <s v="Male"/>
    <n v="61"/>
    <x v="3"/>
    <s v="General Consultation"/>
    <d v="2025-06-26T00:00:00"/>
    <d v="2025-06-30T00:00:00"/>
    <s v="Monday"/>
    <s v="Morning"/>
    <x v="1"/>
    <n v="4"/>
    <n v="4"/>
    <x v="2"/>
    <x v="0"/>
    <s v="SMS"/>
    <n v="10.8"/>
    <x v="27"/>
    <x v="1"/>
  </r>
  <r>
    <s v="HC-01146"/>
    <s v="P-0480"/>
    <s v="Female"/>
    <n v="49"/>
    <x v="2"/>
    <s v="General Consultation"/>
    <d v="2025-08-03T00:00:00"/>
    <d v="2025-09-21T00:00:00"/>
    <s v="Sunday"/>
    <s v="Afternoon"/>
    <x v="2"/>
    <n v="49"/>
    <n v="1"/>
    <x v="0"/>
    <x v="0"/>
    <s v="WhatsApp"/>
    <n v="5.0999999999999996"/>
    <x v="15"/>
    <x v="0"/>
  </r>
  <r>
    <s v="HC-01147"/>
    <s v="P-0199"/>
    <s v="Female"/>
    <n v="39"/>
    <x v="0"/>
    <s v="Follow-up"/>
    <d v="2025-09-16T00:00:00"/>
    <d v="2025-10-18T00:00:00"/>
    <s v="Saturday"/>
    <s v="Afternoon"/>
    <x v="2"/>
    <n v="32"/>
    <n v="0"/>
    <x v="0"/>
    <x v="0"/>
    <s v="SMS"/>
    <n v="20.100000000000001"/>
    <x v="47"/>
    <x v="0"/>
  </r>
  <r>
    <s v="HC-01148"/>
    <s v="P-0912"/>
    <s v="Male"/>
    <n v="72"/>
    <x v="4"/>
    <s v="General Consultation"/>
    <d v="2026-01-11T00:00:00"/>
    <d v="2026-02-24T00:00:00"/>
    <s v="Tuesday"/>
    <s v="Afternoon"/>
    <x v="2"/>
    <n v="44"/>
    <n v="7"/>
    <x v="1"/>
    <x v="1"/>
    <s v="None"/>
    <n v="17.100000000000001"/>
    <x v="23"/>
    <x v="1"/>
  </r>
  <r>
    <s v="HC-01149"/>
    <s v="P-1093"/>
    <s v="Female"/>
    <n v="71"/>
    <x v="4"/>
    <s v="Follow-up"/>
    <d v="2026-01-07T00:00:00"/>
    <d v="2026-01-12T00:00:00"/>
    <s v="Monday"/>
    <s v="Morning"/>
    <x v="1"/>
    <n v="5"/>
    <n v="3"/>
    <x v="1"/>
    <x v="0"/>
    <s v="SMS"/>
    <n v="20.8"/>
    <x v="2"/>
    <x v="0"/>
  </r>
  <r>
    <s v="HC-01150"/>
    <s v="P-0421"/>
    <s v="Female"/>
    <n v="38"/>
    <x v="0"/>
    <s v="Follow-up"/>
    <d v="2026-02-17T00:00:00"/>
    <d v="2026-04-11T00:00:00"/>
    <s v="Saturday"/>
    <s v="Afternoon"/>
    <x v="2"/>
    <n v="53"/>
    <n v="5"/>
    <x v="1"/>
    <x v="0"/>
    <s v="SMS"/>
    <n v="9.4"/>
    <x v="7"/>
    <x v="0"/>
  </r>
  <r>
    <s v="HC-01151"/>
    <s v="P-0588"/>
    <s v="Male"/>
    <n v="18"/>
    <x v="5"/>
    <s v="General Consultation"/>
    <d v="2025-07-21T00:00:00"/>
    <d v="2025-07-21T00:00:00"/>
    <s v="Monday"/>
    <s v="Afternoon"/>
    <x v="1"/>
    <n v="0"/>
    <n v="4"/>
    <x v="2"/>
    <x v="0"/>
    <s v="SMS"/>
    <n v="19.100000000000001"/>
    <x v="20"/>
    <x v="0"/>
  </r>
  <r>
    <s v="HC-01152"/>
    <s v="P-0775"/>
    <s v="Male"/>
    <n v="26"/>
    <x v="1"/>
    <s v="Diagnostic Test"/>
    <d v="2025-08-09T00:00:00"/>
    <d v="2025-10-03T00:00:00"/>
    <s v="Friday"/>
    <s v="Morning"/>
    <x v="2"/>
    <n v="55"/>
    <n v="2"/>
    <x v="0"/>
    <x v="1"/>
    <s v="None"/>
    <n v="4.5999999999999996"/>
    <x v="8"/>
    <x v="0"/>
  </r>
  <r>
    <s v="HC-01153"/>
    <s v="P-0227"/>
    <s v="Male"/>
    <n v="24"/>
    <x v="5"/>
    <s v="Diagnostic Test"/>
    <d v="2025-07-15T00:00:00"/>
    <d v="2025-08-24T00:00:00"/>
    <s v="Sunday"/>
    <s v="Morning"/>
    <x v="2"/>
    <n v="40"/>
    <n v="3"/>
    <x v="0"/>
    <x v="0"/>
    <s v="SMS"/>
    <n v="8.4"/>
    <x v="37"/>
    <x v="0"/>
  </r>
  <r>
    <s v="HC-01154"/>
    <s v="P-0767"/>
    <s v="Female"/>
    <n v="79"/>
    <x v="4"/>
    <s v="General Consultation"/>
    <d v="2026-04-22T00:00:00"/>
    <d v="2026-05-12T00:00:00"/>
    <s v="Tuesday"/>
    <s v="Morning"/>
    <x v="3"/>
    <n v="20"/>
    <n v="0"/>
    <x v="0"/>
    <x v="0"/>
    <s v="SMS"/>
    <n v="1.6"/>
    <x v="25"/>
    <x v="1"/>
  </r>
  <r>
    <s v="HC-01155"/>
    <s v="P-0614"/>
    <s v="Male"/>
    <n v="55"/>
    <x v="3"/>
    <s v="General Consultation"/>
    <d v="2025-06-16T00:00:00"/>
    <d v="2025-06-16T00:00:00"/>
    <s v="Monday"/>
    <s v="Morning"/>
    <x v="1"/>
    <n v="0"/>
    <n v="5"/>
    <x v="0"/>
    <x v="1"/>
    <s v="None"/>
    <n v="11.8"/>
    <x v="23"/>
    <x v="1"/>
  </r>
  <r>
    <s v="HC-01156"/>
    <s v="P-1646"/>
    <s v="Male"/>
    <n v="60"/>
    <x v="3"/>
    <s v="General Consultation"/>
    <d v="2025-10-11T00:00:00"/>
    <d v="2025-11-17T00:00:00"/>
    <s v="Monday"/>
    <s v="Morning"/>
    <x v="2"/>
    <n v="37"/>
    <n v="5"/>
    <x v="0"/>
    <x v="0"/>
    <s v="SMS"/>
    <n v="11.6"/>
    <x v="26"/>
    <x v="0"/>
  </r>
  <r>
    <s v="HC-01157"/>
    <s v="P-0516"/>
    <s v="Male"/>
    <n v="32"/>
    <x v="1"/>
    <s v="General Consultation"/>
    <d v="2025-03-02T00:00:00"/>
    <d v="2025-03-07T00:00:00"/>
    <s v="Friday"/>
    <s v="Evening"/>
    <x v="1"/>
    <n v="5"/>
    <n v="3"/>
    <x v="0"/>
    <x v="0"/>
    <s v="WhatsApp"/>
    <n v="9.5"/>
    <x v="16"/>
    <x v="1"/>
  </r>
  <r>
    <s v="HC-01158"/>
    <s v="P-1251"/>
    <s v="Female"/>
    <n v="71"/>
    <x v="4"/>
    <s v="Follow-up"/>
    <d v="2026-03-04T00:00:00"/>
    <d v="2026-04-10T00:00:00"/>
    <s v="Friday"/>
    <s v="Afternoon"/>
    <x v="2"/>
    <n v="37"/>
    <n v="2"/>
    <x v="0"/>
    <x v="1"/>
    <s v="None"/>
    <n v="7"/>
    <x v="35"/>
    <x v="1"/>
  </r>
  <r>
    <s v="HC-01159"/>
    <s v="P-1392"/>
    <s v="Female"/>
    <n v="63"/>
    <x v="3"/>
    <s v="Follow-up"/>
    <d v="2025-06-12T00:00:00"/>
    <d v="2025-07-29T00:00:00"/>
    <s v="Tuesday"/>
    <s v="Afternoon"/>
    <x v="2"/>
    <n v="47"/>
    <n v="5"/>
    <x v="2"/>
    <x v="1"/>
    <s v="None"/>
    <n v="14.4"/>
    <x v="18"/>
    <x v="0"/>
  </r>
  <r>
    <s v="HC-01160"/>
    <s v="P-1335"/>
    <s v="Male"/>
    <n v="65"/>
    <x v="4"/>
    <s v="Follow-up"/>
    <d v="2025-06-19T00:00:00"/>
    <d v="2025-07-05T00:00:00"/>
    <s v="Saturday"/>
    <s v="Morning"/>
    <x v="3"/>
    <n v="16"/>
    <n v="3"/>
    <x v="1"/>
    <x v="1"/>
    <s v="None"/>
    <n v="18.600000000000001"/>
    <x v="8"/>
    <x v="2"/>
  </r>
  <r>
    <s v="HC-01161"/>
    <s v="P-0799"/>
    <s v="Male"/>
    <n v="47"/>
    <x v="2"/>
    <s v="General Consultation"/>
    <d v="2025-11-01T00:00:00"/>
    <d v="2025-11-15T00:00:00"/>
    <s v="Saturday"/>
    <s v="Afternoon"/>
    <x v="0"/>
    <n v="14"/>
    <n v="5"/>
    <x v="1"/>
    <x v="1"/>
    <s v="None"/>
    <n v="26"/>
    <x v="4"/>
    <x v="1"/>
  </r>
  <r>
    <s v="HC-01162"/>
    <s v="P-1332"/>
    <s v="Female"/>
    <n v="61"/>
    <x v="3"/>
    <s v="General Consultation"/>
    <d v="2025-09-17T00:00:00"/>
    <d v="2025-09-30T00:00:00"/>
    <s v="Tuesday"/>
    <s v="Afternoon"/>
    <x v="0"/>
    <n v="13"/>
    <n v="3"/>
    <x v="0"/>
    <x v="0"/>
    <s v="SMS"/>
    <n v="11.4"/>
    <x v="1"/>
    <x v="1"/>
  </r>
  <r>
    <s v="HC-01163"/>
    <s v="P-0840"/>
    <s v="Male"/>
    <n v="52"/>
    <x v="2"/>
    <s v="Diagnostic Test"/>
    <d v="2026-03-26T00:00:00"/>
    <d v="2026-04-08T00:00:00"/>
    <s v="Wednesday"/>
    <s v="Evening"/>
    <x v="0"/>
    <n v="13"/>
    <n v="3"/>
    <x v="2"/>
    <x v="0"/>
    <s v="WhatsApp"/>
    <n v="8"/>
    <x v="31"/>
    <x v="1"/>
  </r>
  <r>
    <s v="HC-01164"/>
    <s v="P-0984"/>
    <s v="Male"/>
    <n v="42"/>
    <x v="0"/>
    <s v="Diagnostic Test"/>
    <d v="2025-10-12T00:00:00"/>
    <d v="2025-10-18T00:00:00"/>
    <s v="Saturday"/>
    <s v="Morning"/>
    <x v="1"/>
    <n v="6"/>
    <n v="4"/>
    <x v="0"/>
    <x v="0"/>
    <s v="SMS"/>
    <n v="5.7"/>
    <x v="38"/>
    <x v="1"/>
  </r>
  <r>
    <s v="HC-01165"/>
    <s v="P-0952"/>
    <s v="Female"/>
    <n v="55"/>
    <x v="3"/>
    <s v="General Consultation"/>
    <d v="2025-09-25T00:00:00"/>
    <d v="2025-10-10T00:00:00"/>
    <s v="Friday"/>
    <s v="Afternoon"/>
    <x v="3"/>
    <n v="15"/>
    <n v="1"/>
    <x v="0"/>
    <x v="0"/>
    <s v="SMS"/>
    <n v="12.4"/>
    <x v="13"/>
    <x v="1"/>
  </r>
  <r>
    <s v="HC-01166"/>
    <s v="P-0622"/>
    <s v="Female"/>
    <n v="38"/>
    <x v="0"/>
    <s v="Follow-up"/>
    <d v="2025-01-18T00:00:00"/>
    <d v="2025-02-27T00:00:00"/>
    <s v="Thursday"/>
    <s v="Morning"/>
    <x v="2"/>
    <n v="40"/>
    <n v="2"/>
    <x v="1"/>
    <x v="1"/>
    <s v="None"/>
    <n v="4.5999999999999996"/>
    <x v="23"/>
    <x v="0"/>
  </r>
  <r>
    <s v="HC-01167"/>
    <s v="P-0605"/>
    <s v="Female"/>
    <n v="78"/>
    <x v="4"/>
    <s v="Follow-up"/>
    <d v="2024-12-25T00:00:00"/>
    <d v="2025-01-12T00:00:00"/>
    <s v="Sunday"/>
    <s v="Afternoon"/>
    <x v="3"/>
    <n v="18"/>
    <n v="7"/>
    <x v="3"/>
    <x v="0"/>
    <s v="SMS"/>
    <n v="11.9"/>
    <x v="6"/>
    <x v="0"/>
  </r>
  <r>
    <s v="HC-01168"/>
    <s v="P-1510"/>
    <s v="Male"/>
    <n v="63"/>
    <x v="3"/>
    <s v="Follow-up"/>
    <d v="2025-06-20T00:00:00"/>
    <d v="2025-08-06T00:00:00"/>
    <s v="Wednesday"/>
    <s v="Evening"/>
    <x v="2"/>
    <n v="47"/>
    <n v="3"/>
    <x v="0"/>
    <x v="0"/>
    <s v="SMS"/>
    <n v="4.7"/>
    <x v="28"/>
    <x v="0"/>
  </r>
  <r>
    <s v="HC-01169"/>
    <s v="P-0204"/>
    <s v="Male"/>
    <n v="64"/>
    <x v="3"/>
    <s v="Follow-up"/>
    <d v="2026-05-12T00:00:00"/>
    <d v="2026-06-30T00:00:00"/>
    <s v="Tuesday"/>
    <s v="Afternoon"/>
    <x v="2"/>
    <n v="49"/>
    <n v="4"/>
    <x v="1"/>
    <x v="1"/>
    <s v="None"/>
    <n v="8.3000000000000007"/>
    <x v="13"/>
    <x v="0"/>
  </r>
  <r>
    <s v="HC-01170"/>
    <s v="P-0625"/>
    <s v="Male"/>
    <n v="63"/>
    <x v="3"/>
    <s v="Diagnostic Test"/>
    <d v="2026-03-31T00:00:00"/>
    <d v="2026-05-16T00:00:00"/>
    <s v="Saturday"/>
    <s v="Afternoon"/>
    <x v="2"/>
    <n v="46"/>
    <n v="1"/>
    <x v="0"/>
    <x v="0"/>
    <s v="WhatsApp"/>
    <n v="4.2"/>
    <x v="10"/>
    <x v="0"/>
  </r>
  <r>
    <s v="HC-01171"/>
    <s v="P-0841"/>
    <s v="Male"/>
    <n v="46"/>
    <x v="2"/>
    <s v="General Consultation"/>
    <d v="2025-11-08T00:00:00"/>
    <d v="2025-12-10T00:00:00"/>
    <s v="Wednesday"/>
    <s v="Evening"/>
    <x v="2"/>
    <n v="32"/>
    <n v="1"/>
    <x v="0"/>
    <x v="0"/>
    <s v="Email"/>
    <n v="6.1"/>
    <x v="14"/>
    <x v="1"/>
  </r>
  <r>
    <s v="HC-01172"/>
    <s v="P-0938"/>
    <s v="Male"/>
    <n v="77"/>
    <x v="4"/>
    <s v="General Consultation"/>
    <d v="2025-11-22T00:00:00"/>
    <d v="2025-12-11T00:00:00"/>
    <s v="Thursday"/>
    <s v="Evening"/>
    <x v="3"/>
    <n v="19"/>
    <n v="2"/>
    <x v="2"/>
    <x v="1"/>
    <s v="None"/>
    <n v="11.1"/>
    <x v="18"/>
    <x v="0"/>
  </r>
  <r>
    <s v="HC-01173"/>
    <s v="P-0304"/>
    <s v="Female"/>
    <n v="31"/>
    <x v="1"/>
    <s v="Diagnostic Test"/>
    <d v="2025-06-07T00:00:00"/>
    <d v="2025-08-02T00:00:00"/>
    <s v="Saturday"/>
    <s v="Morning"/>
    <x v="2"/>
    <n v="56"/>
    <n v="5"/>
    <x v="0"/>
    <x v="0"/>
    <s v="WhatsApp"/>
    <n v="15.6"/>
    <x v="26"/>
    <x v="2"/>
  </r>
  <r>
    <s v="HC-01174"/>
    <s v="P-0274"/>
    <s v="Male"/>
    <n v="53"/>
    <x v="2"/>
    <s v="General Consultation"/>
    <d v="2025-03-26T00:00:00"/>
    <d v="2025-04-07T00:00:00"/>
    <s v="Monday"/>
    <s v="Morning"/>
    <x v="0"/>
    <n v="12"/>
    <n v="2"/>
    <x v="0"/>
    <x v="1"/>
    <s v="None"/>
    <n v="6.8"/>
    <x v="18"/>
    <x v="1"/>
  </r>
  <r>
    <s v="HC-01175"/>
    <s v="P-1163"/>
    <s v="Male"/>
    <n v="22"/>
    <x v="5"/>
    <s v="General Consultation"/>
    <d v="2024-12-08T00:00:00"/>
    <d v="2025-01-05T00:00:00"/>
    <s v="Sunday"/>
    <s v="Afternoon"/>
    <x v="3"/>
    <n v="28"/>
    <n v="1"/>
    <x v="0"/>
    <x v="0"/>
    <s v="WhatsApp"/>
    <n v="1"/>
    <x v="17"/>
    <x v="1"/>
  </r>
  <r>
    <s v="HC-01176"/>
    <s v="P-1067"/>
    <s v="Female"/>
    <n v="36"/>
    <x v="0"/>
    <s v="Specialist Consultation"/>
    <d v="2025-06-08T00:00:00"/>
    <d v="2025-07-05T00:00:00"/>
    <s v="Saturday"/>
    <s v="Evening"/>
    <x v="3"/>
    <n v="27"/>
    <n v="3"/>
    <x v="0"/>
    <x v="0"/>
    <s v="SMS"/>
    <n v="1.8"/>
    <x v="12"/>
    <x v="1"/>
  </r>
  <r>
    <s v="HC-01177"/>
    <s v="P-0336"/>
    <s v="Male"/>
    <n v="54"/>
    <x v="2"/>
    <s v="Specialist Consultation"/>
    <d v="2025-05-08T00:00:00"/>
    <d v="2025-06-22T00:00:00"/>
    <s v="Sunday"/>
    <s v="Afternoon"/>
    <x v="2"/>
    <n v="45"/>
    <n v="5"/>
    <x v="0"/>
    <x v="0"/>
    <s v="Email"/>
    <n v="1.9"/>
    <x v="25"/>
    <x v="0"/>
  </r>
  <r>
    <s v="HC-01178"/>
    <s v="P-0847"/>
    <s v="Female"/>
    <n v="48"/>
    <x v="2"/>
    <s v="Follow-up"/>
    <d v="2025-03-13T00:00:00"/>
    <d v="2025-04-15T00:00:00"/>
    <s v="Tuesday"/>
    <s v="Morning"/>
    <x v="2"/>
    <n v="33"/>
    <n v="3"/>
    <x v="0"/>
    <x v="0"/>
    <s v="WhatsApp"/>
    <n v="19.5"/>
    <x v="25"/>
    <x v="0"/>
  </r>
  <r>
    <s v="HC-01179"/>
    <s v="P-1236"/>
    <s v="Male"/>
    <n v="77"/>
    <x v="4"/>
    <s v="Specialist Consultation"/>
    <d v="2025-04-04T00:00:00"/>
    <d v="2025-05-22T00:00:00"/>
    <s v="Thursday"/>
    <s v="Afternoon"/>
    <x v="2"/>
    <n v="48"/>
    <n v="3"/>
    <x v="2"/>
    <x v="0"/>
    <s v="Email"/>
    <n v="35.6"/>
    <x v="17"/>
    <x v="0"/>
  </r>
  <r>
    <s v="HC-01180"/>
    <s v="P-1582"/>
    <s v="Male"/>
    <n v="56"/>
    <x v="3"/>
    <s v="Follow-up"/>
    <d v="2024-11-19T00:00:00"/>
    <d v="2025-01-14T00:00:00"/>
    <s v="Tuesday"/>
    <s v="Morning"/>
    <x v="2"/>
    <n v="56"/>
    <n v="4"/>
    <x v="1"/>
    <x v="0"/>
    <s v="SMS"/>
    <n v="7.9"/>
    <x v="27"/>
    <x v="0"/>
  </r>
  <r>
    <s v="HC-01181"/>
    <s v="P-0046"/>
    <s v="Male"/>
    <n v="43"/>
    <x v="0"/>
    <s v="General Consultation"/>
    <d v="2025-11-05T00:00:00"/>
    <d v="2025-11-28T00:00:00"/>
    <s v="Friday"/>
    <s v="Morning"/>
    <x v="3"/>
    <n v="23"/>
    <n v="3"/>
    <x v="0"/>
    <x v="0"/>
    <s v="SMS"/>
    <n v="2"/>
    <x v="27"/>
    <x v="1"/>
  </r>
  <r>
    <s v="HC-01182"/>
    <s v="P-0546"/>
    <s v="Male"/>
    <n v="44"/>
    <x v="0"/>
    <s v="Follow-up"/>
    <d v="2026-03-30T00:00:00"/>
    <d v="2026-05-22T00:00:00"/>
    <s v="Friday"/>
    <s v="Morning"/>
    <x v="2"/>
    <n v="53"/>
    <n v="2"/>
    <x v="0"/>
    <x v="0"/>
    <s v="WhatsApp"/>
    <n v="3.9"/>
    <x v="19"/>
    <x v="0"/>
  </r>
  <r>
    <s v="HC-01183"/>
    <s v="P-1354"/>
    <s v="Female"/>
    <n v="56"/>
    <x v="3"/>
    <s v="Specialist Consultation"/>
    <d v="2026-01-03T00:00:00"/>
    <d v="2026-01-13T00:00:00"/>
    <s v="Tuesday"/>
    <s v="Morning"/>
    <x v="0"/>
    <n v="10"/>
    <n v="3"/>
    <x v="0"/>
    <x v="0"/>
    <s v="SMS"/>
    <n v="3.5"/>
    <x v="26"/>
    <x v="1"/>
  </r>
  <r>
    <s v="HC-01184"/>
    <s v="P-0548"/>
    <s v="Male"/>
    <n v="67"/>
    <x v="4"/>
    <s v="Specialist Consultation"/>
    <d v="2025-07-09T00:00:00"/>
    <d v="2025-09-02T00:00:00"/>
    <s v="Tuesday"/>
    <s v="Afternoon"/>
    <x v="2"/>
    <n v="55"/>
    <n v="4"/>
    <x v="1"/>
    <x v="0"/>
    <s v="SMS"/>
    <n v="18.899999999999999"/>
    <x v="12"/>
    <x v="0"/>
  </r>
  <r>
    <s v="HC-01185"/>
    <s v="P-0254"/>
    <s v="Male"/>
    <n v="35"/>
    <x v="0"/>
    <s v="General Consultation"/>
    <d v="2025-08-08T00:00:00"/>
    <d v="2025-08-18T00:00:00"/>
    <s v="Monday"/>
    <s v="Morning"/>
    <x v="0"/>
    <n v="10"/>
    <n v="4"/>
    <x v="1"/>
    <x v="0"/>
    <s v="SMS"/>
    <n v="6.2"/>
    <x v="20"/>
    <x v="1"/>
  </r>
  <r>
    <s v="HC-01186"/>
    <s v="P-0224"/>
    <s v="Female"/>
    <n v="54"/>
    <x v="2"/>
    <s v="General Consultation"/>
    <d v="2025-04-27T00:00:00"/>
    <d v="2025-06-17T00:00:00"/>
    <s v="Tuesday"/>
    <s v="Morning"/>
    <x v="2"/>
    <n v="51"/>
    <n v="4"/>
    <x v="0"/>
    <x v="0"/>
    <s v="Email"/>
    <n v="45"/>
    <x v="1"/>
    <x v="1"/>
  </r>
  <r>
    <s v="HC-01187"/>
    <s v="P-1107"/>
    <s v="Female"/>
    <n v="54"/>
    <x v="2"/>
    <s v="Specialist Consultation"/>
    <d v="2025-02-24T00:00:00"/>
    <d v="2025-03-19T00:00:00"/>
    <s v="Wednesday"/>
    <s v="Afternoon"/>
    <x v="3"/>
    <n v="23"/>
    <n v="1"/>
    <x v="0"/>
    <x v="1"/>
    <s v="None"/>
    <n v="3.5"/>
    <x v="15"/>
    <x v="0"/>
  </r>
  <r>
    <s v="HC-01188"/>
    <s v="P-0868"/>
    <s v="Male"/>
    <n v="18"/>
    <x v="5"/>
    <s v="General Consultation"/>
    <d v="2025-09-26T00:00:00"/>
    <d v="2025-11-23T00:00:00"/>
    <s v="Sunday"/>
    <s v="Morning"/>
    <x v="2"/>
    <n v="58"/>
    <n v="1"/>
    <x v="0"/>
    <x v="1"/>
    <s v="None"/>
    <n v="3.8"/>
    <x v="25"/>
    <x v="2"/>
  </r>
  <r>
    <s v="HC-01189"/>
    <s v="P-0465"/>
    <s v="Female"/>
    <n v="75"/>
    <x v="4"/>
    <s v="General Consultation"/>
    <d v="2025-10-30T00:00:00"/>
    <d v="2025-11-06T00:00:00"/>
    <s v="Thursday"/>
    <s v="Morning"/>
    <x v="1"/>
    <n v="7"/>
    <n v="1"/>
    <x v="0"/>
    <x v="0"/>
    <s v="Email"/>
    <n v="6.2"/>
    <x v="50"/>
    <x v="1"/>
  </r>
  <r>
    <s v="HC-01190"/>
    <s v="P-1380"/>
    <s v="Female"/>
    <n v="53"/>
    <x v="2"/>
    <s v="Specialist Consultation"/>
    <d v="2024-12-07T00:00:00"/>
    <d v="2025-01-04T00:00:00"/>
    <s v="Saturday"/>
    <s v="Morning"/>
    <x v="3"/>
    <n v="28"/>
    <n v="5"/>
    <x v="1"/>
    <x v="0"/>
    <s v="WhatsApp"/>
    <n v="5.7"/>
    <x v="16"/>
    <x v="1"/>
  </r>
  <r>
    <s v="HC-01191"/>
    <s v="P-0340"/>
    <s v="Female"/>
    <n v="33"/>
    <x v="1"/>
    <s v="Follow-up"/>
    <d v="2025-06-21T00:00:00"/>
    <d v="2025-08-15T00:00:00"/>
    <s v="Friday"/>
    <s v="Morning"/>
    <x v="2"/>
    <n v="55"/>
    <n v="3"/>
    <x v="0"/>
    <x v="0"/>
    <s v="SMS"/>
    <n v="17"/>
    <x v="50"/>
    <x v="0"/>
  </r>
  <r>
    <s v="HC-01192"/>
    <s v="P-1165"/>
    <s v="Female"/>
    <n v="57"/>
    <x v="3"/>
    <s v="General Consultation"/>
    <d v="2025-05-30T00:00:00"/>
    <d v="2025-06-01T00:00:00"/>
    <s v="Sunday"/>
    <s v="Afternoon"/>
    <x v="1"/>
    <n v="2"/>
    <n v="2"/>
    <x v="0"/>
    <x v="0"/>
    <s v="SMS"/>
    <n v="8.9"/>
    <x v="3"/>
    <x v="1"/>
  </r>
  <r>
    <s v="HC-01193"/>
    <s v="P-1629"/>
    <s v="Male"/>
    <n v="60"/>
    <x v="3"/>
    <s v="General Consultation"/>
    <d v="2025-03-18T00:00:00"/>
    <d v="2025-04-03T00:00:00"/>
    <s v="Thursday"/>
    <s v="Morning"/>
    <x v="3"/>
    <n v="16"/>
    <n v="3"/>
    <x v="0"/>
    <x v="1"/>
    <s v="None"/>
    <n v="13"/>
    <x v="7"/>
    <x v="1"/>
  </r>
  <r>
    <s v="HC-01194"/>
    <s v="P-0160"/>
    <s v="Female"/>
    <n v="75"/>
    <x v="4"/>
    <s v="General Consultation"/>
    <d v="2026-01-14T00:00:00"/>
    <d v="2026-01-19T00:00:00"/>
    <s v="Monday"/>
    <s v="Morning"/>
    <x v="1"/>
    <n v="5"/>
    <n v="5"/>
    <x v="2"/>
    <x v="0"/>
    <s v="SMS"/>
    <n v="10.5"/>
    <x v="27"/>
    <x v="1"/>
  </r>
  <r>
    <s v="HC-01195"/>
    <s v="P-0844"/>
    <s v="Female"/>
    <n v="20"/>
    <x v="5"/>
    <s v="Specialist Consultation"/>
    <d v="2025-09-26T00:00:00"/>
    <d v="2025-10-15T00:00:00"/>
    <s v="Wednesday"/>
    <s v="Morning"/>
    <x v="3"/>
    <n v="19"/>
    <n v="6"/>
    <x v="2"/>
    <x v="0"/>
    <s v="SMS"/>
    <n v="10.5"/>
    <x v="24"/>
    <x v="0"/>
  </r>
  <r>
    <s v="HC-01196"/>
    <s v="P-0541"/>
    <s v="Male"/>
    <n v="44"/>
    <x v="0"/>
    <s v="Follow-up"/>
    <d v="2025-11-20T00:00:00"/>
    <d v="2025-12-13T00:00:00"/>
    <s v="Saturday"/>
    <s v="Morning"/>
    <x v="3"/>
    <n v="23"/>
    <n v="3"/>
    <x v="2"/>
    <x v="0"/>
    <s v="WhatsApp"/>
    <n v="7.4"/>
    <x v="50"/>
    <x v="1"/>
  </r>
  <r>
    <s v="HC-01197"/>
    <s v="P-1418"/>
    <s v="Female"/>
    <n v="29"/>
    <x v="1"/>
    <s v="General Consultation"/>
    <d v="2025-12-19T00:00:00"/>
    <d v="2026-01-25T00:00:00"/>
    <s v="Sunday"/>
    <s v="Morning"/>
    <x v="2"/>
    <n v="37"/>
    <n v="1"/>
    <x v="0"/>
    <x v="0"/>
    <s v="Email"/>
    <n v="17.8"/>
    <x v="11"/>
    <x v="0"/>
  </r>
  <r>
    <s v="HC-01198"/>
    <s v="P-0586"/>
    <s v="Male"/>
    <n v="54"/>
    <x v="2"/>
    <s v="General Consultation"/>
    <d v="2026-06-06T00:00:00"/>
    <d v="2026-06-21T00:00:00"/>
    <s v="Sunday"/>
    <s v="Morning"/>
    <x v="3"/>
    <n v="15"/>
    <n v="2"/>
    <x v="1"/>
    <x v="0"/>
    <s v="WhatsApp"/>
    <n v="15.4"/>
    <x v="39"/>
    <x v="0"/>
  </r>
  <r>
    <s v="HC-01199"/>
    <s v="P-1382"/>
    <s v="Female"/>
    <n v="49"/>
    <x v="2"/>
    <s v="General Consultation"/>
    <d v="2026-03-06T00:00:00"/>
    <d v="2026-03-15T00:00:00"/>
    <s v="Sunday"/>
    <s v="Morning"/>
    <x v="0"/>
    <n v="9"/>
    <n v="2"/>
    <x v="0"/>
    <x v="0"/>
    <s v="Email"/>
    <n v="4.5999999999999996"/>
    <x v="42"/>
    <x v="0"/>
  </r>
  <r>
    <s v="HC-01200"/>
    <s v="P-1082"/>
    <s v="Female"/>
    <n v="47"/>
    <x v="2"/>
    <s v="General Consultation"/>
    <d v="2025-11-25T00:00:00"/>
    <d v="2025-12-05T00:00:00"/>
    <s v="Friday"/>
    <s v="Morning"/>
    <x v="0"/>
    <n v="10"/>
    <n v="2"/>
    <x v="0"/>
    <x v="1"/>
    <s v="None"/>
    <n v="6.3"/>
    <x v="4"/>
    <x v="0"/>
  </r>
  <r>
    <s v="HC-01201"/>
    <s v="P-1437"/>
    <s v="Male"/>
    <n v="79"/>
    <x v="4"/>
    <s v="General Consultation"/>
    <d v="2026-02-27T00:00:00"/>
    <d v="2026-04-25T00:00:00"/>
    <s v="Saturday"/>
    <s v="Evening"/>
    <x v="2"/>
    <n v="57"/>
    <n v="2"/>
    <x v="0"/>
    <x v="0"/>
    <s v="WhatsApp"/>
    <n v="4.2"/>
    <x v="12"/>
    <x v="0"/>
  </r>
  <r>
    <s v="HC-01202"/>
    <s v="P-1420"/>
    <s v="Male"/>
    <n v="51"/>
    <x v="2"/>
    <s v="Follow-up"/>
    <d v="2025-07-22T00:00:00"/>
    <d v="2025-09-18T00:00:00"/>
    <s v="Thursday"/>
    <s v="Morning"/>
    <x v="2"/>
    <n v="58"/>
    <n v="3"/>
    <x v="1"/>
    <x v="0"/>
    <s v="WhatsApp"/>
    <n v="9.1999999999999993"/>
    <x v="51"/>
    <x v="0"/>
  </r>
  <r>
    <s v="HC-01203"/>
    <s v="P-1269"/>
    <s v="Male"/>
    <n v="43"/>
    <x v="0"/>
    <s v="General Consultation"/>
    <d v="2026-06-09T00:00:00"/>
    <d v="2026-06-22T00:00:00"/>
    <s v="Monday"/>
    <s v="Morning"/>
    <x v="0"/>
    <n v="13"/>
    <n v="2"/>
    <x v="2"/>
    <x v="0"/>
    <s v="SMS"/>
    <n v="11.2"/>
    <x v="7"/>
    <x v="0"/>
  </r>
  <r>
    <s v="HC-01204"/>
    <s v="P-1789"/>
    <s v="Female"/>
    <n v="22"/>
    <x v="5"/>
    <s v="General Consultation"/>
    <d v="2026-02-09T00:00:00"/>
    <d v="2026-02-20T00:00:00"/>
    <s v="Friday"/>
    <s v="Afternoon"/>
    <x v="0"/>
    <n v="11"/>
    <n v="2"/>
    <x v="1"/>
    <x v="1"/>
    <s v="None"/>
    <n v="5.8"/>
    <x v="20"/>
    <x v="1"/>
  </r>
  <r>
    <s v="HC-01205"/>
    <s v="P-1486"/>
    <s v="Female"/>
    <n v="36"/>
    <x v="0"/>
    <s v="Follow-up"/>
    <d v="2025-12-19T00:00:00"/>
    <d v="2025-12-22T00:00:00"/>
    <s v="Monday"/>
    <s v="Morning"/>
    <x v="1"/>
    <n v="3"/>
    <n v="2"/>
    <x v="1"/>
    <x v="0"/>
    <s v="SMS"/>
    <n v="6.4"/>
    <x v="2"/>
    <x v="2"/>
  </r>
  <r>
    <s v="HC-01206"/>
    <s v="P-0459"/>
    <s v="Female"/>
    <n v="74"/>
    <x v="4"/>
    <s v="Follow-up"/>
    <d v="2026-03-12T00:00:00"/>
    <d v="2026-05-09T00:00:00"/>
    <s v="Saturday"/>
    <s v="Afternoon"/>
    <x v="2"/>
    <n v="58"/>
    <n v="4"/>
    <x v="2"/>
    <x v="0"/>
    <s v="WhatsApp"/>
    <n v="4.5"/>
    <x v="13"/>
    <x v="0"/>
  </r>
  <r>
    <s v="HC-01207"/>
    <s v="P-0194"/>
    <s v="Male"/>
    <n v="46"/>
    <x v="2"/>
    <s v="General Consultation"/>
    <d v="2025-08-27T00:00:00"/>
    <d v="2025-10-09T00:00:00"/>
    <s v="Thursday"/>
    <s v="Morning"/>
    <x v="2"/>
    <n v="43"/>
    <n v="5"/>
    <x v="0"/>
    <x v="0"/>
    <s v="SMS"/>
    <n v="3.8"/>
    <x v="17"/>
    <x v="1"/>
  </r>
  <r>
    <s v="HC-01208"/>
    <s v="P-0349"/>
    <s v="Female"/>
    <n v="75"/>
    <x v="4"/>
    <s v="General Consultation"/>
    <d v="2025-12-14T00:00:00"/>
    <d v="2026-01-29T00:00:00"/>
    <s v="Thursday"/>
    <s v="Afternoon"/>
    <x v="2"/>
    <n v="46"/>
    <n v="2"/>
    <x v="0"/>
    <x v="1"/>
    <s v="None"/>
    <n v="6.2"/>
    <x v="8"/>
    <x v="0"/>
  </r>
  <r>
    <s v="HC-01209"/>
    <s v="P-0780"/>
    <s v="Male"/>
    <n v="51"/>
    <x v="2"/>
    <s v="General Consultation"/>
    <d v="2025-05-19T00:00:00"/>
    <d v="2025-06-05T00:00:00"/>
    <s v="Thursday"/>
    <s v="Evening"/>
    <x v="3"/>
    <n v="17"/>
    <n v="0"/>
    <x v="0"/>
    <x v="0"/>
    <s v="SMS"/>
    <n v="7.5"/>
    <x v="49"/>
    <x v="0"/>
  </r>
  <r>
    <s v="HC-01210"/>
    <s v="P-0762"/>
    <s v="Male"/>
    <n v="52"/>
    <x v="2"/>
    <s v="General Consultation"/>
    <d v="2026-05-02T00:00:00"/>
    <d v="2026-06-10T00:00:00"/>
    <s v="Wednesday"/>
    <s v="Morning"/>
    <x v="2"/>
    <n v="39"/>
    <n v="1"/>
    <x v="0"/>
    <x v="0"/>
    <s v="WhatsApp"/>
    <n v="4.5"/>
    <x v="17"/>
    <x v="2"/>
  </r>
  <r>
    <s v="HC-01211"/>
    <s v="P-1343"/>
    <s v="Female"/>
    <n v="45"/>
    <x v="2"/>
    <s v="Specialist Consultation"/>
    <d v="2025-12-04T00:00:00"/>
    <d v="2025-12-07T00:00:00"/>
    <s v="Sunday"/>
    <s v="Morning"/>
    <x v="1"/>
    <n v="3"/>
    <n v="1"/>
    <x v="0"/>
    <x v="0"/>
    <s v="SMS"/>
    <n v="3.6"/>
    <x v="27"/>
    <x v="1"/>
  </r>
  <r>
    <s v="HC-01212"/>
    <s v="P-1218"/>
    <s v="Female"/>
    <n v="53"/>
    <x v="2"/>
    <s v="General Consultation"/>
    <d v="2026-01-21T00:00:00"/>
    <d v="2026-03-03T00:00:00"/>
    <s v="Tuesday"/>
    <s v="Afternoon"/>
    <x v="2"/>
    <n v="41"/>
    <n v="7"/>
    <x v="1"/>
    <x v="0"/>
    <s v="SMS"/>
    <n v="30"/>
    <x v="7"/>
    <x v="1"/>
  </r>
  <r>
    <s v="HC-01213"/>
    <s v="P-0262"/>
    <s v="Female"/>
    <n v="22"/>
    <x v="5"/>
    <s v="Specialist Consultation"/>
    <d v="2025-08-05T00:00:00"/>
    <d v="2025-09-09T00:00:00"/>
    <s v="Tuesday"/>
    <s v="Evening"/>
    <x v="2"/>
    <n v="35"/>
    <n v="6"/>
    <x v="0"/>
    <x v="1"/>
    <s v="None"/>
    <n v="5.9"/>
    <x v="14"/>
    <x v="1"/>
  </r>
  <r>
    <s v="HC-01214"/>
    <s v="P-1293"/>
    <s v="Male"/>
    <n v="21"/>
    <x v="5"/>
    <s v="Specialist Consultation"/>
    <d v="2026-03-30T00:00:00"/>
    <d v="2026-04-19T00:00:00"/>
    <s v="Sunday"/>
    <s v="Morning"/>
    <x v="3"/>
    <n v="20"/>
    <n v="5"/>
    <x v="2"/>
    <x v="0"/>
    <s v="WhatsApp"/>
    <n v="9.6999999999999993"/>
    <x v="7"/>
    <x v="1"/>
  </r>
  <r>
    <s v="HC-01215"/>
    <s v="P-1099"/>
    <s v="Male"/>
    <n v="47"/>
    <x v="2"/>
    <s v="General Consultation"/>
    <d v="2024-12-29T00:00:00"/>
    <d v="2025-02-10T00:00:00"/>
    <s v="Monday"/>
    <s v="Afternoon"/>
    <x v="2"/>
    <n v="43"/>
    <n v="6"/>
    <x v="2"/>
    <x v="0"/>
    <s v="SMS"/>
    <n v="12.5"/>
    <x v="9"/>
    <x v="0"/>
  </r>
  <r>
    <s v="HC-01216"/>
    <s v="P-1494"/>
    <s v="Male"/>
    <n v="55"/>
    <x v="3"/>
    <s v="General Consultation"/>
    <d v="2025-01-24T00:00:00"/>
    <d v="2025-03-04T00:00:00"/>
    <s v="Tuesday"/>
    <s v="Morning"/>
    <x v="2"/>
    <n v="39"/>
    <n v="10"/>
    <x v="2"/>
    <x v="0"/>
    <s v="SMS"/>
    <n v="10.5"/>
    <x v="25"/>
    <x v="0"/>
  </r>
  <r>
    <s v="HC-01217"/>
    <s v="P-0782"/>
    <s v="Female"/>
    <n v="52"/>
    <x v="2"/>
    <s v="General Consultation"/>
    <d v="2025-09-08T00:00:00"/>
    <d v="2025-10-04T00:00:00"/>
    <s v="Saturday"/>
    <s v="Afternoon"/>
    <x v="3"/>
    <n v="26"/>
    <n v="1"/>
    <x v="0"/>
    <x v="0"/>
    <s v="SMS"/>
    <n v="13.4"/>
    <x v="17"/>
    <x v="1"/>
  </r>
  <r>
    <s v="HC-01218"/>
    <s v="P-0562"/>
    <s v="Female"/>
    <n v="45"/>
    <x v="2"/>
    <s v="General Consultation"/>
    <d v="2026-01-24T00:00:00"/>
    <d v="2026-02-04T00:00:00"/>
    <s v="Wednesday"/>
    <s v="Morning"/>
    <x v="0"/>
    <n v="11"/>
    <n v="5"/>
    <x v="0"/>
    <x v="0"/>
    <s v="SMS"/>
    <n v="9.1999999999999993"/>
    <x v="18"/>
    <x v="1"/>
  </r>
  <r>
    <s v="HC-01219"/>
    <s v="P-0500"/>
    <s v="Female"/>
    <n v="36"/>
    <x v="0"/>
    <s v="Follow-up"/>
    <d v="2026-03-17T00:00:00"/>
    <d v="2026-03-18T00:00:00"/>
    <s v="Wednesday"/>
    <s v="Afternoon"/>
    <x v="1"/>
    <n v="1"/>
    <n v="2"/>
    <x v="0"/>
    <x v="0"/>
    <s v="SMS"/>
    <n v="2.4"/>
    <x v="0"/>
    <x v="1"/>
  </r>
  <r>
    <s v="HC-01220"/>
    <s v="P-1514"/>
    <s v="Female"/>
    <n v="62"/>
    <x v="3"/>
    <s v="General Consultation"/>
    <d v="2025-07-03T00:00:00"/>
    <d v="2025-08-29T00:00:00"/>
    <s v="Friday"/>
    <s v="Morning"/>
    <x v="2"/>
    <n v="57"/>
    <n v="8"/>
    <x v="0"/>
    <x v="1"/>
    <s v="None"/>
    <n v="9.6"/>
    <x v="0"/>
    <x v="0"/>
  </r>
  <r>
    <s v="HC-01221"/>
    <s v="P-0453"/>
    <s v="Male"/>
    <n v="56"/>
    <x v="3"/>
    <s v="Specialist Consultation"/>
    <d v="2025-12-04T00:00:00"/>
    <d v="2025-12-21T00:00:00"/>
    <s v="Sunday"/>
    <s v="Afternoon"/>
    <x v="3"/>
    <n v="17"/>
    <n v="0"/>
    <x v="0"/>
    <x v="0"/>
    <s v="SMS"/>
    <n v="6.8"/>
    <x v="12"/>
    <x v="0"/>
  </r>
  <r>
    <s v="HC-01222"/>
    <s v="P-1207"/>
    <s v="Male"/>
    <n v="20"/>
    <x v="5"/>
    <s v="Follow-up"/>
    <d v="2025-10-11T00:00:00"/>
    <d v="2025-10-29T00:00:00"/>
    <s v="Wednesday"/>
    <s v="Morning"/>
    <x v="3"/>
    <n v="18"/>
    <n v="3"/>
    <x v="0"/>
    <x v="0"/>
    <s v="WhatsApp"/>
    <n v="4.3"/>
    <x v="4"/>
    <x v="1"/>
  </r>
  <r>
    <s v="HC-01223"/>
    <s v="P-0826"/>
    <s v="Male"/>
    <n v="46"/>
    <x v="2"/>
    <s v="Specialist Consultation"/>
    <d v="2026-04-29T00:00:00"/>
    <d v="2026-06-09T00:00:00"/>
    <s v="Tuesday"/>
    <s v="Afternoon"/>
    <x v="2"/>
    <n v="41"/>
    <n v="4"/>
    <x v="0"/>
    <x v="0"/>
    <s v="SMS"/>
    <n v="24.6"/>
    <x v="14"/>
    <x v="0"/>
  </r>
  <r>
    <s v="HC-01224"/>
    <s v="P-0035"/>
    <s v="Male"/>
    <n v="62"/>
    <x v="3"/>
    <s v="Specialist Consultation"/>
    <d v="2025-12-09T00:00:00"/>
    <d v="2025-12-24T00:00:00"/>
    <s v="Wednesday"/>
    <s v="Afternoon"/>
    <x v="3"/>
    <n v="15"/>
    <n v="6"/>
    <x v="0"/>
    <x v="0"/>
    <s v="WhatsApp"/>
    <n v="1.8"/>
    <x v="7"/>
    <x v="1"/>
  </r>
  <r>
    <s v="HC-01225"/>
    <s v="P-0911"/>
    <s v="Female"/>
    <n v="67"/>
    <x v="4"/>
    <s v="Follow-up"/>
    <d v="2025-07-25T00:00:00"/>
    <d v="2025-08-16T00:00:00"/>
    <s v="Saturday"/>
    <s v="Afternoon"/>
    <x v="3"/>
    <n v="22"/>
    <n v="3"/>
    <x v="1"/>
    <x v="1"/>
    <s v="None"/>
    <n v="11.6"/>
    <x v="0"/>
    <x v="1"/>
  </r>
  <r>
    <s v="HC-01226"/>
    <s v="P-1752"/>
    <s v="Male"/>
    <n v="36"/>
    <x v="0"/>
    <s v="Diagnostic Test"/>
    <d v="2026-05-02T00:00:00"/>
    <d v="2026-06-14T00:00:00"/>
    <s v="Sunday"/>
    <s v="Evening"/>
    <x v="2"/>
    <n v="43"/>
    <n v="0"/>
    <x v="0"/>
    <x v="1"/>
    <s v="None"/>
    <n v="11.1"/>
    <x v="6"/>
    <x v="1"/>
  </r>
  <r>
    <s v="HC-01227"/>
    <s v="P-0599"/>
    <s v="Male"/>
    <n v="76"/>
    <x v="4"/>
    <s v="Diagnostic Test"/>
    <d v="2025-01-23T00:00:00"/>
    <d v="2025-02-28T00:00:00"/>
    <s v="Friday"/>
    <s v="Afternoon"/>
    <x v="2"/>
    <n v="36"/>
    <n v="2"/>
    <x v="0"/>
    <x v="1"/>
    <s v="None"/>
    <n v="20.9"/>
    <x v="6"/>
    <x v="1"/>
  </r>
  <r>
    <s v="HC-01228"/>
    <s v="P-0456"/>
    <s v="Female"/>
    <n v="59"/>
    <x v="3"/>
    <s v="General Consultation"/>
    <d v="2026-05-13T00:00:00"/>
    <d v="2026-06-22T00:00:00"/>
    <s v="Monday"/>
    <s v="Afternoon"/>
    <x v="2"/>
    <n v="40"/>
    <n v="5"/>
    <x v="3"/>
    <x v="1"/>
    <s v="None"/>
    <n v="10.3"/>
    <x v="13"/>
    <x v="0"/>
  </r>
  <r>
    <s v="HC-01229"/>
    <s v="P-0914"/>
    <s v="Female"/>
    <n v="45"/>
    <x v="2"/>
    <s v="General Consultation"/>
    <d v="2025-03-26T00:00:00"/>
    <d v="2025-03-26T00:00:00"/>
    <s v="Wednesday"/>
    <s v="Morning"/>
    <x v="1"/>
    <n v="0"/>
    <n v="4"/>
    <x v="1"/>
    <x v="0"/>
    <s v="SMS"/>
    <n v="5.5"/>
    <x v="27"/>
    <x v="1"/>
  </r>
  <r>
    <s v="HC-01230"/>
    <s v="P-0136"/>
    <s v="Male"/>
    <n v="57"/>
    <x v="3"/>
    <s v="General Consultation"/>
    <d v="2025-05-11T00:00:00"/>
    <d v="2025-06-07T00:00:00"/>
    <s v="Saturday"/>
    <s v="Evening"/>
    <x v="3"/>
    <n v="27"/>
    <n v="1"/>
    <x v="1"/>
    <x v="0"/>
    <s v="WhatsApp"/>
    <n v="1.7"/>
    <x v="47"/>
    <x v="1"/>
  </r>
  <r>
    <s v="HC-01231"/>
    <s v="P-0685"/>
    <s v="Male"/>
    <n v="72"/>
    <x v="4"/>
    <s v="General Consultation"/>
    <d v="2026-02-25T00:00:00"/>
    <d v="2026-03-25T00:00:00"/>
    <s v="Wednesday"/>
    <s v="Afternoon"/>
    <x v="3"/>
    <n v="28"/>
    <n v="4"/>
    <x v="0"/>
    <x v="0"/>
    <s v="WhatsApp"/>
    <n v="2"/>
    <x v="16"/>
    <x v="2"/>
  </r>
  <r>
    <s v="HC-01232"/>
    <s v="P-0798"/>
    <s v="Female"/>
    <n v="32"/>
    <x v="1"/>
    <s v="Follow-up"/>
    <d v="2025-12-29T00:00:00"/>
    <d v="2026-02-05T00:00:00"/>
    <s v="Thursday"/>
    <s v="Morning"/>
    <x v="2"/>
    <n v="38"/>
    <n v="4"/>
    <x v="0"/>
    <x v="1"/>
    <s v="None"/>
    <n v="6"/>
    <x v="5"/>
    <x v="1"/>
  </r>
  <r>
    <s v="HC-01233"/>
    <s v="P-0734"/>
    <s v="Male"/>
    <n v="27"/>
    <x v="1"/>
    <s v="General Consultation"/>
    <d v="2026-06-05T00:00:00"/>
    <d v="2026-06-14T00:00:00"/>
    <s v="Sunday"/>
    <s v="Morning"/>
    <x v="0"/>
    <n v="9"/>
    <n v="1"/>
    <x v="0"/>
    <x v="0"/>
    <s v="Email"/>
    <n v="18.8"/>
    <x v="51"/>
    <x v="0"/>
  </r>
  <r>
    <s v="HC-01234"/>
    <s v="P-0963"/>
    <s v="Male"/>
    <n v="45"/>
    <x v="2"/>
    <s v="Follow-up"/>
    <d v="2026-02-05T00:00:00"/>
    <d v="2026-02-14T00:00:00"/>
    <s v="Saturday"/>
    <s v="Afternoon"/>
    <x v="0"/>
    <n v="9"/>
    <n v="3"/>
    <x v="2"/>
    <x v="0"/>
    <s v="SMS"/>
    <n v="2.2999999999999998"/>
    <x v="38"/>
    <x v="1"/>
  </r>
  <r>
    <s v="HC-01235"/>
    <s v="P-0874"/>
    <s v="Male"/>
    <n v="23"/>
    <x v="5"/>
    <s v="Specialist Consultation"/>
    <d v="2025-10-29T00:00:00"/>
    <d v="2025-12-14T00:00:00"/>
    <s v="Sunday"/>
    <s v="Afternoon"/>
    <x v="2"/>
    <n v="46"/>
    <n v="2"/>
    <x v="1"/>
    <x v="1"/>
    <s v="None"/>
    <n v="9.4"/>
    <x v="27"/>
    <x v="0"/>
  </r>
  <r>
    <s v="HC-01236"/>
    <s v="P-0842"/>
    <s v="Female"/>
    <n v="70"/>
    <x v="4"/>
    <s v="General Consultation"/>
    <d v="2025-05-29T00:00:00"/>
    <d v="2025-07-09T00:00:00"/>
    <s v="Wednesday"/>
    <s v="Afternoon"/>
    <x v="2"/>
    <n v="41"/>
    <n v="6"/>
    <x v="1"/>
    <x v="0"/>
    <s v="SMS"/>
    <n v="17.7"/>
    <x v="25"/>
    <x v="0"/>
  </r>
  <r>
    <s v="HC-01237"/>
    <s v="P-0579"/>
    <s v="Female"/>
    <n v="79"/>
    <x v="4"/>
    <s v="Follow-up"/>
    <d v="2024-11-15T00:00:00"/>
    <d v="2025-01-03T00:00:00"/>
    <s v="Friday"/>
    <s v="Afternoon"/>
    <x v="2"/>
    <n v="49"/>
    <n v="3"/>
    <x v="1"/>
    <x v="1"/>
    <s v="None"/>
    <n v="23.4"/>
    <x v="8"/>
    <x v="0"/>
  </r>
  <r>
    <s v="HC-01238"/>
    <s v="P-1383"/>
    <s v="Male"/>
    <n v="56"/>
    <x v="3"/>
    <s v="General Consultation"/>
    <d v="2025-02-21T00:00:00"/>
    <d v="2025-03-09T00:00:00"/>
    <s v="Sunday"/>
    <s v="Morning"/>
    <x v="3"/>
    <n v="16"/>
    <n v="2"/>
    <x v="0"/>
    <x v="1"/>
    <s v="None"/>
    <n v="7.1"/>
    <x v="0"/>
    <x v="2"/>
  </r>
  <r>
    <s v="HC-01239"/>
    <s v="P-0611"/>
    <s v="Female"/>
    <n v="79"/>
    <x v="4"/>
    <s v="Specialist Consultation"/>
    <d v="2025-04-13T00:00:00"/>
    <d v="2025-06-12T00:00:00"/>
    <s v="Thursday"/>
    <s v="Evening"/>
    <x v="2"/>
    <n v="60"/>
    <n v="2"/>
    <x v="0"/>
    <x v="0"/>
    <s v="SMS"/>
    <n v="1.1000000000000001"/>
    <x v="50"/>
    <x v="1"/>
  </r>
  <r>
    <s v="HC-01240"/>
    <s v="P-0211"/>
    <s v="Female"/>
    <n v="22"/>
    <x v="5"/>
    <s v="Follow-up"/>
    <d v="2025-01-07T00:00:00"/>
    <d v="2025-01-23T00:00:00"/>
    <s v="Thursday"/>
    <s v="Afternoon"/>
    <x v="3"/>
    <n v="16"/>
    <n v="3"/>
    <x v="0"/>
    <x v="1"/>
    <s v="None"/>
    <n v="16.2"/>
    <x v="4"/>
    <x v="0"/>
  </r>
  <r>
    <s v="HC-01241"/>
    <s v="P-1218"/>
    <s v="Male"/>
    <n v="57"/>
    <x v="3"/>
    <s v="General Consultation"/>
    <d v="2025-08-27T00:00:00"/>
    <d v="2025-10-05T00:00:00"/>
    <s v="Sunday"/>
    <s v="Afternoon"/>
    <x v="2"/>
    <n v="39"/>
    <n v="4"/>
    <x v="1"/>
    <x v="0"/>
    <s v="SMS"/>
    <n v="6"/>
    <x v="47"/>
    <x v="1"/>
  </r>
  <r>
    <s v="HC-01242"/>
    <s v="P-1462"/>
    <s v="Female"/>
    <n v="45"/>
    <x v="2"/>
    <s v="Follow-up"/>
    <d v="2026-02-20T00:00:00"/>
    <d v="2026-03-01T00:00:00"/>
    <s v="Sunday"/>
    <s v="Afternoon"/>
    <x v="0"/>
    <n v="9"/>
    <n v="6"/>
    <x v="0"/>
    <x v="1"/>
    <s v="None"/>
    <n v="11.8"/>
    <x v="38"/>
    <x v="1"/>
  </r>
  <r>
    <s v="HC-01243"/>
    <s v="P-0015"/>
    <s v="Female"/>
    <n v="35"/>
    <x v="0"/>
    <s v="General Consultation"/>
    <d v="2026-04-15T00:00:00"/>
    <d v="2026-06-10T00:00:00"/>
    <s v="Wednesday"/>
    <s v="Afternoon"/>
    <x v="2"/>
    <n v="56"/>
    <n v="1"/>
    <x v="0"/>
    <x v="0"/>
    <s v="Email"/>
    <n v="12"/>
    <x v="17"/>
    <x v="0"/>
  </r>
  <r>
    <s v="HC-01244"/>
    <s v="P-0873"/>
    <s v="Male"/>
    <n v="37"/>
    <x v="0"/>
    <s v="Specialist Consultation"/>
    <d v="2025-09-05T00:00:00"/>
    <d v="2025-09-25T00:00:00"/>
    <s v="Thursday"/>
    <s v="Afternoon"/>
    <x v="3"/>
    <n v="20"/>
    <n v="3"/>
    <x v="0"/>
    <x v="0"/>
    <s v="WhatsApp"/>
    <n v="4.0999999999999996"/>
    <x v="25"/>
    <x v="0"/>
  </r>
  <r>
    <s v="HC-01245"/>
    <s v="P-0173"/>
    <s v="Female"/>
    <n v="52"/>
    <x v="2"/>
    <s v="Follow-up"/>
    <d v="2026-03-06T00:00:00"/>
    <d v="2026-04-23T00:00:00"/>
    <s v="Thursday"/>
    <s v="Afternoon"/>
    <x v="2"/>
    <n v="48"/>
    <n v="1"/>
    <x v="0"/>
    <x v="0"/>
    <s v="WhatsApp"/>
    <n v="0.7"/>
    <x v="24"/>
    <x v="0"/>
  </r>
  <r>
    <s v="HC-01246"/>
    <s v="P-0140"/>
    <s v="Male"/>
    <n v="58"/>
    <x v="3"/>
    <s v="General Consultation"/>
    <d v="2026-06-03T00:00:00"/>
    <d v="2026-06-23T00:00:00"/>
    <s v="Tuesday"/>
    <s v="Evening"/>
    <x v="3"/>
    <n v="20"/>
    <n v="2"/>
    <x v="0"/>
    <x v="1"/>
    <s v="None"/>
    <n v="9.1999999999999993"/>
    <x v="25"/>
    <x v="1"/>
  </r>
  <r>
    <s v="HC-01247"/>
    <s v="P-1389"/>
    <s v="Female"/>
    <n v="28"/>
    <x v="1"/>
    <s v="Follow-up"/>
    <d v="2026-02-26T00:00:00"/>
    <d v="2026-04-15T00:00:00"/>
    <s v="Wednesday"/>
    <s v="Afternoon"/>
    <x v="2"/>
    <n v="48"/>
    <n v="2"/>
    <x v="0"/>
    <x v="0"/>
    <s v="SMS"/>
    <n v="14.4"/>
    <x v="23"/>
    <x v="0"/>
  </r>
  <r>
    <s v="HC-01248"/>
    <s v="P-1756"/>
    <s v="Female"/>
    <n v="56"/>
    <x v="3"/>
    <s v="Specialist Consultation"/>
    <d v="2025-08-15T00:00:00"/>
    <d v="2025-09-11T00:00:00"/>
    <s v="Thursday"/>
    <s v="Morning"/>
    <x v="3"/>
    <n v="27"/>
    <n v="2"/>
    <x v="0"/>
    <x v="0"/>
    <s v="SMS"/>
    <n v="16.8"/>
    <x v="6"/>
    <x v="1"/>
  </r>
  <r>
    <s v="HC-01249"/>
    <s v="P-0058"/>
    <s v="Female"/>
    <n v="76"/>
    <x v="4"/>
    <s v="Specialist Consultation"/>
    <d v="2025-06-24T00:00:00"/>
    <d v="2025-06-27T00:00:00"/>
    <s v="Friday"/>
    <s v="Morning"/>
    <x v="1"/>
    <n v="3"/>
    <n v="1"/>
    <x v="0"/>
    <x v="1"/>
    <s v="None"/>
    <n v="10.8"/>
    <x v="14"/>
    <x v="0"/>
  </r>
  <r>
    <s v="HC-01250"/>
    <s v="P-1610"/>
    <s v="Female"/>
    <n v="18"/>
    <x v="5"/>
    <s v="Follow-up"/>
    <d v="2026-06-07T00:00:00"/>
    <d v="2026-06-18T00:00:00"/>
    <s v="Thursday"/>
    <s v="Afternoon"/>
    <x v="0"/>
    <n v="11"/>
    <n v="2"/>
    <x v="0"/>
    <x v="0"/>
    <s v="SMS"/>
    <n v="13.8"/>
    <x v="6"/>
    <x v="0"/>
  </r>
  <r>
    <s v="HC-01251"/>
    <s v="P-0468"/>
    <s v="Female"/>
    <n v="73"/>
    <x v="4"/>
    <s v="Specialist Consultation"/>
    <d v="2025-04-02T00:00:00"/>
    <d v="2025-05-13T00:00:00"/>
    <s v="Tuesday"/>
    <s v="Afternoon"/>
    <x v="2"/>
    <n v="41"/>
    <n v="1"/>
    <x v="0"/>
    <x v="1"/>
    <s v="None"/>
    <n v="4.8"/>
    <x v="23"/>
    <x v="2"/>
  </r>
  <r>
    <s v="HC-01252"/>
    <s v="P-0573"/>
    <s v="Male"/>
    <n v="56"/>
    <x v="3"/>
    <s v="General Consultation"/>
    <d v="2025-08-02T00:00:00"/>
    <d v="2025-08-13T00:00:00"/>
    <s v="Wednesday"/>
    <s v="Afternoon"/>
    <x v="0"/>
    <n v="11"/>
    <n v="5"/>
    <x v="1"/>
    <x v="0"/>
    <s v="WhatsApp"/>
    <n v="17.7"/>
    <x v="4"/>
    <x v="1"/>
  </r>
  <r>
    <s v="HC-01253"/>
    <s v="P-0816"/>
    <s v="Male"/>
    <n v="39"/>
    <x v="0"/>
    <s v="Specialist Consultation"/>
    <d v="2025-01-25T00:00:00"/>
    <d v="2025-02-10T00:00:00"/>
    <s v="Monday"/>
    <s v="Evening"/>
    <x v="3"/>
    <n v="16"/>
    <n v="2"/>
    <x v="0"/>
    <x v="1"/>
    <s v="None"/>
    <n v="15.2"/>
    <x v="12"/>
    <x v="0"/>
  </r>
  <r>
    <s v="HC-01254"/>
    <s v="P-0909"/>
    <s v="Female"/>
    <n v="64"/>
    <x v="3"/>
    <s v="Specialist Consultation"/>
    <d v="2026-02-05T00:00:00"/>
    <d v="2026-03-10T00:00:00"/>
    <s v="Tuesday"/>
    <s v="Morning"/>
    <x v="2"/>
    <n v="33"/>
    <n v="2"/>
    <x v="0"/>
    <x v="1"/>
    <s v="None"/>
    <n v="12.6"/>
    <x v="15"/>
    <x v="1"/>
  </r>
  <r>
    <s v="HC-01255"/>
    <s v="P-0273"/>
    <s v="Female"/>
    <n v="56"/>
    <x v="3"/>
    <s v="General Consultation"/>
    <d v="2025-12-06T00:00:00"/>
    <d v="2025-12-21T00:00:00"/>
    <s v="Sunday"/>
    <s v="Morning"/>
    <x v="3"/>
    <n v="15"/>
    <n v="4"/>
    <x v="1"/>
    <x v="1"/>
    <s v="None"/>
    <n v="5.2"/>
    <x v="35"/>
    <x v="0"/>
  </r>
  <r>
    <s v="HC-01256"/>
    <s v="P-0439"/>
    <s v="Male"/>
    <n v="66"/>
    <x v="4"/>
    <s v="General Consultation"/>
    <d v="2025-02-09T00:00:00"/>
    <d v="2025-02-16T00:00:00"/>
    <s v="Sunday"/>
    <s v="Afternoon"/>
    <x v="1"/>
    <n v="7"/>
    <n v="7"/>
    <x v="0"/>
    <x v="0"/>
    <s v="WhatsApp"/>
    <n v="8.6999999999999993"/>
    <x v="23"/>
    <x v="1"/>
  </r>
  <r>
    <s v="HC-01257"/>
    <s v="P-0838"/>
    <s v="Female"/>
    <n v="23"/>
    <x v="5"/>
    <s v="General Consultation"/>
    <d v="2025-03-25T00:00:00"/>
    <d v="2025-05-02T00:00:00"/>
    <s v="Friday"/>
    <s v="Evening"/>
    <x v="2"/>
    <n v="38"/>
    <n v="5"/>
    <x v="0"/>
    <x v="1"/>
    <s v="None"/>
    <n v="6.7"/>
    <x v="11"/>
    <x v="1"/>
  </r>
  <r>
    <s v="HC-01258"/>
    <s v="P-0914"/>
    <s v="Female"/>
    <n v="21"/>
    <x v="5"/>
    <s v="General Consultation"/>
    <d v="2025-09-19T00:00:00"/>
    <d v="2025-10-31T00:00:00"/>
    <s v="Friday"/>
    <s v="Morning"/>
    <x v="2"/>
    <n v="42"/>
    <n v="5"/>
    <x v="1"/>
    <x v="0"/>
    <s v="WhatsApp"/>
    <n v="7.1"/>
    <x v="2"/>
    <x v="1"/>
  </r>
  <r>
    <s v="HC-01259"/>
    <s v="P-0780"/>
    <s v="Female"/>
    <n v="58"/>
    <x v="3"/>
    <s v="General Consultation"/>
    <d v="2025-09-09T00:00:00"/>
    <d v="2025-10-23T00:00:00"/>
    <s v="Thursday"/>
    <s v="Morning"/>
    <x v="2"/>
    <n v="44"/>
    <n v="0"/>
    <x v="0"/>
    <x v="0"/>
    <s v="SMS"/>
    <n v="13.3"/>
    <x v="19"/>
    <x v="0"/>
  </r>
  <r>
    <s v="HC-01260"/>
    <s v="P-0448"/>
    <s v="Female"/>
    <n v="37"/>
    <x v="0"/>
    <s v="General Consultation"/>
    <d v="2026-01-16T00:00:00"/>
    <d v="2026-03-14T00:00:00"/>
    <s v="Saturday"/>
    <s v="Morning"/>
    <x v="2"/>
    <n v="57"/>
    <n v="5"/>
    <x v="0"/>
    <x v="0"/>
    <s v="Email"/>
    <n v="12.6"/>
    <x v="12"/>
    <x v="0"/>
  </r>
  <r>
    <s v="HC-01261"/>
    <s v="P-0427"/>
    <s v="Male"/>
    <n v="33"/>
    <x v="1"/>
    <s v="Follow-up"/>
    <d v="2025-05-19T00:00:00"/>
    <d v="2025-05-26T00:00:00"/>
    <s v="Monday"/>
    <s v="Afternoon"/>
    <x v="1"/>
    <n v="7"/>
    <n v="2"/>
    <x v="0"/>
    <x v="1"/>
    <s v="None"/>
    <n v="1.3"/>
    <x v="18"/>
    <x v="0"/>
  </r>
  <r>
    <s v="HC-01262"/>
    <s v="P-0667"/>
    <s v="Female"/>
    <n v="44"/>
    <x v="0"/>
    <s v="General Consultation"/>
    <d v="2026-04-24T00:00:00"/>
    <d v="2026-05-20T00:00:00"/>
    <s v="Wednesday"/>
    <s v="Afternoon"/>
    <x v="3"/>
    <n v="26"/>
    <n v="2"/>
    <x v="1"/>
    <x v="1"/>
    <s v="None"/>
    <n v="5.0999999999999996"/>
    <x v="22"/>
    <x v="0"/>
  </r>
  <r>
    <s v="HC-01263"/>
    <s v="P-0673"/>
    <s v="Male"/>
    <n v="63"/>
    <x v="3"/>
    <s v="General Consultation"/>
    <d v="2025-08-17T00:00:00"/>
    <d v="2025-08-31T00:00:00"/>
    <s v="Sunday"/>
    <s v="Morning"/>
    <x v="0"/>
    <n v="14"/>
    <n v="2"/>
    <x v="0"/>
    <x v="0"/>
    <s v="SMS"/>
    <n v="11.1"/>
    <x v="42"/>
    <x v="0"/>
  </r>
  <r>
    <s v="HC-01264"/>
    <s v="P-0492"/>
    <s v="Female"/>
    <n v="29"/>
    <x v="1"/>
    <s v="Follow-up"/>
    <d v="2026-01-31T00:00:00"/>
    <d v="2026-03-26T00:00:00"/>
    <s v="Thursday"/>
    <s v="Morning"/>
    <x v="2"/>
    <n v="54"/>
    <n v="1"/>
    <x v="0"/>
    <x v="1"/>
    <s v="None"/>
    <n v="7.2"/>
    <x v="48"/>
    <x v="0"/>
  </r>
  <r>
    <s v="HC-01265"/>
    <s v="P-0376"/>
    <s v="Female"/>
    <n v="79"/>
    <x v="4"/>
    <s v="General Consultation"/>
    <d v="2025-04-09T00:00:00"/>
    <d v="2025-05-11T00:00:00"/>
    <s v="Sunday"/>
    <s v="Afternoon"/>
    <x v="2"/>
    <n v="32"/>
    <n v="4"/>
    <x v="0"/>
    <x v="0"/>
    <s v="WhatsApp"/>
    <n v="3.3"/>
    <x v="0"/>
    <x v="1"/>
  </r>
  <r>
    <s v="HC-01266"/>
    <s v="P-0807"/>
    <s v="Male"/>
    <n v="44"/>
    <x v="0"/>
    <s v="Follow-up"/>
    <d v="2025-01-16T00:00:00"/>
    <d v="2025-01-21T00:00:00"/>
    <s v="Tuesday"/>
    <s v="Afternoon"/>
    <x v="1"/>
    <n v="5"/>
    <n v="3"/>
    <x v="2"/>
    <x v="0"/>
    <s v="Email"/>
    <n v="16.5"/>
    <x v="3"/>
    <x v="0"/>
  </r>
  <r>
    <s v="HC-01267"/>
    <s v="P-1559"/>
    <s v="Female"/>
    <n v="27"/>
    <x v="1"/>
    <s v="Specialist Consultation"/>
    <d v="2024-12-20T00:00:00"/>
    <d v="2025-01-31T00:00:00"/>
    <s v="Friday"/>
    <s v="Afternoon"/>
    <x v="2"/>
    <n v="42"/>
    <n v="1"/>
    <x v="0"/>
    <x v="0"/>
    <s v="SMS"/>
    <n v="45"/>
    <x v="47"/>
    <x v="1"/>
  </r>
  <r>
    <s v="HC-01268"/>
    <s v="P-0122"/>
    <s v="Male"/>
    <n v="22"/>
    <x v="5"/>
    <s v="Diagnostic Test"/>
    <d v="2025-07-21T00:00:00"/>
    <d v="2025-07-23T00:00:00"/>
    <s v="Wednesday"/>
    <s v="Morning"/>
    <x v="1"/>
    <n v="2"/>
    <n v="3"/>
    <x v="0"/>
    <x v="0"/>
    <s v="SMS"/>
    <n v="3.3"/>
    <x v="23"/>
    <x v="1"/>
  </r>
  <r>
    <s v="HC-01269"/>
    <s v="P-0210"/>
    <s v="Male"/>
    <n v="72"/>
    <x v="4"/>
    <s v="Follow-up"/>
    <d v="2026-05-20T00:00:00"/>
    <d v="2026-06-05T00:00:00"/>
    <s v="Friday"/>
    <s v="Morning"/>
    <x v="3"/>
    <n v="16"/>
    <n v="2"/>
    <x v="0"/>
    <x v="0"/>
    <s v="SMS"/>
    <m/>
    <x v="14"/>
    <x v="0"/>
  </r>
  <r>
    <s v="HC-01270"/>
    <s v="P-0963"/>
    <s v="Male"/>
    <n v="25"/>
    <x v="1"/>
    <s v="General Consultation"/>
    <d v="2024-12-14T00:00:00"/>
    <d v="2025-01-27T00:00:00"/>
    <s v="Monday"/>
    <s v="Morning"/>
    <x v="2"/>
    <n v="44"/>
    <n v="3"/>
    <x v="0"/>
    <x v="0"/>
    <s v="Email"/>
    <n v="22.4"/>
    <x v="27"/>
    <x v="0"/>
  </r>
  <r>
    <s v="HC-01271"/>
    <s v="P-1438"/>
    <s v="Female"/>
    <n v="44"/>
    <x v="0"/>
    <s v="General Consultation"/>
    <d v="2025-06-21T00:00:00"/>
    <d v="2025-07-21T00:00:00"/>
    <s v="Monday"/>
    <s v="Evening"/>
    <x v="3"/>
    <n v="30"/>
    <n v="5"/>
    <x v="0"/>
    <x v="0"/>
    <s v="Email"/>
    <n v="4.5"/>
    <x v="1"/>
    <x v="1"/>
  </r>
  <r>
    <s v="HC-01272"/>
    <s v="P-0396"/>
    <s v="Female"/>
    <n v="60"/>
    <x v="3"/>
    <s v="Diagnostic Test"/>
    <d v="2025-01-14T00:00:00"/>
    <d v="2025-03-01T00:00:00"/>
    <s v="Saturday"/>
    <s v="Morning"/>
    <x v="2"/>
    <n v="46"/>
    <n v="3"/>
    <x v="2"/>
    <x v="0"/>
    <s v="SMS"/>
    <m/>
    <x v="31"/>
    <x v="0"/>
  </r>
  <r>
    <s v="HC-01273"/>
    <s v="P-0547"/>
    <s v="Female"/>
    <n v="50"/>
    <x v="2"/>
    <s v="Follow-up"/>
    <d v="2026-04-20T00:00:00"/>
    <d v="2026-05-24T00:00:00"/>
    <s v="Sunday"/>
    <s v="Afternoon"/>
    <x v="2"/>
    <n v="34"/>
    <n v="4"/>
    <x v="0"/>
    <x v="0"/>
    <s v="WhatsApp"/>
    <n v="4.5"/>
    <x v="47"/>
    <x v="1"/>
  </r>
  <r>
    <s v="HC-01274"/>
    <s v="P-0304"/>
    <s v="Male"/>
    <n v="34"/>
    <x v="1"/>
    <s v="Specialist Consultation"/>
    <d v="2025-11-14T00:00:00"/>
    <d v="2026-01-04T00:00:00"/>
    <s v="Sunday"/>
    <s v="Afternoon"/>
    <x v="2"/>
    <n v="51"/>
    <n v="5"/>
    <x v="1"/>
    <x v="1"/>
    <s v="None"/>
    <n v="25.6"/>
    <x v="36"/>
    <x v="0"/>
  </r>
  <r>
    <s v="HC-01275"/>
    <s v="P-1520"/>
    <s v="Male"/>
    <n v="24"/>
    <x v="5"/>
    <s v="Follow-up"/>
    <d v="2026-01-18T00:00:00"/>
    <d v="2026-02-21T00:00:00"/>
    <s v="Saturday"/>
    <s v="Evening"/>
    <x v="2"/>
    <n v="34"/>
    <n v="3"/>
    <x v="1"/>
    <x v="0"/>
    <s v="WhatsApp"/>
    <n v="14.7"/>
    <x v="8"/>
    <x v="1"/>
  </r>
  <r>
    <s v="HC-01276"/>
    <s v="P-0630"/>
    <s v="Female"/>
    <n v="62"/>
    <x v="3"/>
    <s v="General Consultation"/>
    <d v="2026-01-22T00:00:00"/>
    <d v="2026-01-25T00:00:00"/>
    <s v="Sunday"/>
    <s v="Morning"/>
    <x v="1"/>
    <n v="3"/>
    <n v="3"/>
    <x v="0"/>
    <x v="0"/>
    <s v="Email"/>
    <n v="4.5"/>
    <x v="12"/>
    <x v="1"/>
  </r>
  <r>
    <s v="HC-01277"/>
    <s v="P-0580"/>
    <s v="Female"/>
    <n v="48"/>
    <x v="2"/>
    <s v="Follow-up"/>
    <d v="2025-12-21T00:00:00"/>
    <d v="2025-12-25T00:00:00"/>
    <s v="Thursday"/>
    <s v="Morning"/>
    <x v="1"/>
    <n v="4"/>
    <n v="4"/>
    <x v="0"/>
    <x v="1"/>
    <s v="None"/>
    <n v="3.9"/>
    <x v="50"/>
    <x v="1"/>
  </r>
  <r>
    <s v="HC-01278"/>
    <s v="P-1310"/>
    <s v="Female"/>
    <n v="21"/>
    <x v="5"/>
    <s v="Specialist Consultation"/>
    <d v="2026-01-11T00:00:00"/>
    <d v="2026-02-27T00:00:00"/>
    <s v="Friday"/>
    <s v="Afternoon"/>
    <x v="2"/>
    <n v="47"/>
    <n v="4"/>
    <x v="0"/>
    <x v="0"/>
    <s v="SMS"/>
    <n v="4.3"/>
    <x v="3"/>
    <x v="0"/>
  </r>
  <r>
    <s v="HC-01279"/>
    <s v="P-0236"/>
    <s v="Female"/>
    <n v="29"/>
    <x v="1"/>
    <s v="Specialist Consultation"/>
    <d v="2025-01-03T00:00:00"/>
    <d v="2025-01-05T00:00:00"/>
    <s v="Sunday"/>
    <s v="Morning"/>
    <x v="1"/>
    <n v="2"/>
    <n v="4"/>
    <x v="1"/>
    <x v="1"/>
    <s v="None"/>
    <n v="6"/>
    <x v="12"/>
    <x v="1"/>
  </r>
  <r>
    <s v="HC-01280"/>
    <s v="P-0641"/>
    <s v="Female"/>
    <n v="53"/>
    <x v="2"/>
    <s v="General Consultation"/>
    <d v="2026-03-27T00:00:00"/>
    <d v="2026-04-18T00:00:00"/>
    <s v="Saturday"/>
    <s v="Afternoon"/>
    <x v="3"/>
    <n v="22"/>
    <n v="2"/>
    <x v="0"/>
    <x v="0"/>
    <s v="WhatsApp"/>
    <n v="16.899999999999999"/>
    <x v="6"/>
    <x v="1"/>
  </r>
  <r>
    <s v="HC-01281"/>
    <s v="P-0658"/>
    <s v="Male"/>
    <n v="28"/>
    <x v="1"/>
    <s v="Follow-up"/>
    <d v="2026-02-08T00:00:00"/>
    <d v="2026-02-08T00:00:00"/>
    <s v="Sunday"/>
    <s v="Morning"/>
    <x v="1"/>
    <n v="0"/>
    <n v="0"/>
    <x v="0"/>
    <x v="0"/>
    <s v="SMS"/>
    <n v="1.7"/>
    <x v="36"/>
    <x v="1"/>
  </r>
  <r>
    <s v="HC-01282"/>
    <s v="P-1358"/>
    <s v="Male"/>
    <n v="42"/>
    <x v="0"/>
    <s v="General Consultation"/>
    <d v="2026-01-21T00:00:00"/>
    <d v="2026-02-08T00:00:00"/>
    <s v="Sunday"/>
    <s v="Evening"/>
    <x v="3"/>
    <n v="18"/>
    <n v="2"/>
    <x v="0"/>
    <x v="0"/>
    <s v="WhatsApp"/>
    <n v="5.0999999999999996"/>
    <x v="51"/>
    <x v="1"/>
  </r>
  <r>
    <s v="HC-01283"/>
    <s v="P-0339"/>
    <s v="Female"/>
    <n v="25"/>
    <x v="1"/>
    <s v="Diagnostic Test"/>
    <d v="2025-06-28T00:00:00"/>
    <d v="2025-08-03T00:00:00"/>
    <s v="Sunday"/>
    <s v="Afternoon"/>
    <x v="2"/>
    <n v="36"/>
    <n v="2"/>
    <x v="0"/>
    <x v="1"/>
    <s v="None"/>
    <n v="14.9"/>
    <x v="19"/>
    <x v="1"/>
  </r>
  <r>
    <s v="HC-01284"/>
    <s v="P-1762"/>
    <s v="Female"/>
    <n v="68"/>
    <x v="4"/>
    <s v="General Consultation"/>
    <d v="2026-03-04T00:00:00"/>
    <d v="2026-03-14T00:00:00"/>
    <s v="Saturday"/>
    <s v="Morning"/>
    <x v="0"/>
    <n v="10"/>
    <n v="1"/>
    <x v="0"/>
    <x v="0"/>
    <s v="WhatsApp"/>
    <n v="15.2"/>
    <x v="2"/>
    <x v="1"/>
  </r>
  <r>
    <s v="HC-01285"/>
    <s v="P-0715"/>
    <s v="Female"/>
    <n v="57"/>
    <x v="3"/>
    <s v="Specialist Consultation"/>
    <d v="2025-06-30T00:00:00"/>
    <d v="2025-07-28T00:00:00"/>
    <s v="Monday"/>
    <s v="Afternoon"/>
    <x v="3"/>
    <n v="28"/>
    <n v="0"/>
    <x v="0"/>
    <x v="1"/>
    <s v="None"/>
    <n v="18.100000000000001"/>
    <x v="42"/>
    <x v="0"/>
  </r>
  <r>
    <s v="HC-01286"/>
    <s v="P-1700"/>
    <s v="Female"/>
    <n v="67"/>
    <x v="4"/>
    <s v="General Consultation"/>
    <d v="2024-11-28T00:00:00"/>
    <d v="2025-01-27T00:00:00"/>
    <s v="Monday"/>
    <s v="Afternoon"/>
    <x v="2"/>
    <n v="60"/>
    <n v="4"/>
    <x v="1"/>
    <x v="0"/>
    <s v="WhatsApp"/>
    <n v="2.6"/>
    <x v="20"/>
    <x v="0"/>
  </r>
  <r>
    <s v="HC-01287"/>
    <s v="P-0296"/>
    <s v="Male"/>
    <n v="21"/>
    <x v="5"/>
    <s v="Follow-up"/>
    <d v="2026-05-07T00:00:00"/>
    <d v="2026-05-11T00:00:00"/>
    <s v="Monday"/>
    <s v="Afternoon"/>
    <x v="1"/>
    <n v="4"/>
    <n v="2"/>
    <x v="1"/>
    <x v="0"/>
    <s v="SMS"/>
    <n v="6.9"/>
    <x v="7"/>
    <x v="1"/>
  </r>
  <r>
    <s v="HC-01288"/>
    <s v="P-0398"/>
    <s v="Female"/>
    <n v="41"/>
    <x v="0"/>
    <s v="Follow-up"/>
    <d v="2025-05-06T00:00:00"/>
    <d v="2025-05-09T00:00:00"/>
    <s v="Friday"/>
    <s v="Morning"/>
    <x v="1"/>
    <n v="3"/>
    <n v="3"/>
    <x v="2"/>
    <x v="0"/>
    <s v="SMS"/>
    <n v="4.8"/>
    <x v="16"/>
    <x v="1"/>
  </r>
  <r>
    <s v="HC-01289"/>
    <s v="P-0136"/>
    <s v="Prefer not to say"/>
    <n v="34"/>
    <x v="1"/>
    <s v="General Consultation"/>
    <d v="2025-02-09T00:00:00"/>
    <d v="2025-02-25T00:00:00"/>
    <s v="Tuesday"/>
    <s v="Morning"/>
    <x v="3"/>
    <n v="16"/>
    <n v="5"/>
    <x v="1"/>
    <x v="1"/>
    <s v="None"/>
    <n v="23.8"/>
    <x v="8"/>
    <x v="1"/>
  </r>
  <r>
    <s v="HC-01290"/>
    <s v="P-1676"/>
    <s v="Male"/>
    <n v="57"/>
    <x v="3"/>
    <s v="Specialist Consultation"/>
    <d v="2025-10-17T00:00:00"/>
    <d v="2025-12-06T00:00:00"/>
    <s v="Saturday"/>
    <s v="Afternoon"/>
    <x v="2"/>
    <n v="50"/>
    <n v="3"/>
    <x v="0"/>
    <x v="0"/>
    <s v="WhatsApp"/>
    <n v="9.1999999999999993"/>
    <x v="25"/>
    <x v="0"/>
  </r>
  <r>
    <s v="HC-01291"/>
    <s v="P-1150"/>
    <s v="Female"/>
    <n v="69"/>
    <x v="4"/>
    <s v="Diagnostic Test"/>
    <d v="2025-04-14T00:00:00"/>
    <d v="2025-05-08T00:00:00"/>
    <s v="Thursday"/>
    <s v="Morning"/>
    <x v="3"/>
    <n v="24"/>
    <n v="8"/>
    <x v="1"/>
    <x v="0"/>
    <s v="SMS"/>
    <n v="4"/>
    <x v="12"/>
    <x v="0"/>
  </r>
  <r>
    <s v="HC-01292"/>
    <s v="P-1555"/>
    <s v="Male"/>
    <n v="32"/>
    <x v="1"/>
    <s v="Specialist Consultation"/>
    <d v="2026-03-06T00:00:00"/>
    <d v="2026-04-14T00:00:00"/>
    <s v="Tuesday"/>
    <s v="Afternoon"/>
    <x v="2"/>
    <n v="39"/>
    <n v="5"/>
    <x v="0"/>
    <x v="1"/>
    <s v="None"/>
    <m/>
    <x v="26"/>
    <x v="0"/>
  </r>
  <r>
    <s v="HC-01293"/>
    <s v="P-0129"/>
    <s v="Male"/>
    <n v="66"/>
    <x v="4"/>
    <s v="General Consultation"/>
    <d v="2025-08-29T00:00:00"/>
    <d v="2025-08-31T00:00:00"/>
    <s v="Sunday"/>
    <s v="Morning"/>
    <x v="1"/>
    <n v="2"/>
    <n v="3"/>
    <x v="2"/>
    <x v="1"/>
    <s v="None"/>
    <n v="7.6"/>
    <x v="12"/>
    <x v="1"/>
  </r>
  <r>
    <s v="HC-01294"/>
    <s v="P-0051"/>
    <s v="Prefer not to say"/>
    <n v="54"/>
    <x v="2"/>
    <s v="Specialist Consultation"/>
    <d v="2024-11-20T00:00:00"/>
    <d v="2025-01-03T00:00:00"/>
    <s v="Friday"/>
    <s v="Afternoon"/>
    <x v="2"/>
    <n v="44"/>
    <n v="4"/>
    <x v="1"/>
    <x v="1"/>
    <s v="None"/>
    <n v="9.1"/>
    <x v="50"/>
    <x v="0"/>
  </r>
  <r>
    <s v="HC-01295"/>
    <s v="P-0930"/>
    <s v="Female"/>
    <n v="69"/>
    <x v="4"/>
    <s v="Follow-up"/>
    <d v="2026-05-31T00:00:00"/>
    <d v="2026-06-04T00:00:00"/>
    <s v="Thursday"/>
    <s v="Morning"/>
    <x v="1"/>
    <n v="4"/>
    <n v="5"/>
    <x v="0"/>
    <x v="1"/>
    <s v="None"/>
    <n v="26.3"/>
    <x v="24"/>
    <x v="1"/>
  </r>
  <r>
    <s v="HC-01296"/>
    <s v="P-1749"/>
    <s v="Prefer not to say"/>
    <n v="23"/>
    <x v="5"/>
    <s v="Follow-up"/>
    <d v="2025-08-26T00:00:00"/>
    <d v="2025-10-08T00:00:00"/>
    <s v="Wednesday"/>
    <s v="Afternoon"/>
    <x v="2"/>
    <n v="43"/>
    <n v="3"/>
    <x v="1"/>
    <x v="0"/>
    <s v="SMS"/>
    <n v="9.5"/>
    <x v="14"/>
    <x v="1"/>
  </r>
  <r>
    <s v="HC-01297"/>
    <s v="P-0625"/>
    <s v="Female"/>
    <n v="80"/>
    <x v="4"/>
    <s v="Follow-up"/>
    <d v="2025-05-15T00:00:00"/>
    <d v="2025-05-24T00:00:00"/>
    <s v="Saturday"/>
    <s v="Morning"/>
    <x v="0"/>
    <n v="9"/>
    <n v="4"/>
    <x v="0"/>
    <x v="0"/>
    <s v="SMS"/>
    <n v="19.2"/>
    <x v="10"/>
    <x v="1"/>
  </r>
  <r>
    <s v="HC-01298"/>
    <s v="P-1724"/>
    <s v="Female"/>
    <n v="45"/>
    <x v="2"/>
    <s v="Follow-up"/>
    <d v="2025-11-14T00:00:00"/>
    <d v="2026-01-05T00:00:00"/>
    <s v="Monday"/>
    <s v="Morning"/>
    <x v="2"/>
    <n v="52"/>
    <n v="0"/>
    <x v="0"/>
    <x v="0"/>
    <s v="WhatsApp"/>
    <n v="6.1"/>
    <x v="23"/>
    <x v="0"/>
  </r>
  <r>
    <s v="HC-01299"/>
    <s v="P-1543"/>
    <s v="Male"/>
    <n v="35"/>
    <x v="0"/>
    <s v="General Consultation"/>
    <d v="2025-09-29T00:00:00"/>
    <d v="2025-10-17T00:00:00"/>
    <s v="Friday"/>
    <s v="Morning"/>
    <x v="3"/>
    <n v="18"/>
    <n v="2"/>
    <x v="0"/>
    <x v="0"/>
    <s v="SMS"/>
    <n v="14.4"/>
    <x v="22"/>
    <x v="1"/>
  </r>
  <r>
    <s v="HC-01300"/>
    <s v="P-1336"/>
    <s v="Female"/>
    <n v="29"/>
    <x v="1"/>
    <s v="General Consultation"/>
    <d v="2025-01-06T00:00:00"/>
    <d v="2025-01-17T00:00:00"/>
    <s v="Friday"/>
    <s v="Afternoon"/>
    <x v="0"/>
    <n v="11"/>
    <n v="5"/>
    <x v="2"/>
    <x v="0"/>
    <s v="Email"/>
    <n v="10"/>
    <x v="10"/>
    <x v="1"/>
  </r>
  <r>
    <s v="HC-01301"/>
    <s v="P-1667"/>
    <s v="Female"/>
    <n v="80"/>
    <x v="4"/>
    <s v="General Consultation"/>
    <d v="2026-01-30T00:00:00"/>
    <d v="2026-02-19T00:00:00"/>
    <s v="Thursday"/>
    <s v="Morning"/>
    <x v="3"/>
    <n v="20"/>
    <n v="2"/>
    <x v="2"/>
    <x v="0"/>
    <s v="WhatsApp"/>
    <n v="16.2"/>
    <x v="13"/>
    <x v="1"/>
  </r>
  <r>
    <s v="HC-01302"/>
    <s v="P-1087"/>
    <s v="Female"/>
    <n v="73"/>
    <x v="4"/>
    <s v="General Consultation"/>
    <d v="2025-08-08T00:00:00"/>
    <d v="2025-08-08T00:00:00"/>
    <s v="Friday"/>
    <s v="Afternoon"/>
    <x v="1"/>
    <n v="0"/>
    <n v="4"/>
    <x v="0"/>
    <x v="1"/>
    <s v="None"/>
    <n v="9.1999999999999993"/>
    <x v="17"/>
    <x v="1"/>
  </r>
  <r>
    <s v="HC-01303"/>
    <s v="P-1114"/>
    <s v="Female"/>
    <n v="26"/>
    <x v="1"/>
    <s v="General Consultation"/>
    <d v="2026-01-08T00:00:00"/>
    <d v="2026-01-18T00:00:00"/>
    <s v="Sunday"/>
    <s v="Morning"/>
    <x v="0"/>
    <n v="10"/>
    <n v="5"/>
    <x v="1"/>
    <x v="0"/>
    <s v="SMS"/>
    <n v="9"/>
    <x v="12"/>
    <x v="0"/>
  </r>
  <r>
    <s v="HC-01304"/>
    <s v="P-1783"/>
    <s v="Female"/>
    <n v="46"/>
    <x v="2"/>
    <s v="General Consultation"/>
    <d v="2026-03-30T00:00:00"/>
    <d v="2026-05-05T00:00:00"/>
    <s v="Tuesday"/>
    <s v="Afternoon"/>
    <x v="2"/>
    <n v="36"/>
    <n v="4"/>
    <x v="0"/>
    <x v="1"/>
    <s v="None"/>
    <n v="18.600000000000001"/>
    <x v="31"/>
    <x v="0"/>
  </r>
  <r>
    <s v="HC-01305"/>
    <s v="P-0667"/>
    <s v="Female"/>
    <n v="64"/>
    <x v="3"/>
    <s v="Specialist Consultation"/>
    <d v="2025-11-12T00:00:00"/>
    <d v="2025-11-30T00:00:00"/>
    <s v="Sunday"/>
    <s v="Afternoon"/>
    <x v="3"/>
    <n v="18"/>
    <n v="6"/>
    <x v="2"/>
    <x v="0"/>
    <s v="WhatsApp"/>
    <n v="5"/>
    <x v="6"/>
    <x v="1"/>
  </r>
  <r>
    <s v="HC-01306"/>
    <s v="P-0352"/>
    <s v="Male"/>
    <n v="55"/>
    <x v="3"/>
    <s v="Follow-up"/>
    <d v="2025-12-12T00:00:00"/>
    <d v="2026-01-02T00:00:00"/>
    <s v="Friday"/>
    <s v="Morning"/>
    <x v="3"/>
    <n v="21"/>
    <n v="2"/>
    <x v="0"/>
    <x v="1"/>
    <s v="None"/>
    <n v="5.5"/>
    <x v="14"/>
    <x v="1"/>
  </r>
  <r>
    <s v="HC-01307"/>
    <s v="P-0956"/>
    <s v="Male"/>
    <n v="29"/>
    <x v="1"/>
    <s v="General Consultation"/>
    <d v="2025-04-01T00:00:00"/>
    <d v="2025-05-20T00:00:00"/>
    <s v="Tuesday"/>
    <s v="Morning"/>
    <x v="2"/>
    <n v="49"/>
    <n v="3"/>
    <x v="2"/>
    <x v="0"/>
    <s v="Email"/>
    <n v="29"/>
    <x v="19"/>
    <x v="0"/>
  </r>
  <r>
    <s v="HC-01308"/>
    <s v="P-1395"/>
    <s v="Female"/>
    <n v="40"/>
    <x v="0"/>
    <s v="Specialist Consultation"/>
    <d v="2025-05-03T00:00:00"/>
    <d v="2025-05-10T00:00:00"/>
    <s v="Saturday"/>
    <s v="Morning"/>
    <x v="1"/>
    <n v="7"/>
    <n v="2"/>
    <x v="1"/>
    <x v="0"/>
    <s v="WhatsApp"/>
    <n v="4.8"/>
    <x v="12"/>
    <x v="2"/>
  </r>
  <r>
    <s v="HC-01309"/>
    <s v="P-0318"/>
    <s v="Male"/>
    <n v="41"/>
    <x v="0"/>
    <s v="Diagnostic Test"/>
    <d v="2025-07-22T00:00:00"/>
    <d v="2025-08-15T00:00:00"/>
    <s v="Friday"/>
    <s v="Afternoon"/>
    <x v="3"/>
    <n v="24"/>
    <n v="3"/>
    <x v="0"/>
    <x v="0"/>
    <s v="SMS"/>
    <n v="6.3"/>
    <x v="47"/>
    <x v="1"/>
  </r>
  <r>
    <s v="HC-01310"/>
    <s v="P-1628"/>
    <s v="Male"/>
    <n v="36"/>
    <x v="0"/>
    <s v="Diagnostic Test"/>
    <d v="2026-03-31T00:00:00"/>
    <d v="2026-04-11T00:00:00"/>
    <s v="Saturday"/>
    <s v="Evening"/>
    <x v="0"/>
    <n v="11"/>
    <n v="6"/>
    <x v="0"/>
    <x v="0"/>
    <s v="SMS"/>
    <n v="4.8"/>
    <x v="4"/>
    <x v="1"/>
  </r>
  <r>
    <s v="HC-01311"/>
    <s v="P-1614"/>
    <s v="Male"/>
    <n v="78"/>
    <x v="4"/>
    <s v="Specialist Consultation"/>
    <d v="2025-09-15T00:00:00"/>
    <d v="2025-10-14T00:00:00"/>
    <s v="Tuesday"/>
    <s v="Morning"/>
    <x v="3"/>
    <n v="29"/>
    <n v="5"/>
    <x v="1"/>
    <x v="0"/>
    <s v="SMS"/>
    <n v="5.7"/>
    <x v="7"/>
    <x v="0"/>
  </r>
  <r>
    <s v="HC-01312"/>
    <s v="P-0900"/>
    <s v="Male"/>
    <n v="30"/>
    <x v="1"/>
    <s v="Diagnostic Test"/>
    <d v="2025-06-20T00:00:00"/>
    <d v="2025-07-10T00:00:00"/>
    <s v="Thursday"/>
    <s v="Afternoon"/>
    <x v="3"/>
    <n v="20"/>
    <n v="4"/>
    <x v="0"/>
    <x v="1"/>
    <s v="None"/>
    <n v="2.4"/>
    <x v="22"/>
    <x v="0"/>
  </r>
  <r>
    <s v="HC-01313"/>
    <s v="P-1636"/>
    <s v="Male"/>
    <n v="62"/>
    <x v="3"/>
    <s v="Follow-up"/>
    <d v="2026-02-28T00:00:00"/>
    <d v="2026-03-02T00:00:00"/>
    <s v="Monday"/>
    <s v="Afternoon"/>
    <x v="1"/>
    <n v="2"/>
    <n v="4"/>
    <x v="0"/>
    <x v="1"/>
    <s v="None"/>
    <n v="12.5"/>
    <x v="0"/>
    <x v="1"/>
  </r>
  <r>
    <s v="HC-01314"/>
    <s v="P-0537"/>
    <s v="Female"/>
    <n v="75"/>
    <x v="4"/>
    <s v="Diagnostic Test"/>
    <d v="2026-04-07T00:00:00"/>
    <d v="2026-04-11T00:00:00"/>
    <s v="Saturday"/>
    <s v="Afternoon"/>
    <x v="1"/>
    <n v="4"/>
    <n v="2"/>
    <x v="0"/>
    <x v="0"/>
    <s v="SMS"/>
    <n v="14"/>
    <x v="25"/>
    <x v="1"/>
  </r>
  <r>
    <s v="HC-01315"/>
    <s v="P-1493"/>
    <s v="Male"/>
    <n v="68"/>
    <x v="4"/>
    <s v="Diagnostic Test"/>
    <d v="2026-03-18T00:00:00"/>
    <d v="2026-05-08T00:00:00"/>
    <s v="Friday"/>
    <s v="Afternoon"/>
    <x v="2"/>
    <n v="51"/>
    <n v="4"/>
    <x v="1"/>
    <x v="0"/>
    <s v="Email"/>
    <n v="1.1000000000000001"/>
    <x v="37"/>
    <x v="0"/>
  </r>
  <r>
    <s v="HC-01316"/>
    <s v="P-0801"/>
    <s v="Male"/>
    <n v="68"/>
    <x v="4"/>
    <s v="General Consultation"/>
    <d v="2025-06-10T00:00:00"/>
    <d v="2025-06-13T00:00:00"/>
    <s v="Friday"/>
    <s v="Evening"/>
    <x v="1"/>
    <n v="3"/>
    <n v="5"/>
    <x v="1"/>
    <x v="0"/>
    <s v="WhatsApp"/>
    <n v="6.6"/>
    <x v="12"/>
    <x v="0"/>
  </r>
  <r>
    <s v="HC-01317"/>
    <s v="P-1503"/>
    <s v="Male"/>
    <n v="28"/>
    <x v="1"/>
    <s v="Specialist Consultation"/>
    <d v="2025-12-07T00:00:00"/>
    <d v="2026-01-23T00:00:00"/>
    <s v="Friday"/>
    <s v="Afternoon"/>
    <x v="2"/>
    <n v="47"/>
    <n v="1"/>
    <x v="0"/>
    <x v="0"/>
    <s v="WhatsApp"/>
    <m/>
    <x v="25"/>
    <x v="0"/>
  </r>
  <r>
    <s v="HC-01318"/>
    <s v="P-1750"/>
    <s v="Female"/>
    <n v="26"/>
    <x v="1"/>
    <s v="Specialist Consultation"/>
    <d v="2025-09-25T00:00:00"/>
    <d v="2025-11-19T00:00:00"/>
    <s v="Wednesday"/>
    <s v="Afternoon"/>
    <x v="2"/>
    <n v="55"/>
    <n v="2"/>
    <x v="0"/>
    <x v="0"/>
    <s v="WhatsApp"/>
    <n v="3.4"/>
    <x v="7"/>
    <x v="1"/>
  </r>
  <r>
    <s v="HC-01319"/>
    <s v="P-0197"/>
    <s v="Male"/>
    <n v="67"/>
    <x v="4"/>
    <s v="Specialist Consultation"/>
    <d v="2025-08-06T00:00:00"/>
    <d v="2025-09-03T00:00:00"/>
    <s v="Wednesday"/>
    <s v="Morning"/>
    <x v="3"/>
    <n v="28"/>
    <n v="1"/>
    <x v="0"/>
    <x v="0"/>
    <s v="WhatsApp"/>
    <n v="3.3"/>
    <x v="39"/>
    <x v="0"/>
  </r>
  <r>
    <s v="HC-01320"/>
    <s v="P-1337"/>
    <s v="Male"/>
    <n v="65"/>
    <x v="4"/>
    <s v="Diagnostic Test"/>
    <d v="2025-07-17T00:00:00"/>
    <d v="2025-08-05T00:00:00"/>
    <s v="Tuesday"/>
    <s v="Afternoon"/>
    <x v="3"/>
    <n v="19"/>
    <n v="3"/>
    <x v="1"/>
    <x v="0"/>
    <s v="SMS"/>
    <n v="6.4"/>
    <x v="38"/>
    <x v="1"/>
  </r>
  <r>
    <s v="HC-01321"/>
    <s v="P-0630"/>
    <s v="Female"/>
    <n v="64"/>
    <x v="3"/>
    <s v="General Consultation"/>
    <d v="2025-01-16T00:00:00"/>
    <d v="2025-03-04T00:00:00"/>
    <s v="Tuesday"/>
    <s v="Evening"/>
    <x v="2"/>
    <n v="47"/>
    <n v="2"/>
    <x v="0"/>
    <x v="0"/>
    <s v="SMS"/>
    <n v="18.399999999999999"/>
    <x v="22"/>
    <x v="0"/>
  </r>
  <r>
    <s v="HC-01322"/>
    <s v="P-0985"/>
    <s v="Male"/>
    <n v="44"/>
    <x v="0"/>
    <s v="General Consultation"/>
    <d v="2025-04-02T00:00:00"/>
    <d v="2025-05-31T00:00:00"/>
    <s v="Saturday"/>
    <s v="Evening"/>
    <x v="2"/>
    <n v="59"/>
    <n v="2"/>
    <x v="0"/>
    <x v="0"/>
    <s v="WhatsApp"/>
    <n v="10.3"/>
    <x v="7"/>
    <x v="0"/>
  </r>
  <r>
    <s v="HC-01323"/>
    <s v="P-1291"/>
    <s v="Male"/>
    <n v="50"/>
    <x v="2"/>
    <s v="Follow-up"/>
    <d v="2025-10-21T00:00:00"/>
    <d v="2025-10-28T00:00:00"/>
    <s v="Tuesday"/>
    <s v="Morning"/>
    <x v="1"/>
    <n v="7"/>
    <n v="3"/>
    <x v="2"/>
    <x v="0"/>
    <s v="WhatsApp"/>
    <n v="10.6"/>
    <x v="3"/>
    <x v="0"/>
  </r>
  <r>
    <s v="HC-01324"/>
    <s v="P-0199"/>
    <s v="Male"/>
    <n v="18"/>
    <x v="5"/>
    <s v="Specialist Consultation"/>
    <d v="2026-03-03T00:00:00"/>
    <d v="2026-04-30T00:00:00"/>
    <s v="Thursday"/>
    <s v="Afternoon"/>
    <x v="2"/>
    <n v="58"/>
    <n v="4"/>
    <x v="2"/>
    <x v="1"/>
    <s v="None"/>
    <n v="5.3"/>
    <x v="19"/>
    <x v="0"/>
  </r>
  <r>
    <s v="HC-01325"/>
    <s v="P-1346"/>
    <s v="Female"/>
    <n v="36"/>
    <x v="0"/>
    <s v="Specialist Consultation"/>
    <d v="2026-02-21T00:00:00"/>
    <d v="2026-04-19T00:00:00"/>
    <s v="Sunday"/>
    <s v="Morning"/>
    <x v="2"/>
    <n v="57"/>
    <n v="4"/>
    <x v="0"/>
    <x v="0"/>
    <s v="WhatsApp"/>
    <n v="3.4"/>
    <x v="18"/>
    <x v="0"/>
  </r>
  <r>
    <s v="HC-01326"/>
    <s v="P-1246"/>
    <s v="Male"/>
    <n v="51"/>
    <x v="2"/>
    <s v="Specialist Consultation"/>
    <d v="2025-04-05T00:00:00"/>
    <d v="2025-04-13T00:00:00"/>
    <s v="Sunday"/>
    <s v="Afternoon"/>
    <x v="0"/>
    <n v="8"/>
    <n v="4"/>
    <x v="1"/>
    <x v="0"/>
    <s v="WhatsApp"/>
    <n v="26.3"/>
    <x v="17"/>
    <x v="1"/>
  </r>
  <r>
    <s v="HC-01327"/>
    <s v="P-0931"/>
    <s v="Male"/>
    <n v="25"/>
    <x v="1"/>
    <s v="Specialist Consultation"/>
    <d v="2026-01-03T00:00:00"/>
    <d v="2026-01-06T00:00:00"/>
    <s v="Tuesday"/>
    <s v="Morning"/>
    <x v="1"/>
    <n v="3"/>
    <n v="4"/>
    <x v="0"/>
    <x v="0"/>
    <s v="Email"/>
    <n v="17.8"/>
    <x v="37"/>
    <x v="1"/>
  </r>
  <r>
    <s v="HC-01328"/>
    <s v="P-0477"/>
    <s v="Female"/>
    <n v="26"/>
    <x v="1"/>
    <s v="Diagnostic Test"/>
    <d v="2025-01-04T00:00:00"/>
    <d v="2025-02-16T00:00:00"/>
    <s v="Sunday"/>
    <s v="Afternoon"/>
    <x v="2"/>
    <n v="43"/>
    <n v="4"/>
    <x v="1"/>
    <x v="0"/>
    <s v="WhatsApp"/>
    <n v="17.100000000000001"/>
    <x v="18"/>
    <x v="0"/>
  </r>
  <r>
    <s v="HC-01329"/>
    <s v="P-0541"/>
    <s v="Male"/>
    <n v="20"/>
    <x v="5"/>
    <s v="General Consultation"/>
    <d v="2025-12-31T00:00:00"/>
    <d v="2026-01-04T00:00:00"/>
    <s v="Sunday"/>
    <s v="Morning"/>
    <x v="1"/>
    <n v="4"/>
    <n v="2"/>
    <x v="0"/>
    <x v="0"/>
    <s v="WhatsApp"/>
    <n v="10.7"/>
    <x v="8"/>
    <x v="1"/>
  </r>
  <r>
    <s v="HC-01330"/>
    <s v="P-1780"/>
    <s v="Female"/>
    <n v="31"/>
    <x v="1"/>
    <s v="Diagnostic Test"/>
    <d v="2025-05-31T00:00:00"/>
    <d v="2025-07-06T00:00:00"/>
    <s v="Sunday"/>
    <s v="Morning"/>
    <x v="2"/>
    <n v="36"/>
    <n v="1"/>
    <x v="0"/>
    <x v="1"/>
    <s v="None"/>
    <n v="16"/>
    <x v="54"/>
    <x v="0"/>
  </r>
  <r>
    <s v="HC-01331"/>
    <s v="P-1580"/>
    <s v="Male"/>
    <n v="80"/>
    <x v="4"/>
    <s v="General Consultation"/>
    <d v="2025-08-31T00:00:00"/>
    <d v="2025-09-03T00:00:00"/>
    <s v="Wednesday"/>
    <s v="Morning"/>
    <x v="1"/>
    <n v="3"/>
    <n v="7"/>
    <x v="3"/>
    <x v="0"/>
    <s v="SMS"/>
    <n v="13.3"/>
    <x v="47"/>
    <x v="1"/>
  </r>
  <r>
    <s v="HC-01332"/>
    <s v="P-0931"/>
    <s v="Male"/>
    <n v="61"/>
    <x v="3"/>
    <s v="Follow-up"/>
    <d v="2025-12-16T00:00:00"/>
    <d v="2026-01-27T00:00:00"/>
    <s v="Tuesday"/>
    <s v="Morning"/>
    <x v="2"/>
    <n v="42"/>
    <n v="2"/>
    <x v="0"/>
    <x v="1"/>
    <s v="None"/>
    <n v="4"/>
    <x v="21"/>
    <x v="0"/>
  </r>
  <r>
    <s v="HC-01333"/>
    <s v="P-1456"/>
    <s v="Male"/>
    <n v="77"/>
    <x v="4"/>
    <s v="General Consultation"/>
    <d v="2025-08-06T00:00:00"/>
    <d v="2025-08-20T00:00:00"/>
    <s v="Wednesday"/>
    <s v="Morning"/>
    <x v="0"/>
    <n v="14"/>
    <n v="6"/>
    <x v="1"/>
    <x v="0"/>
    <s v="WhatsApp"/>
    <n v="26.8"/>
    <x v="13"/>
    <x v="1"/>
  </r>
  <r>
    <s v="HC-01334"/>
    <s v="P-1106"/>
    <s v="Male"/>
    <n v="34"/>
    <x v="1"/>
    <s v="Follow-up"/>
    <d v="2026-03-12T00:00:00"/>
    <d v="2026-03-17T00:00:00"/>
    <s v="Tuesday"/>
    <s v="Afternoon"/>
    <x v="1"/>
    <n v="5"/>
    <n v="3"/>
    <x v="1"/>
    <x v="0"/>
    <s v="SMS"/>
    <n v="16.100000000000001"/>
    <x v="19"/>
    <x v="1"/>
  </r>
  <r>
    <s v="HC-01335"/>
    <s v="P-1033"/>
    <s v="Female"/>
    <n v="55"/>
    <x v="3"/>
    <s v="General Consultation"/>
    <d v="2025-10-15T00:00:00"/>
    <d v="2025-10-19T00:00:00"/>
    <s v="Sunday"/>
    <s v="Afternoon"/>
    <x v="1"/>
    <n v="4"/>
    <n v="9"/>
    <x v="1"/>
    <x v="0"/>
    <s v="WhatsApp"/>
    <n v="7.6"/>
    <x v="6"/>
    <x v="0"/>
  </r>
  <r>
    <s v="HC-01336"/>
    <s v="P-1799"/>
    <s v="Male"/>
    <n v="74"/>
    <x v="4"/>
    <s v="General Consultation"/>
    <d v="2026-06-19T00:00:00"/>
    <d v="2026-06-30T00:00:00"/>
    <s v="Tuesday"/>
    <s v="Afternoon"/>
    <x v="0"/>
    <n v="11"/>
    <n v="3"/>
    <x v="0"/>
    <x v="0"/>
    <s v="SMS"/>
    <n v="3.1"/>
    <x v="11"/>
    <x v="1"/>
  </r>
  <r>
    <s v="HC-01337"/>
    <s v="P-0084"/>
    <s v="Female"/>
    <n v="40"/>
    <x v="0"/>
    <s v="Follow-up"/>
    <d v="2025-11-13T00:00:00"/>
    <d v="2025-12-15T00:00:00"/>
    <s v="Monday"/>
    <s v="Afternoon"/>
    <x v="2"/>
    <n v="32"/>
    <n v="4"/>
    <x v="0"/>
    <x v="0"/>
    <s v="WhatsApp"/>
    <n v="3.3"/>
    <x v="4"/>
    <x v="0"/>
  </r>
  <r>
    <s v="HC-01338"/>
    <s v="P-1355"/>
    <s v="Male"/>
    <n v="59"/>
    <x v="3"/>
    <s v="Specialist Consultation"/>
    <d v="2025-06-07T00:00:00"/>
    <d v="2025-06-11T00:00:00"/>
    <s v="Wednesday"/>
    <s v="Morning"/>
    <x v="1"/>
    <n v="4"/>
    <n v="2"/>
    <x v="1"/>
    <x v="0"/>
    <s v="WhatsApp"/>
    <n v="10.7"/>
    <x v="5"/>
    <x v="0"/>
  </r>
  <r>
    <s v="HC-01339"/>
    <s v="P-0316"/>
    <s v="Female"/>
    <n v="61"/>
    <x v="3"/>
    <s v="General Consultation"/>
    <d v="2026-01-11T00:00:00"/>
    <d v="2026-02-28T00:00:00"/>
    <s v="Saturday"/>
    <s v="Afternoon"/>
    <x v="2"/>
    <n v="48"/>
    <n v="3"/>
    <x v="1"/>
    <x v="0"/>
    <s v="SMS"/>
    <n v="8"/>
    <x v="9"/>
    <x v="0"/>
  </r>
  <r>
    <s v="HC-01340"/>
    <s v="P-0876"/>
    <s v="Male"/>
    <n v="70"/>
    <x v="4"/>
    <s v="Follow-up"/>
    <d v="2025-07-06T00:00:00"/>
    <d v="2025-08-11T00:00:00"/>
    <s v="Monday"/>
    <s v="Afternoon"/>
    <x v="2"/>
    <n v="36"/>
    <n v="4"/>
    <x v="1"/>
    <x v="1"/>
    <s v="None"/>
    <n v="5.6"/>
    <x v="5"/>
    <x v="0"/>
  </r>
  <r>
    <s v="HC-01341"/>
    <s v="P-0979"/>
    <s v="Male"/>
    <n v="79"/>
    <x v="4"/>
    <s v="General Consultation"/>
    <d v="2025-10-01T00:00:00"/>
    <d v="2025-10-19T00:00:00"/>
    <s v="Sunday"/>
    <s v="Morning"/>
    <x v="3"/>
    <n v="18"/>
    <n v="4"/>
    <x v="1"/>
    <x v="0"/>
    <s v="SMS"/>
    <n v="10.4"/>
    <x v="55"/>
    <x v="1"/>
  </r>
  <r>
    <s v="HC-01342"/>
    <s v="P-0992"/>
    <s v="Female"/>
    <n v="56"/>
    <x v="3"/>
    <s v="General Consultation"/>
    <d v="2025-01-15T00:00:00"/>
    <d v="2025-03-16T00:00:00"/>
    <s v="Sunday"/>
    <s v="Afternoon"/>
    <x v="2"/>
    <n v="60"/>
    <n v="3"/>
    <x v="0"/>
    <x v="0"/>
    <s v="WhatsApp"/>
    <n v="8.6999999999999993"/>
    <x v="15"/>
    <x v="0"/>
  </r>
  <r>
    <s v="HC-01343"/>
    <s v="P-1379"/>
    <s v="Female"/>
    <n v="54"/>
    <x v="2"/>
    <s v="General Consultation"/>
    <d v="2025-01-26T00:00:00"/>
    <d v="2025-03-07T00:00:00"/>
    <s v="Friday"/>
    <s v="Afternoon"/>
    <x v="2"/>
    <n v="40"/>
    <n v="2"/>
    <x v="0"/>
    <x v="0"/>
    <s v="Email"/>
    <n v="7.3"/>
    <x v="39"/>
    <x v="0"/>
  </r>
  <r>
    <s v="HC-01344"/>
    <s v="P-1629"/>
    <s v="Female"/>
    <n v="72"/>
    <x v="4"/>
    <s v="Follow-up"/>
    <d v="2025-10-01T00:00:00"/>
    <d v="2025-11-10T00:00:00"/>
    <s v="Monday"/>
    <s v="Afternoon"/>
    <x v="2"/>
    <n v="40"/>
    <n v="3"/>
    <x v="0"/>
    <x v="0"/>
    <s v="SMS"/>
    <n v="3.5"/>
    <x v="4"/>
    <x v="1"/>
  </r>
  <r>
    <s v="HC-01345"/>
    <s v="P-0348"/>
    <s v="Female"/>
    <n v="61"/>
    <x v="3"/>
    <s v="Specialist Consultation"/>
    <d v="2025-04-02T00:00:00"/>
    <d v="2025-04-12T00:00:00"/>
    <s v="Saturday"/>
    <s v="Afternoon"/>
    <x v="0"/>
    <n v="10"/>
    <n v="1"/>
    <x v="0"/>
    <x v="0"/>
    <s v="WhatsApp"/>
    <n v="8.6999999999999993"/>
    <x v="8"/>
    <x v="1"/>
  </r>
  <r>
    <s v="HC-01346"/>
    <s v="P-1687"/>
    <s v="Female"/>
    <n v="40"/>
    <x v="0"/>
    <s v="Follow-up"/>
    <d v="2026-05-17T00:00:00"/>
    <d v="2026-06-29T00:00:00"/>
    <s v="Monday"/>
    <s v="Morning"/>
    <x v="2"/>
    <n v="43"/>
    <n v="3"/>
    <x v="1"/>
    <x v="0"/>
    <s v="SMS"/>
    <n v="20.100000000000001"/>
    <x v="20"/>
    <x v="1"/>
  </r>
  <r>
    <s v="HC-01347"/>
    <s v="P-0701"/>
    <s v="Male"/>
    <n v="57"/>
    <x v="3"/>
    <s v="Specialist Consultation"/>
    <d v="2026-03-10T00:00:00"/>
    <d v="2026-04-13T00:00:00"/>
    <s v="Monday"/>
    <s v="Afternoon"/>
    <x v="2"/>
    <n v="34"/>
    <n v="4"/>
    <x v="1"/>
    <x v="1"/>
    <s v="None"/>
    <n v="3.2"/>
    <x v="47"/>
    <x v="1"/>
  </r>
  <r>
    <s v="HC-01348"/>
    <s v="P-0872"/>
    <s v="Male"/>
    <n v="52"/>
    <x v="2"/>
    <s v="Follow-up"/>
    <d v="2025-11-19T00:00:00"/>
    <d v="2026-01-18T00:00:00"/>
    <s v="Sunday"/>
    <s v="Morning"/>
    <x v="2"/>
    <n v="60"/>
    <n v="3"/>
    <x v="0"/>
    <x v="1"/>
    <s v="None"/>
    <n v="19.2"/>
    <x v="8"/>
    <x v="0"/>
  </r>
  <r>
    <s v="HC-01349"/>
    <s v="P-0845"/>
    <s v="Male"/>
    <n v="32"/>
    <x v="1"/>
    <s v="Specialist Consultation"/>
    <d v="2026-01-08T00:00:00"/>
    <d v="2026-02-06T00:00:00"/>
    <s v="Friday"/>
    <s v="Evening"/>
    <x v="3"/>
    <n v="29"/>
    <n v="3"/>
    <x v="0"/>
    <x v="0"/>
    <s v="SMS"/>
    <n v="19.8"/>
    <x v="27"/>
    <x v="0"/>
  </r>
  <r>
    <s v="HC-01350"/>
    <s v="P-0626"/>
    <s v="Female"/>
    <n v="50"/>
    <x v="2"/>
    <s v="Diagnostic Test"/>
    <d v="2025-10-11T00:00:00"/>
    <d v="2025-11-21T00:00:00"/>
    <s v="Friday"/>
    <s v="Morning"/>
    <x v="2"/>
    <n v="41"/>
    <n v="3"/>
    <x v="1"/>
    <x v="1"/>
    <s v="None"/>
    <n v="10"/>
    <x v="9"/>
    <x v="1"/>
  </r>
  <r>
    <s v="HC-01351"/>
    <s v="P-0742"/>
    <s v="Female"/>
    <n v="57"/>
    <x v="3"/>
    <s v="General Consultation"/>
    <d v="2025-01-13T00:00:00"/>
    <d v="2025-02-02T00:00:00"/>
    <s v="Sunday"/>
    <s v="Afternoon"/>
    <x v="3"/>
    <n v="20"/>
    <n v="6"/>
    <x v="0"/>
    <x v="0"/>
    <s v="Email"/>
    <n v="10"/>
    <x v="4"/>
    <x v="1"/>
  </r>
  <r>
    <s v="HC-01352"/>
    <s v="P-1407"/>
    <s v="Female"/>
    <n v="74"/>
    <x v="4"/>
    <s v="General Consultation"/>
    <d v="2025-08-01T00:00:00"/>
    <d v="2025-08-03T00:00:00"/>
    <s v="Sunday"/>
    <s v="Afternoon"/>
    <x v="1"/>
    <n v="2"/>
    <n v="1"/>
    <x v="0"/>
    <x v="1"/>
    <s v="None"/>
    <n v="9.1999999999999993"/>
    <x v="23"/>
    <x v="0"/>
  </r>
  <r>
    <s v="HC-01353"/>
    <s v="P-0043"/>
    <s v="Male"/>
    <n v="54"/>
    <x v="2"/>
    <s v="General Consultation"/>
    <d v="2025-09-21T00:00:00"/>
    <d v="2025-09-28T00:00:00"/>
    <s v="Sunday"/>
    <s v="Morning"/>
    <x v="1"/>
    <n v="7"/>
    <n v="0"/>
    <x v="0"/>
    <x v="0"/>
    <s v="SMS"/>
    <n v="11.4"/>
    <x v="22"/>
    <x v="2"/>
  </r>
  <r>
    <s v="HC-01354"/>
    <s v="P-0287"/>
    <s v="Male"/>
    <n v="28"/>
    <x v="1"/>
    <s v="Follow-up"/>
    <d v="2026-03-24T00:00:00"/>
    <d v="2026-05-15T00:00:00"/>
    <s v="Friday"/>
    <s v="Morning"/>
    <x v="2"/>
    <n v="52"/>
    <n v="5"/>
    <x v="1"/>
    <x v="0"/>
    <s v="Email"/>
    <n v="6.6"/>
    <x v="25"/>
    <x v="0"/>
  </r>
  <r>
    <s v="HC-01355"/>
    <s v="P-0915"/>
    <s v="Male"/>
    <n v="80"/>
    <x v="4"/>
    <s v="Follow-up"/>
    <d v="2025-03-16T00:00:00"/>
    <d v="2025-04-30T00:00:00"/>
    <s v="Wednesday"/>
    <s v="Morning"/>
    <x v="2"/>
    <n v="45"/>
    <n v="1"/>
    <x v="0"/>
    <x v="0"/>
    <s v="SMS"/>
    <n v="13"/>
    <x v="35"/>
    <x v="0"/>
  </r>
  <r>
    <s v="HC-01356"/>
    <s v="P-0716"/>
    <s v="Female"/>
    <n v="54"/>
    <x v="2"/>
    <s v="General Consultation"/>
    <d v="2025-09-07T00:00:00"/>
    <d v="2025-09-29T00:00:00"/>
    <s v="Monday"/>
    <s v="Afternoon"/>
    <x v="3"/>
    <n v="22"/>
    <n v="3"/>
    <x v="2"/>
    <x v="1"/>
    <s v="None"/>
    <n v="1.4"/>
    <x v="36"/>
    <x v="0"/>
  </r>
  <r>
    <s v="HC-01357"/>
    <s v="P-1224"/>
    <s v="Male"/>
    <n v="36"/>
    <x v="0"/>
    <s v="Diagnostic Test"/>
    <d v="2025-05-26T00:00:00"/>
    <d v="2025-07-07T00:00:00"/>
    <s v="Monday"/>
    <s v="Evening"/>
    <x v="2"/>
    <n v="42"/>
    <n v="1"/>
    <x v="0"/>
    <x v="1"/>
    <s v="None"/>
    <n v="32.1"/>
    <x v="4"/>
    <x v="1"/>
  </r>
  <r>
    <s v="HC-01358"/>
    <s v="P-0039"/>
    <s v="Male"/>
    <n v="65"/>
    <x v="4"/>
    <s v="Diagnostic Test"/>
    <d v="2025-03-15T00:00:00"/>
    <d v="2025-03-15T00:00:00"/>
    <s v="Saturday"/>
    <s v="Morning"/>
    <x v="1"/>
    <n v="0"/>
    <n v="2"/>
    <x v="0"/>
    <x v="0"/>
    <s v="SMS"/>
    <n v="14.6"/>
    <x v="44"/>
    <x v="1"/>
  </r>
  <r>
    <s v="HC-01359"/>
    <s v="P-0548"/>
    <s v="Female"/>
    <n v="42"/>
    <x v="0"/>
    <s v="General Consultation"/>
    <d v="2025-02-24T00:00:00"/>
    <d v="2025-02-26T00:00:00"/>
    <s v="Wednesday"/>
    <s v="Afternoon"/>
    <x v="1"/>
    <n v="2"/>
    <n v="2"/>
    <x v="0"/>
    <x v="0"/>
    <s v="WhatsApp"/>
    <n v="10.5"/>
    <x v="47"/>
    <x v="0"/>
  </r>
  <r>
    <s v="HC-01360"/>
    <s v="P-1510"/>
    <s v="Male"/>
    <n v="41"/>
    <x v="0"/>
    <s v="General Consultation"/>
    <d v="2025-06-19T00:00:00"/>
    <d v="2025-07-19T00:00:00"/>
    <s v="Saturday"/>
    <s v="Afternoon"/>
    <x v="3"/>
    <n v="30"/>
    <n v="2"/>
    <x v="1"/>
    <x v="1"/>
    <s v="None"/>
    <n v="14.3"/>
    <x v="20"/>
    <x v="1"/>
  </r>
  <r>
    <s v="HC-01361"/>
    <s v="P-0462"/>
    <s v="Male"/>
    <n v="70"/>
    <x v="4"/>
    <s v="General Consultation"/>
    <d v="2025-01-08T00:00:00"/>
    <d v="2025-02-15T00:00:00"/>
    <s v="Saturday"/>
    <s v="Afternoon"/>
    <x v="2"/>
    <n v="38"/>
    <n v="1"/>
    <x v="0"/>
    <x v="0"/>
    <s v="WhatsApp"/>
    <n v="9.3000000000000007"/>
    <x v="19"/>
    <x v="0"/>
  </r>
  <r>
    <s v="HC-01362"/>
    <s v="P-0088"/>
    <s v="Female"/>
    <n v="72"/>
    <x v="4"/>
    <s v="General Consultation"/>
    <d v="2024-12-11T00:00:00"/>
    <d v="2025-02-06T00:00:00"/>
    <s v="Thursday"/>
    <s v="Afternoon"/>
    <x v="2"/>
    <n v="57"/>
    <n v="4"/>
    <x v="1"/>
    <x v="0"/>
    <s v="SMS"/>
    <n v="13.6"/>
    <x v="15"/>
    <x v="0"/>
  </r>
  <r>
    <s v="HC-01363"/>
    <s v="P-0437"/>
    <s v="Male"/>
    <n v="51"/>
    <x v="2"/>
    <s v="Specialist Consultation"/>
    <d v="2025-05-26T00:00:00"/>
    <d v="2025-07-11T00:00:00"/>
    <s v="Friday"/>
    <s v="Morning"/>
    <x v="2"/>
    <n v="46"/>
    <n v="4"/>
    <x v="1"/>
    <x v="1"/>
    <s v="None"/>
    <n v="9.3000000000000007"/>
    <x v="14"/>
    <x v="2"/>
  </r>
  <r>
    <s v="HC-01364"/>
    <s v="P-0984"/>
    <s v="Male"/>
    <n v="41"/>
    <x v="0"/>
    <s v="Follow-up"/>
    <d v="2025-04-06T00:00:00"/>
    <d v="2025-04-21T00:00:00"/>
    <s v="Monday"/>
    <s v="Morning"/>
    <x v="3"/>
    <n v="15"/>
    <n v="2"/>
    <x v="0"/>
    <x v="0"/>
    <s v="WhatsApp"/>
    <n v="6.7"/>
    <x v="8"/>
    <x v="0"/>
  </r>
  <r>
    <s v="HC-01365"/>
    <s v="P-1050"/>
    <s v="Male"/>
    <n v="72"/>
    <x v="4"/>
    <s v="General Consultation"/>
    <d v="2025-09-11T00:00:00"/>
    <d v="2025-10-30T00:00:00"/>
    <s v="Thursday"/>
    <s v="Morning"/>
    <x v="2"/>
    <n v="49"/>
    <n v="1"/>
    <x v="0"/>
    <x v="0"/>
    <s v="SMS"/>
    <n v="12.1"/>
    <x v="7"/>
    <x v="0"/>
  </r>
  <r>
    <s v="HC-01366"/>
    <s v="P-1790"/>
    <s v="Female"/>
    <n v="28"/>
    <x v="1"/>
    <s v="Follow-up"/>
    <d v="2024-12-12T00:00:00"/>
    <d v="2025-01-10T00:00:00"/>
    <s v="Friday"/>
    <s v="Morning"/>
    <x v="3"/>
    <n v="29"/>
    <n v="3"/>
    <x v="0"/>
    <x v="0"/>
    <s v="Email"/>
    <n v="10.6"/>
    <x v="19"/>
    <x v="0"/>
  </r>
  <r>
    <s v="HC-01367"/>
    <s v="P-1743"/>
    <s v="Female"/>
    <n v="65"/>
    <x v="4"/>
    <s v="General Consultation"/>
    <d v="2025-04-25T00:00:00"/>
    <d v="2025-06-14T00:00:00"/>
    <s v="Saturday"/>
    <s v="Afternoon"/>
    <x v="2"/>
    <n v="50"/>
    <n v="1"/>
    <x v="0"/>
    <x v="0"/>
    <s v="SMS"/>
    <n v="12.8"/>
    <x v="46"/>
    <x v="1"/>
  </r>
  <r>
    <s v="HC-01368"/>
    <s v="P-0588"/>
    <s v="Male"/>
    <n v="54"/>
    <x v="2"/>
    <s v="General Consultation"/>
    <d v="2025-08-26T00:00:00"/>
    <d v="2025-09-05T00:00:00"/>
    <s v="Friday"/>
    <s v="Afternoon"/>
    <x v="0"/>
    <n v="10"/>
    <n v="1"/>
    <x v="0"/>
    <x v="0"/>
    <s v="WhatsApp"/>
    <n v="6"/>
    <x v="19"/>
    <x v="1"/>
  </r>
  <r>
    <s v="HC-01369"/>
    <s v="P-0232"/>
    <s v="Female"/>
    <n v="71"/>
    <x v="4"/>
    <s v="General Consultation"/>
    <d v="2026-06-09T00:00:00"/>
    <d v="2026-06-10T00:00:00"/>
    <s v="Wednesday"/>
    <s v="Morning"/>
    <x v="1"/>
    <n v="1"/>
    <n v="2"/>
    <x v="0"/>
    <x v="1"/>
    <s v="None"/>
    <n v="1.9"/>
    <x v="34"/>
    <x v="1"/>
  </r>
  <r>
    <s v="HC-01370"/>
    <s v="P-1446"/>
    <s v="Female"/>
    <n v="44"/>
    <x v="0"/>
    <s v="Follow-up"/>
    <d v="2025-12-10T00:00:00"/>
    <d v="2025-12-13T00:00:00"/>
    <s v="Saturday"/>
    <s v="Evening"/>
    <x v="1"/>
    <n v="3"/>
    <n v="2"/>
    <x v="2"/>
    <x v="1"/>
    <s v="None"/>
    <n v="10.1"/>
    <x v="51"/>
    <x v="1"/>
  </r>
  <r>
    <s v="HC-01371"/>
    <s v="P-1602"/>
    <s v="Female"/>
    <n v="70"/>
    <x v="4"/>
    <s v="Follow-up"/>
    <d v="2026-02-25T00:00:00"/>
    <d v="2026-04-26T00:00:00"/>
    <s v="Sunday"/>
    <s v="Morning"/>
    <x v="2"/>
    <n v="60"/>
    <n v="6"/>
    <x v="1"/>
    <x v="0"/>
    <s v="Email"/>
    <n v="14.1"/>
    <x v="38"/>
    <x v="1"/>
  </r>
  <r>
    <s v="HC-01372"/>
    <s v="P-0243"/>
    <s v="Female"/>
    <n v="18"/>
    <x v="5"/>
    <s v="Specialist Consultation"/>
    <d v="2025-07-03T00:00:00"/>
    <d v="2025-07-07T00:00:00"/>
    <s v="Monday"/>
    <s v="Morning"/>
    <x v="1"/>
    <n v="4"/>
    <n v="8"/>
    <x v="2"/>
    <x v="1"/>
    <s v="None"/>
    <n v="26.7"/>
    <x v="5"/>
    <x v="0"/>
  </r>
  <r>
    <s v="HC-01373"/>
    <s v="P-1582"/>
    <s v="Male"/>
    <n v="65"/>
    <x v="4"/>
    <s v="General Consultation"/>
    <d v="2025-07-08T00:00:00"/>
    <d v="2025-09-03T00:00:00"/>
    <s v="Wednesday"/>
    <s v="Evening"/>
    <x v="2"/>
    <n v="57"/>
    <n v="2"/>
    <x v="1"/>
    <x v="0"/>
    <s v="WhatsApp"/>
    <n v="11.9"/>
    <x v="18"/>
    <x v="0"/>
  </r>
  <r>
    <s v="HC-01374"/>
    <s v="P-0233"/>
    <s v="Male"/>
    <n v="22"/>
    <x v="5"/>
    <s v="Specialist Consultation"/>
    <d v="2025-07-05T00:00:00"/>
    <d v="2025-08-18T00:00:00"/>
    <s v="Monday"/>
    <s v="Evening"/>
    <x v="2"/>
    <n v="44"/>
    <n v="3"/>
    <x v="0"/>
    <x v="0"/>
    <s v="WhatsApp"/>
    <n v="4.5"/>
    <x v="15"/>
    <x v="0"/>
  </r>
  <r>
    <s v="HC-01375"/>
    <s v="P-1154"/>
    <s v="Female"/>
    <n v="58"/>
    <x v="3"/>
    <s v="General Consultation"/>
    <d v="2026-04-22T00:00:00"/>
    <d v="2026-04-30T00:00:00"/>
    <s v="Thursday"/>
    <s v="Afternoon"/>
    <x v="0"/>
    <n v="8"/>
    <n v="2"/>
    <x v="0"/>
    <x v="0"/>
    <s v="WhatsApp"/>
    <n v="18.600000000000001"/>
    <x v="3"/>
    <x v="0"/>
  </r>
  <r>
    <s v="HC-01376"/>
    <s v="P-0408"/>
    <s v="Male"/>
    <n v="30"/>
    <x v="1"/>
    <s v="General Consultation"/>
    <d v="2026-04-17T00:00:00"/>
    <d v="2026-06-08T00:00:00"/>
    <s v="Monday"/>
    <s v="Morning"/>
    <x v="2"/>
    <n v="52"/>
    <n v="7"/>
    <x v="2"/>
    <x v="0"/>
    <s v="SMS"/>
    <n v="9.6"/>
    <x v="29"/>
    <x v="0"/>
  </r>
  <r>
    <s v="HC-01377"/>
    <s v="P-1326"/>
    <s v="Female"/>
    <n v="78"/>
    <x v="4"/>
    <s v="Specialist Consultation"/>
    <d v="2026-06-02T00:00:00"/>
    <d v="2026-06-10T00:00:00"/>
    <s v="Wednesday"/>
    <s v="Morning"/>
    <x v="0"/>
    <n v="8"/>
    <n v="2"/>
    <x v="0"/>
    <x v="0"/>
    <s v="Email"/>
    <n v="18.7"/>
    <x v="31"/>
    <x v="1"/>
  </r>
  <r>
    <s v="HC-01378"/>
    <s v="P-1444"/>
    <s v="Female"/>
    <n v="66"/>
    <x v="4"/>
    <s v="Follow-up"/>
    <d v="2026-02-07T00:00:00"/>
    <d v="2026-02-15T00:00:00"/>
    <s v="Sunday"/>
    <s v="Morning"/>
    <x v="0"/>
    <n v="8"/>
    <n v="6"/>
    <x v="2"/>
    <x v="0"/>
    <s v="SMS"/>
    <n v="5.8"/>
    <x v="25"/>
    <x v="1"/>
  </r>
  <r>
    <s v="HC-01379"/>
    <s v="P-1483"/>
    <s v="Female"/>
    <n v="24"/>
    <x v="5"/>
    <s v="General Consultation"/>
    <d v="2025-08-28T00:00:00"/>
    <d v="2025-10-02T00:00:00"/>
    <s v="Thursday"/>
    <s v="Afternoon"/>
    <x v="2"/>
    <n v="35"/>
    <n v="0"/>
    <x v="0"/>
    <x v="1"/>
    <s v="None"/>
    <n v="8.1999999999999993"/>
    <x v="14"/>
    <x v="0"/>
  </r>
  <r>
    <s v="HC-01380"/>
    <s v="P-1128"/>
    <s v="Female"/>
    <n v="74"/>
    <x v="4"/>
    <s v="Follow-up"/>
    <d v="2025-10-06T00:00:00"/>
    <d v="2025-10-23T00:00:00"/>
    <s v="Thursday"/>
    <s v="Morning"/>
    <x v="3"/>
    <n v="17"/>
    <n v="3"/>
    <x v="2"/>
    <x v="0"/>
    <s v="SMS"/>
    <n v="14.8"/>
    <x v="23"/>
    <x v="1"/>
  </r>
  <r>
    <s v="HC-01381"/>
    <s v="P-0943"/>
    <s v="Female"/>
    <n v="33"/>
    <x v="1"/>
    <s v="Specialist Consultation"/>
    <d v="2026-06-03T00:00:00"/>
    <d v="2026-06-20T00:00:00"/>
    <s v="Saturday"/>
    <s v="Afternoon"/>
    <x v="3"/>
    <n v="17"/>
    <n v="1"/>
    <x v="0"/>
    <x v="0"/>
    <s v="SMS"/>
    <n v="16"/>
    <x v="26"/>
    <x v="0"/>
  </r>
  <r>
    <s v="HC-01382"/>
    <s v="P-1497"/>
    <s v="Male"/>
    <n v="52"/>
    <x v="2"/>
    <s v="Diagnostic Test"/>
    <d v="2025-05-25T00:00:00"/>
    <d v="2025-06-05T00:00:00"/>
    <s v="Thursday"/>
    <s v="Morning"/>
    <x v="0"/>
    <n v="11"/>
    <n v="2"/>
    <x v="1"/>
    <x v="1"/>
    <s v="None"/>
    <n v="11.2"/>
    <x v="13"/>
    <x v="1"/>
  </r>
  <r>
    <s v="HC-01383"/>
    <s v="P-1683"/>
    <s v="Female"/>
    <n v="23"/>
    <x v="5"/>
    <s v="Follow-up"/>
    <d v="2025-06-02T00:00:00"/>
    <d v="2025-07-09T00:00:00"/>
    <s v="Wednesday"/>
    <s v="Afternoon"/>
    <x v="2"/>
    <n v="37"/>
    <n v="3"/>
    <x v="0"/>
    <x v="0"/>
    <s v="WhatsApp"/>
    <n v="12.6"/>
    <x v="28"/>
    <x v="0"/>
  </r>
  <r>
    <s v="HC-01384"/>
    <s v="P-0515"/>
    <s v="Male"/>
    <n v="24"/>
    <x v="5"/>
    <s v="General Consultation"/>
    <d v="2026-05-04T00:00:00"/>
    <d v="2026-05-05T00:00:00"/>
    <s v="Tuesday"/>
    <s v="Morning"/>
    <x v="1"/>
    <n v="1"/>
    <n v="3"/>
    <x v="0"/>
    <x v="0"/>
    <s v="SMS"/>
    <n v="15.7"/>
    <x v="20"/>
    <x v="1"/>
  </r>
  <r>
    <s v="HC-01385"/>
    <s v="P-0340"/>
    <s v="Female"/>
    <n v="33"/>
    <x v="1"/>
    <s v="Follow-up"/>
    <d v="2025-07-16T00:00:00"/>
    <d v="2025-07-30T00:00:00"/>
    <s v="Wednesday"/>
    <s v="Afternoon"/>
    <x v="0"/>
    <n v="14"/>
    <n v="4"/>
    <x v="0"/>
    <x v="0"/>
    <s v="SMS"/>
    <n v="8.8000000000000007"/>
    <x v="20"/>
    <x v="1"/>
  </r>
  <r>
    <s v="HC-01386"/>
    <s v="P-0315"/>
    <s v="Male"/>
    <n v="51"/>
    <x v="2"/>
    <s v="General Consultation"/>
    <d v="2025-04-06T00:00:00"/>
    <d v="2025-05-09T00:00:00"/>
    <s v="Friday"/>
    <s v="Afternoon"/>
    <x v="2"/>
    <n v="33"/>
    <n v="4"/>
    <x v="1"/>
    <x v="0"/>
    <s v="SMS"/>
    <n v="9.6999999999999993"/>
    <x v="29"/>
    <x v="0"/>
  </r>
  <r>
    <s v="HC-01387"/>
    <s v="P-1196"/>
    <s v="Male"/>
    <n v="52"/>
    <x v="2"/>
    <s v="General Consultation"/>
    <d v="2025-10-05T00:00:00"/>
    <d v="2025-11-03T00:00:00"/>
    <s v="Monday"/>
    <s v="Evening"/>
    <x v="3"/>
    <n v="29"/>
    <n v="1"/>
    <x v="0"/>
    <x v="0"/>
    <s v="Email"/>
    <n v="26.3"/>
    <x v="4"/>
    <x v="2"/>
  </r>
  <r>
    <s v="HC-01388"/>
    <s v="P-0986"/>
    <s v="Female"/>
    <n v="71"/>
    <x v="4"/>
    <s v="Follow-up"/>
    <d v="2025-05-16T00:00:00"/>
    <d v="2025-06-27T00:00:00"/>
    <s v="Friday"/>
    <s v="Evening"/>
    <x v="2"/>
    <n v="42"/>
    <n v="3"/>
    <x v="0"/>
    <x v="0"/>
    <s v="Email"/>
    <n v="5.9"/>
    <x v="4"/>
    <x v="0"/>
  </r>
  <r>
    <s v="HC-01389"/>
    <s v="P-0854"/>
    <s v="Male"/>
    <n v="28"/>
    <x v="1"/>
    <s v="Specialist Consultation"/>
    <d v="2026-04-19T00:00:00"/>
    <d v="2026-05-02T00:00:00"/>
    <s v="Saturday"/>
    <s v="Afternoon"/>
    <x v="0"/>
    <n v="13"/>
    <n v="2"/>
    <x v="0"/>
    <x v="0"/>
    <s v="SMS"/>
    <n v="2.7"/>
    <x v="27"/>
    <x v="1"/>
  </r>
  <r>
    <s v="HC-01390"/>
    <s v="P-0063"/>
    <s v="Male"/>
    <n v="65"/>
    <x v="4"/>
    <s v="General Consultation"/>
    <d v="2026-04-03T00:00:00"/>
    <d v="2026-05-12T00:00:00"/>
    <s v="Tuesday"/>
    <s v="Morning"/>
    <x v="2"/>
    <n v="39"/>
    <n v="1"/>
    <x v="0"/>
    <x v="0"/>
    <s v="Email"/>
    <n v="9.6999999999999993"/>
    <x v="5"/>
    <x v="0"/>
  </r>
  <r>
    <s v="HC-01391"/>
    <s v="P-0431"/>
    <s v="Female"/>
    <n v="18"/>
    <x v="5"/>
    <s v="Specialist Consultation"/>
    <d v="2025-05-02T00:00:00"/>
    <d v="2025-06-17T00:00:00"/>
    <s v="Tuesday"/>
    <s v="Evening"/>
    <x v="2"/>
    <n v="46"/>
    <n v="3"/>
    <x v="0"/>
    <x v="0"/>
    <s v="WhatsApp"/>
    <n v="9.6"/>
    <x v="18"/>
    <x v="1"/>
  </r>
  <r>
    <s v="HC-01392"/>
    <s v="P-0878"/>
    <s v="Male"/>
    <n v="36"/>
    <x v="0"/>
    <s v="Specialist Consultation"/>
    <d v="2025-09-24T00:00:00"/>
    <d v="2025-10-17T00:00:00"/>
    <s v="Friday"/>
    <s v="Evening"/>
    <x v="3"/>
    <n v="23"/>
    <n v="1"/>
    <x v="0"/>
    <x v="0"/>
    <s v="SMS"/>
    <n v="3.5"/>
    <x v="13"/>
    <x v="1"/>
  </r>
  <r>
    <s v="HC-01393"/>
    <s v="P-0586"/>
    <s v="Male"/>
    <n v="29"/>
    <x v="1"/>
    <s v="Specialist Consultation"/>
    <d v="2026-06-07T00:00:00"/>
    <d v="2026-06-22T00:00:00"/>
    <s v="Monday"/>
    <s v="Evening"/>
    <x v="3"/>
    <n v="15"/>
    <n v="5"/>
    <x v="2"/>
    <x v="0"/>
    <s v="WhatsApp"/>
    <n v="9.1999999999999993"/>
    <x v="18"/>
    <x v="1"/>
  </r>
  <r>
    <s v="HC-01394"/>
    <s v="P-1726"/>
    <s v="Female"/>
    <n v="25"/>
    <x v="1"/>
    <s v="General Consultation"/>
    <d v="2026-01-08T00:00:00"/>
    <d v="2026-02-10T00:00:00"/>
    <s v="Tuesday"/>
    <s v="Afternoon"/>
    <x v="2"/>
    <n v="33"/>
    <n v="4"/>
    <x v="1"/>
    <x v="0"/>
    <s v="WhatsApp"/>
    <n v="2.8"/>
    <x v="10"/>
    <x v="0"/>
  </r>
  <r>
    <s v="HC-01395"/>
    <s v="P-0888"/>
    <s v="Male"/>
    <n v="54"/>
    <x v="2"/>
    <s v="General Consultation"/>
    <d v="2025-03-24T00:00:00"/>
    <d v="2025-04-28T00:00:00"/>
    <s v="Monday"/>
    <s v="Morning"/>
    <x v="2"/>
    <n v="35"/>
    <n v="3"/>
    <x v="0"/>
    <x v="0"/>
    <s v="WhatsApp"/>
    <n v="5.6"/>
    <x v="12"/>
    <x v="0"/>
  </r>
  <r>
    <s v="HC-01396"/>
    <s v="P-1168"/>
    <s v="Female"/>
    <n v="74"/>
    <x v="4"/>
    <s v="General Consultation"/>
    <d v="2025-11-14T00:00:00"/>
    <d v="2025-11-19T00:00:00"/>
    <s v="Wednesday"/>
    <s v="Afternoon"/>
    <x v="1"/>
    <n v="5"/>
    <n v="5"/>
    <x v="2"/>
    <x v="1"/>
    <s v="None"/>
    <n v="11.8"/>
    <x v="29"/>
    <x v="0"/>
  </r>
  <r>
    <s v="HC-01397"/>
    <s v="P-1627"/>
    <s v="Male"/>
    <n v="60"/>
    <x v="3"/>
    <s v="General Consultation"/>
    <d v="2025-11-01T00:00:00"/>
    <d v="2025-12-05T00:00:00"/>
    <s v="Friday"/>
    <s v="Morning"/>
    <x v="2"/>
    <n v="34"/>
    <n v="4"/>
    <x v="2"/>
    <x v="1"/>
    <s v="None"/>
    <n v="2.9"/>
    <x v="22"/>
    <x v="0"/>
  </r>
  <r>
    <s v="HC-01398"/>
    <s v="P-0911"/>
    <s v="Male"/>
    <n v="71"/>
    <x v="4"/>
    <s v="General Consultation"/>
    <d v="2025-12-14T00:00:00"/>
    <d v="2025-12-23T00:00:00"/>
    <s v="Tuesday"/>
    <s v="Morning"/>
    <x v="0"/>
    <n v="9"/>
    <n v="3"/>
    <x v="0"/>
    <x v="0"/>
    <s v="WhatsApp"/>
    <n v="7.5"/>
    <x v="22"/>
    <x v="0"/>
  </r>
  <r>
    <s v="HC-01399"/>
    <s v="P-0139"/>
    <s v="Prefer not to say"/>
    <n v="55"/>
    <x v="3"/>
    <s v="General Consultation"/>
    <d v="2024-12-11T00:00:00"/>
    <d v="2025-01-14T00:00:00"/>
    <s v="Tuesday"/>
    <s v="Morning"/>
    <x v="2"/>
    <n v="34"/>
    <n v="3"/>
    <x v="0"/>
    <x v="0"/>
    <s v="SMS"/>
    <n v="1.4"/>
    <x v="51"/>
    <x v="0"/>
  </r>
  <r>
    <s v="HC-01400"/>
    <s v="P-0354"/>
    <s v="Male"/>
    <n v="21"/>
    <x v="5"/>
    <s v="General Consultation"/>
    <d v="2025-04-18T00:00:00"/>
    <d v="2025-06-13T00:00:00"/>
    <s v="Friday"/>
    <s v="Afternoon"/>
    <x v="2"/>
    <n v="56"/>
    <n v="6"/>
    <x v="0"/>
    <x v="1"/>
    <s v="None"/>
    <n v="6"/>
    <x v="19"/>
    <x v="0"/>
  </r>
  <r>
    <s v="HC-01401"/>
    <s v="P-0479"/>
    <s v="Male"/>
    <n v="39"/>
    <x v="0"/>
    <s v="General Consultation"/>
    <d v="2026-03-11T00:00:00"/>
    <d v="2026-04-12T00:00:00"/>
    <s v="Sunday"/>
    <s v="Morning"/>
    <x v="2"/>
    <n v="32"/>
    <n v="1"/>
    <x v="0"/>
    <x v="0"/>
    <s v="SMS"/>
    <n v="18.5"/>
    <x v="50"/>
    <x v="1"/>
  </r>
  <r>
    <s v="HC-01402"/>
    <s v="P-0828"/>
    <s v="Female"/>
    <n v="69"/>
    <x v="4"/>
    <s v="Diagnostic Test"/>
    <d v="2025-03-27T00:00:00"/>
    <d v="2025-05-12T00:00:00"/>
    <s v="Monday"/>
    <s v="Afternoon"/>
    <x v="2"/>
    <n v="46"/>
    <n v="3"/>
    <x v="2"/>
    <x v="0"/>
    <s v="SMS"/>
    <n v="33.799999999999997"/>
    <x v="25"/>
    <x v="0"/>
  </r>
  <r>
    <s v="HC-01403"/>
    <s v="P-0028"/>
    <s v="Female"/>
    <n v="20"/>
    <x v="5"/>
    <s v="Specialist Consultation"/>
    <d v="2025-05-26T00:00:00"/>
    <d v="2025-06-13T00:00:00"/>
    <s v="Friday"/>
    <s v="Afternoon"/>
    <x v="3"/>
    <n v="18"/>
    <n v="2"/>
    <x v="0"/>
    <x v="0"/>
    <s v="SMS"/>
    <n v="8"/>
    <x v="31"/>
    <x v="0"/>
  </r>
  <r>
    <s v="HC-01404"/>
    <s v="P-0991"/>
    <s v="Male"/>
    <n v="24"/>
    <x v="5"/>
    <s v="General Consultation"/>
    <d v="2025-05-01T00:00:00"/>
    <d v="2025-06-26T00:00:00"/>
    <s v="Thursday"/>
    <s v="Afternoon"/>
    <x v="2"/>
    <n v="56"/>
    <n v="2"/>
    <x v="0"/>
    <x v="0"/>
    <s v="SMS"/>
    <n v="11.5"/>
    <x v="32"/>
    <x v="0"/>
  </r>
  <r>
    <s v="HC-01405"/>
    <s v="P-1379"/>
    <s v="Female"/>
    <n v="70"/>
    <x v="4"/>
    <s v="Diagnostic Test"/>
    <d v="2025-02-17T00:00:00"/>
    <d v="2025-04-07T00:00:00"/>
    <s v="Monday"/>
    <s v="Morning"/>
    <x v="2"/>
    <n v="49"/>
    <n v="1"/>
    <x v="0"/>
    <x v="0"/>
    <s v="WhatsApp"/>
    <n v="3.6"/>
    <x v="11"/>
    <x v="0"/>
  </r>
  <r>
    <s v="HC-01406"/>
    <s v="P-0904"/>
    <s v="Male"/>
    <n v="21"/>
    <x v="5"/>
    <s v="General Consultation"/>
    <d v="2025-01-30T00:00:00"/>
    <d v="2025-03-26T00:00:00"/>
    <s v="Wednesday"/>
    <s v="Evening"/>
    <x v="2"/>
    <n v="55"/>
    <n v="4"/>
    <x v="1"/>
    <x v="1"/>
    <s v="None"/>
    <n v="11"/>
    <x v="23"/>
    <x v="1"/>
  </r>
  <r>
    <s v="HC-01407"/>
    <s v="P-1413"/>
    <s v="Female"/>
    <n v="78"/>
    <x v="4"/>
    <s v="General Consultation"/>
    <d v="2025-05-25T00:00:00"/>
    <d v="2025-07-09T00:00:00"/>
    <s v="Wednesday"/>
    <s v="Morning"/>
    <x v="2"/>
    <n v="45"/>
    <n v="1"/>
    <x v="1"/>
    <x v="0"/>
    <s v="SMS"/>
    <n v="20.6"/>
    <x v="50"/>
    <x v="0"/>
  </r>
  <r>
    <s v="HC-01408"/>
    <s v="P-0983"/>
    <s v="Female"/>
    <n v="65"/>
    <x v="4"/>
    <s v="Specialist Consultation"/>
    <d v="2026-03-15T00:00:00"/>
    <d v="2026-04-23T00:00:00"/>
    <s v="Thursday"/>
    <s v="Morning"/>
    <x v="2"/>
    <n v="39"/>
    <n v="4"/>
    <x v="1"/>
    <x v="0"/>
    <s v="WhatsApp"/>
    <n v="9.1999999999999993"/>
    <x v="4"/>
    <x v="1"/>
  </r>
  <r>
    <s v="HC-01409"/>
    <s v="P-1548"/>
    <s v="Female"/>
    <n v="59"/>
    <x v="3"/>
    <s v="Follow-up"/>
    <d v="2024-11-30T00:00:00"/>
    <d v="2025-01-01T00:00:00"/>
    <s v="Wednesday"/>
    <s v="Afternoon"/>
    <x v="2"/>
    <n v="32"/>
    <n v="3"/>
    <x v="2"/>
    <x v="0"/>
    <s v="WhatsApp"/>
    <n v="17.100000000000001"/>
    <x v="14"/>
    <x v="1"/>
  </r>
  <r>
    <s v="HC-01410"/>
    <s v="P-1740"/>
    <s v="Male"/>
    <n v="51"/>
    <x v="2"/>
    <s v="General Consultation"/>
    <d v="2025-04-09T00:00:00"/>
    <d v="2025-06-04T00:00:00"/>
    <s v="Wednesday"/>
    <s v="Morning"/>
    <x v="2"/>
    <n v="56"/>
    <n v="4"/>
    <x v="1"/>
    <x v="0"/>
    <s v="SMS"/>
    <n v="5.6"/>
    <x v="4"/>
    <x v="1"/>
  </r>
  <r>
    <s v="HC-01411"/>
    <s v="P-1235"/>
    <s v="Female"/>
    <n v="23"/>
    <x v="5"/>
    <s v="General Consultation"/>
    <d v="2024-12-14T00:00:00"/>
    <d v="2025-02-03T00:00:00"/>
    <s v="Monday"/>
    <s v="Afternoon"/>
    <x v="2"/>
    <n v="51"/>
    <n v="2"/>
    <x v="0"/>
    <x v="0"/>
    <s v="SMS"/>
    <n v="2"/>
    <x v="19"/>
    <x v="1"/>
  </r>
  <r>
    <s v="HC-01412"/>
    <s v="P-0349"/>
    <s v="Female"/>
    <n v="44"/>
    <x v="0"/>
    <s v="Follow-up"/>
    <d v="2025-10-09T00:00:00"/>
    <d v="2025-11-03T00:00:00"/>
    <s v="Monday"/>
    <s v="Morning"/>
    <x v="3"/>
    <n v="25"/>
    <n v="1"/>
    <x v="1"/>
    <x v="0"/>
    <s v="WhatsApp"/>
    <n v="6.9"/>
    <x v="52"/>
    <x v="0"/>
  </r>
  <r>
    <s v="HC-01413"/>
    <s v="P-1367"/>
    <s v="Prefer not to say"/>
    <n v="68"/>
    <x v="4"/>
    <s v="Follow-up"/>
    <d v="2025-05-12T00:00:00"/>
    <d v="2025-05-17T00:00:00"/>
    <s v="Saturday"/>
    <s v="Evening"/>
    <x v="1"/>
    <n v="5"/>
    <n v="1"/>
    <x v="0"/>
    <x v="0"/>
    <s v="WhatsApp"/>
    <n v="5.5"/>
    <x v="52"/>
    <x v="1"/>
  </r>
  <r>
    <s v="HC-01414"/>
    <s v="P-0717"/>
    <s v="Male"/>
    <n v="74"/>
    <x v="4"/>
    <s v="General Consultation"/>
    <d v="2026-03-09T00:00:00"/>
    <d v="2026-03-09T00:00:00"/>
    <s v="Monday"/>
    <s v="Morning"/>
    <x v="1"/>
    <n v="0"/>
    <n v="3"/>
    <x v="2"/>
    <x v="1"/>
    <s v="None"/>
    <n v="16.399999999999999"/>
    <x v="31"/>
    <x v="0"/>
  </r>
  <r>
    <s v="HC-01415"/>
    <s v="P-1596"/>
    <s v="Male"/>
    <n v="46"/>
    <x v="2"/>
    <s v="Follow-up"/>
    <d v="2025-11-02T00:00:00"/>
    <d v="2025-11-16T00:00:00"/>
    <s v="Sunday"/>
    <s v="Evening"/>
    <x v="0"/>
    <n v="14"/>
    <n v="3"/>
    <x v="0"/>
    <x v="1"/>
    <s v="None"/>
    <m/>
    <x v="5"/>
    <x v="1"/>
  </r>
  <r>
    <s v="HC-01416"/>
    <s v="P-0268"/>
    <s v="Female"/>
    <n v="70"/>
    <x v="4"/>
    <s v="General Consultation"/>
    <d v="2026-03-01T00:00:00"/>
    <d v="2026-03-04T00:00:00"/>
    <s v="Wednesday"/>
    <s v="Afternoon"/>
    <x v="1"/>
    <n v="3"/>
    <n v="4"/>
    <x v="0"/>
    <x v="1"/>
    <s v="None"/>
    <n v="3.4"/>
    <x v="8"/>
    <x v="1"/>
  </r>
  <r>
    <s v="HC-01417"/>
    <s v="P-1049"/>
    <s v="Female"/>
    <n v="66"/>
    <x v="4"/>
    <s v="Follow-up"/>
    <d v="2025-12-01T00:00:00"/>
    <d v="2025-12-13T00:00:00"/>
    <s v="Saturday"/>
    <s v="Morning"/>
    <x v="0"/>
    <n v="12"/>
    <n v="1"/>
    <x v="0"/>
    <x v="0"/>
    <s v="SMS"/>
    <n v="12.2"/>
    <x v="6"/>
    <x v="0"/>
  </r>
  <r>
    <s v="HC-01418"/>
    <s v="P-0742"/>
    <s v="Male"/>
    <n v="21"/>
    <x v="5"/>
    <s v="General Consultation"/>
    <d v="2025-08-22T00:00:00"/>
    <d v="2025-08-28T00:00:00"/>
    <s v="Thursday"/>
    <s v="Afternoon"/>
    <x v="1"/>
    <n v="6"/>
    <n v="4"/>
    <x v="2"/>
    <x v="1"/>
    <s v="None"/>
    <n v="14.5"/>
    <x v="32"/>
    <x v="0"/>
  </r>
  <r>
    <s v="HC-01419"/>
    <s v="P-1078"/>
    <s v="Female"/>
    <n v="57"/>
    <x v="3"/>
    <s v="Specialist Consultation"/>
    <d v="2026-02-16T00:00:00"/>
    <d v="2026-04-16T00:00:00"/>
    <s v="Thursday"/>
    <s v="Morning"/>
    <x v="2"/>
    <n v="59"/>
    <n v="2"/>
    <x v="0"/>
    <x v="0"/>
    <s v="SMS"/>
    <n v="6.2"/>
    <x v="8"/>
    <x v="1"/>
  </r>
  <r>
    <s v="HC-01420"/>
    <s v="P-0173"/>
    <s v="Female"/>
    <n v="56"/>
    <x v="3"/>
    <s v="Specialist Consultation"/>
    <d v="2025-09-13T00:00:00"/>
    <d v="2025-09-18T00:00:00"/>
    <s v="Thursday"/>
    <s v="Evening"/>
    <x v="1"/>
    <n v="5"/>
    <n v="1"/>
    <x v="0"/>
    <x v="0"/>
    <s v="SMS"/>
    <n v="9.6999999999999993"/>
    <x v="45"/>
    <x v="1"/>
  </r>
  <r>
    <s v="HC-01421"/>
    <s v="P-1691"/>
    <s v="Male"/>
    <n v="52"/>
    <x v="2"/>
    <s v="General Consultation"/>
    <d v="2026-04-26T00:00:00"/>
    <d v="2026-06-03T00:00:00"/>
    <s v="Wednesday"/>
    <s v="Afternoon"/>
    <x v="2"/>
    <n v="38"/>
    <n v="3"/>
    <x v="0"/>
    <x v="1"/>
    <s v="None"/>
    <n v="13.4"/>
    <x v="13"/>
    <x v="1"/>
  </r>
  <r>
    <s v="HC-01422"/>
    <s v="P-0639"/>
    <s v="Female"/>
    <n v="66"/>
    <x v="4"/>
    <s v="Specialist Consultation"/>
    <d v="2026-06-07T00:00:00"/>
    <d v="2026-06-28T00:00:00"/>
    <s v="Sunday"/>
    <s v="Afternoon"/>
    <x v="3"/>
    <n v="21"/>
    <n v="0"/>
    <x v="0"/>
    <x v="0"/>
    <s v="WhatsApp"/>
    <m/>
    <x v="20"/>
    <x v="1"/>
  </r>
  <r>
    <s v="HC-01423"/>
    <s v="P-0495"/>
    <s v="Male"/>
    <n v="74"/>
    <x v="4"/>
    <s v="General Consultation"/>
    <d v="2025-11-08T00:00:00"/>
    <d v="2025-11-18T00:00:00"/>
    <s v="Tuesday"/>
    <s v="Morning"/>
    <x v="0"/>
    <n v="10"/>
    <n v="4"/>
    <x v="1"/>
    <x v="0"/>
    <s v="Email"/>
    <n v="9.9"/>
    <x v="47"/>
    <x v="0"/>
  </r>
  <r>
    <s v="HC-01424"/>
    <s v="P-0697"/>
    <s v="Female"/>
    <n v="52"/>
    <x v="2"/>
    <s v="General Consultation"/>
    <d v="2025-11-23T00:00:00"/>
    <d v="2026-01-04T00:00:00"/>
    <s v="Sunday"/>
    <s v="Evening"/>
    <x v="2"/>
    <n v="42"/>
    <n v="1"/>
    <x v="0"/>
    <x v="0"/>
    <s v="SMS"/>
    <n v="11.7"/>
    <x v="18"/>
    <x v="0"/>
  </r>
  <r>
    <s v="HC-01425"/>
    <s v="P-0589"/>
    <s v="Female"/>
    <n v="38"/>
    <x v="0"/>
    <s v="Follow-up"/>
    <d v="2025-03-22T00:00:00"/>
    <d v="2025-05-20T00:00:00"/>
    <s v="Tuesday"/>
    <s v="Afternoon"/>
    <x v="2"/>
    <n v="59"/>
    <n v="3"/>
    <x v="0"/>
    <x v="0"/>
    <s v="WhatsApp"/>
    <n v="14.4"/>
    <x v="35"/>
    <x v="1"/>
  </r>
  <r>
    <s v="HC-01426"/>
    <s v="P-1310"/>
    <s v="Female"/>
    <n v="79"/>
    <x v="4"/>
    <s v="Follow-up"/>
    <d v="2026-02-01T00:00:00"/>
    <d v="2026-03-21T00:00:00"/>
    <s v="Saturday"/>
    <s v="Afternoon"/>
    <x v="2"/>
    <n v="48"/>
    <n v="5"/>
    <x v="1"/>
    <x v="0"/>
    <s v="Email"/>
    <n v="3.4"/>
    <x v="17"/>
    <x v="0"/>
  </r>
  <r>
    <s v="HC-01427"/>
    <s v="P-0715"/>
    <s v="Male"/>
    <n v="78"/>
    <x v="4"/>
    <s v="Specialist Consultation"/>
    <d v="2025-11-04T00:00:00"/>
    <d v="2026-01-02T00:00:00"/>
    <s v="Friday"/>
    <s v="Morning"/>
    <x v="2"/>
    <n v="59"/>
    <n v="2"/>
    <x v="1"/>
    <x v="0"/>
    <s v="SMS"/>
    <n v="1.1000000000000001"/>
    <x v="42"/>
    <x v="1"/>
  </r>
  <r>
    <s v="HC-01428"/>
    <s v="P-1646"/>
    <s v="Male"/>
    <n v="61"/>
    <x v="3"/>
    <s v="Diagnostic Test"/>
    <d v="2026-04-02T00:00:00"/>
    <d v="2026-05-08T00:00:00"/>
    <s v="Friday"/>
    <s v="Morning"/>
    <x v="2"/>
    <n v="36"/>
    <n v="5"/>
    <x v="0"/>
    <x v="0"/>
    <s v="WhatsApp"/>
    <n v="13.2"/>
    <x v="52"/>
    <x v="0"/>
  </r>
  <r>
    <s v="HC-01429"/>
    <s v="P-0488"/>
    <s v="Male"/>
    <n v="58"/>
    <x v="3"/>
    <s v="General Consultation"/>
    <d v="2025-04-15T00:00:00"/>
    <d v="2025-05-26T00:00:00"/>
    <s v="Monday"/>
    <s v="Afternoon"/>
    <x v="2"/>
    <n v="41"/>
    <n v="1"/>
    <x v="0"/>
    <x v="0"/>
    <s v="SMS"/>
    <n v="10.1"/>
    <x v="15"/>
    <x v="0"/>
  </r>
  <r>
    <s v="HC-01430"/>
    <s v="P-0912"/>
    <s v="Female"/>
    <n v="24"/>
    <x v="5"/>
    <s v="General Consultation"/>
    <d v="2026-02-27T00:00:00"/>
    <d v="2026-03-07T00:00:00"/>
    <s v="Saturday"/>
    <s v="Afternoon"/>
    <x v="0"/>
    <n v="8"/>
    <n v="6"/>
    <x v="2"/>
    <x v="0"/>
    <s v="Email"/>
    <n v="3.2"/>
    <x v="14"/>
    <x v="0"/>
  </r>
  <r>
    <s v="HC-01431"/>
    <s v="P-1457"/>
    <s v="Male"/>
    <n v="43"/>
    <x v="0"/>
    <s v="Follow-up"/>
    <d v="2025-07-25T00:00:00"/>
    <d v="2025-09-14T00:00:00"/>
    <s v="Sunday"/>
    <s v="Afternoon"/>
    <x v="2"/>
    <n v="51"/>
    <n v="0"/>
    <x v="0"/>
    <x v="0"/>
    <s v="SMS"/>
    <n v="13.8"/>
    <x v="31"/>
    <x v="0"/>
  </r>
  <r>
    <s v="HC-01432"/>
    <s v="P-1398"/>
    <s v="Male"/>
    <n v="30"/>
    <x v="1"/>
    <s v="General Consultation"/>
    <d v="2025-02-26T00:00:00"/>
    <d v="2025-04-12T00:00:00"/>
    <s v="Saturday"/>
    <s v="Afternoon"/>
    <x v="2"/>
    <n v="45"/>
    <n v="3"/>
    <x v="0"/>
    <x v="0"/>
    <s v="SMS"/>
    <n v="3.1"/>
    <x v="28"/>
    <x v="0"/>
  </r>
  <r>
    <s v="HC-01433"/>
    <s v="P-1378"/>
    <s v="Male"/>
    <n v="50"/>
    <x v="2"/>
    <s v="General Consultation"/>
    <d v="2025-03-20T00:00:00"/>
    <d v="2025-04-04T00:00:00"/>
    <s v="Friday"/>
    <s v="Afternoon"/>
    <x v="3"/>
    <n v="15"/>
    <n v="5"/>
    <x v="2"/>
    <x v="0"/>
    <s v="SMS"/>
    <n v="9.5"/>
    <x v="16"/>
    <x v="1"/>
  </r>
  <r>
    <s v="HC-01434"/>
    <s v="P-0731"/>
    <s v="Male"/>
    <n v="70"/>
    <x v="4"/>
    <s v="Diagnostic Test"/>
    <d v="2025-10-13T00:00:00"/>
    <d v="2025-11-03T00:00:00"/>
    <s v="Monday"/>
    <s v="Afternoon"/>
    <x v="3"/>
    <n v="21"/>
    <n v="2"/>
    <x v="1"/>
    <x v="1"/>
    <s v="None"/>
    <n v="13.3"/>
    <x v="44"/>
    <x v="1"/>
  </r>
  <r>
    <s v="HC-01435"/>
    <s v="P-1765"/>
    <s v="Male"/>
    <n v="32"/>
    <x v="1"/>
    <s v="Specialist Consultation"/>
    <d v="2025-05-18T00:00:00"/>
    <d v="2025-06-24T00:00:00"/>
    <s v="Tuesday"/>
    <s v="Afternoon"/>
    <x v="2"/>
    <n v="37"/>
    <n v="3"/>
    <x v="0"/>
    <x v="1"/>
    <s v="None"/>
    <n v="16.600000000000001"/>
    <x v="15"/>
    <x v="1"/>
  </r>
  <r>
    <s v="HC-01436"/>
    <s v="P-0509"/>
    <s v="Male"/>
    <n v="80"/>
    <x v="4"/>
    <s v="Diagnostic Test"/>
    <d v="2025-02-25T00:00:00"/>
    <d v="2025-02-25T00:00:00"/>
    <s v="Tuesday"/>
    <s v="Morning"/>
    <x v="1"/>
    <n v="0"/>
    <n v="3"/>
    <x v="2"/>
    <x v="0"/>
    <s v="SMS"/>
    <n v="6.9"/>
    <x v="29"/>
    <x v="0"/>
  </r>
  <r>
    <s v="HC-01437"/>
    <s v="P-1515"/>
    <s v="Female"/>
    <n v="26"/>
    <x v="1"/>
    <s v="General Consultation"/>
    <d v="2025-07-04T00:00:00"/>
    <d v="2025-08-22T00:00:00"/>
    <s v="Friday"/>
    <s v="Afternoon"/>
    <x v="2"/>
    <n v="49"/>
    <n v="7"/>
    <x v="2"/>
    <x v="0"/>
    <s v="Email"/>
    <n v="15.8"/>
    <x v="0"/>
    <x v="0"/>
  </r>
  <r>
    <s v="HC-01438"/>
    <s v="P-0271"/>
    <s v="Male"/>
    <n v="24"/>
    <x v="5"/>
    <s v="General Consultation"/>
    <d v="2025-12-06T00:00:00"/>
    <d v="2025-12-23T00:00:00"/>
    <s v="Tuesday"/>
    <s v="Morning"/>
    <x v="3"/>
    <n v="17"/>
    <n v="1"/>
    <x v="0"/>
    <x v="1"/>
    <s v="None"/>
    <n v="7.6"/>
    <x v="5"/>
    <x v="0"/>
  </r>
  <r>
    <s v="HC-01439"/>
    <s v="P-0955"/>
    <s v="Female"/>
    <n v="79"/>
    <x v="4"/>
    <s v="Follow-up"/>
    <d v="2025-06-20T00:00:00"/>
    <d v="2025-06-24T00:00:00"/>
    <s v="Tuesday"/>
    <s v="Afternoon"/>
    <x v="1"/>
    <n v="4"/>
    <n v="4"/>
    <x v="1"/>
    <x v="0"/>
    <s v="Email"/>
    <n v="4.4000000000000004"/>
    <x v="5"/>
    <x v="0"/>
  </r>
  <r>
    <s v="HC-01440"/>
    <s v="P-0710"/>
    <s v="Prefer not to say"/>
    <n v="24"/>
    <x v="5"/>
    <s v="Diagnostic Test"/>
    <d v="2026-05-17T00:00:00"/>
    <d v="2026-06-06T00:00:00"/>
    <s v="Saturday"/>
    <s v="Evening"/>
    <x v="3"/>
    <n v="20"/>
    <n v="2"/>
    <x v="1"/>
    <x v="1"/>
    <s v="None"/>
    <n v="5.6"/>
    <x v="7"/>
    <x v="0"/>
  </r>
  <r>
    <s v="HC-01441"/>
    <s v="P-1314"/>
    <s v="Female"/>
    <n v="64"/>
    <x v="3"/>
    <s v="General Consultation"/>
    <d v="2026-01-11T00:00:00"/>
    <d v="2026-03-02T00:00:00"/>
    <s v="Monday"/>
    <s v="Afternoon"/>
    <x v="2"/>
    <n v="50"/>
    <n v="2"/>
    <x v="0"/>
    <x v="1"/>
    <s v="None"/>
    <n v="6.3"/>
    <x v="18"/>
    <x v="1"/>
  </r>
  <r>
    <s v="HC-01442"/>
    <s v="P-1365"/>
    <s v="Female"/>
    <n v="66"/>
    <x v="4"/>
    <s v="General Consultation"/>
    <d v="2025-09-21T00:00:00"/>
    <d v="2025-10-07T00:00:00"/>
    <s v="Tuesday"/>
    <s v="Morning"/>
    <x v="3"/>
    <n v="16"/>
    <n v="4"/>
    <x v="1"/>
    <x v="0"/>
    <s v="SMS"/>
    <n v="0.5"/>
    <x v="52"/>
    <x v="1"/>
  </r>
  <r>
    <s v="HC-01443"/>
    <s v="P-0048"/>
    <s v="Female"/>
    <n v="38"/>
    <x v="0"/>
    <s v="General Consultation"/>
    <d v="2026-04-24T00:00:00"/>
    <d v="2026-05-26T00:00:00"/>
    <s v="Tuesday"/>
    <s v="Afternoon"/>
    <x v="2"/>
    <n v="32"/>
    <n v="1"/>
    <x v="0"/>
    <x v="0"/>
    <s v="WhatsApp"/>
    <n v="14.3"/>
    <x v="49"/>
    <x v="1"/>
  </r>
  <r>
    <s v="HC-01444"/>
    <s v="P-1081"/>
    <s v="Male"/>
    <n v="22"/>
    <x v="5"/>
    <s v="Specialist Consultation"/>
    <d v="2025-07-07T00:00:00"/>
    <d v="2025-08-25T00:00:00"/>
    <s v="Monday"/>
    <s v="Morning"/>
    <x v="2"/>
    <n v="49"/>
    <n v="3"/>
    <x v="0"/>
    <x v="0"/>
    <s v="SMS"/>
    <n v="11.4"/>
    <x v="35"/>
    <x v="1"/>
  </r>
  <r>
    <s v="HC-01445"/>
    <s v="P-1666"/>
    <s v="Female"/>
    <n v="37"/>
    <x v="0"/>
    <s v="Specialist Consultation"/>
    <d v="2025-03-16T00:00:00"/>
    <d v="2025-03-18T00:00:00"/>
    <s v="Tuesday"/>
    <s v="Morning"/>
    <x v="1"/>
    <n v="2"/>
    <n v="1"/>
    <x v="0"/>
    <x v="0"/>
    <s v="WhatsApp"/>
    <n v="5.6"/>
    <x v="9"/>
    <x v="1"/>
  </r>
  <r>
    <s v="HC-01446"/>
    <s v="P-0393"/>
    <s v="Male"/>
    <n v="22"/>
    <x v="5"/>
    <s v="Follow-up"/>
    <d v="2024-12-05T00:00:00"/>
    <d v="2025-01-20T00:00:00"/>
    <s v="Monday"/>
    <s v="Afternoon"/>
    <x v="2"/>
    <n v="46"/>
    <n v="1"/>
    <x v="0"/>
    <x v="1"/>
    <s v="None"/>
    <n v="12"/>
    <x v="20"/>
    <x v="0"/>
  </r>
  <r>
    <s v="HC-01447"/>
    <s v="P-1408"/>
    <s v="Male"/>
    <n v="60"/>
    <x v="3"/>
    <s v="General Consultation"/>
    <d v="2026-05-11T00:00:00"/>
    <d v="2026-05-28T00:00:00"/>
    <s v="Thursday"/>
    <s v="Afternoon"/>
    <x v="3"/>
    <n v="17"/>
    <n v="6"/>
    <x v="2"/>
    <x v="0"/>
    <s v="WhatsApp"/>
    <n v="3.1"/>
    <x v="11"/>
    <x v="1"/>
  </r>
  <r>
    <s v="HC-01448"/>
    <s v="P-1346"/>
    <s v="Female"/>
    <n v="73"/>
    <x v="4"/>
    <s v="Specialist Consultation"/>
    <d v="2026-04-28T00:00:00"/>
    <d v="2026-06-09T00:00:00"/>
    <s v="Tuesday"/>
    <s v="Morning"/>
    <x v="2"/>
    <n v="42"/>
    <n v="5"/>
    <x v="0"/>
    <x v="1"/>
    <s v="None"/>
    <n v="12.4"/>
    <x v="50"/>
    <x v="1"/>
  </r>
  <r>
    <s v="HC-01449"/>
    <s v="P-0048"/>
    <s v="Male"/>
    <n v="80"/>
    <x v="4"/>
    <s v="Follow-up"/>
    <d v="2026-01-28T00:00:00"/>
    <d v="2026-02-08T00:00:00"/>
    <s v="Sunday"/>
    <s v="Evening"/>
    <x v="0"/>
    <n v="11"/>
    <n v="1"/>
    <x v="0"/>
    <x v="0"/>
    <s v="Email"/>
    <n v="13.9"/>
    <x v="15"/>
    <x v="0"/>
  </r>
  <r>
    <s v="HC-01450"/>
    <s v="P-0160"/>
    <s v="Male"/>
    <n v="68"/>
    <x v="4"/>
    <s v="General Consultation"/>
    <d v="2025-02-18T00:00:00"/>
    <d v="2025-02-26T00:00:00"/>
    <s v="Wednesday"/>
    <s v="Morning"/>
    <x v="0"/>
    <n v="8"/>
    <n v="3"/>
    <x v="0"/>
    <x v="0"/>
    <s v="Email"/>
    <n v="2.6"/>
    <x v="8"/>
    <x v="1"/>
  </r>
  <r>
    <s v="HC-01451"/>
    <s v="P-0664"/>
    <s v="Male"/>
    <n v="66"/>
    <x v="4"/>
    <s v="General Consultation"/>
    <d v="2025-04-23T00:00:00"/>
    <d v="2025-06-10T00:00:00"/>
    <s v="Tuesday"/>
    <s v="Evening"/>
    <x v="2"/>
    <n v="48"/>
    <n v="2"/>
    <x v="1"/>
    <x v="0"/>
    <s v="SMS"/>
    <n v="15"/>
    <x v="14"/>
    <x v="0"/>
  </r>
  <r>
    <s v="HC-01452"/>
    <s v="P-0281"/>
    <s v="Female"/>
    <n v="73"/>
    <x v="4"/>
    <s v="Follow-up"/>
    <d v="2024-12-05T00:00:00"/>
    <d v="2025-01-23T00:00:00"/>
    <s v="Thursday"/>
    <s v="Afternoon"/>
    <x v="2"/>
    <n v="49"/>
    <n v="0"/>
    <x v="0"/>
    <x v="0"/>
    <s v="WhatsApp"/>
    <n v="7.7"/>
    <x v="51"/>
    <x v="2"/>
  </r>
  <r>
    <s v="HC-01453"/>
    <s v="P-0543"/>
    <s v="Male"/>
    <n v="66"/>
    <x v="4"/>
    <s v="General Consultation"/>
    <d v="2024-11-30T00:00:00"/>
    <d v="2025-01-28T00:00:00"/>
    <s v="Tuesday"/>
    <s v="Evening"/>
    <x v="2"/>
    <n v="59"/>
    <n v="4"/>
    <x v="0"/>
    <x v="0"/>
    <s v="SMS"/>
    <n v="7.7"/>
    <x v="7"/>
    <x v="1"/>
  </r>
  <r>
    <s v="HC-01454"/>
    <s v="P-0327"/>
    <s v="Female"/>
    <n v="58"/>
    <x v="3"/>
    <s v="Diagnostic Test"/>
    <d v="2025-04-04T00:00:00"/>
    <d v="2025-05-15T00:00:00"/>
    <s v="Thursday"/>
    <s v="Afternoon"/>
    <x v="2"/>
    <n v="41"/>
    <n v="4"/>
    <x v="1"/>
    <x v="1"/>
    <s v="None"/>
    <n v="2.6"/>
    <x v="17"/>
    <x v="0"/>
  </r>
  <r>
    <s v="HC-01455"/>
    <s v="P-1499"/>
    <s v="Male"/>
    <n v="80"/>
    <x v="4"/>
    <s v="Follow-up"/>
    <d v="2025-10-12T00:00:00"/>
    <d v="2025-11-09T00:00:00"/>
    <s v="Sunday"/>
    <s v="Evening"/>
    <x v="3"/>
    <n v="28"/>
    <n v="1"/>
    <x v="0"/>
    <x v="0"/>
    <s v="WhatsApp"/>
    <n v="16.8"/>
    <x v="22"/>
    <x v="1"/>
  </r>
  <r>
    <s v="HC-01456"/>
    <s v="P-1231"/>
    <s v="Male"/>
    <n v="38"/>
    <x v="0"/>
    <s v="General Consultation"/>
    <d v="2025-01-25T00:00:00"/>
    <d v="2025-02-05T00:00:00"/>
    <s v="Wednesday"/>
    <s v="Afternoon"/>
    <x v="0"/>
    <n v="11"/>
    <n v="4"/>
    <x v="2"/>
    <x v="0"/>
    <s v="SMS"/>
    <n v="16.899999999999999"/>
    <x v="2"/>
    <x v="2"/>
  </r>
  <r>
    <s v="HC-01457"/>
    <s v="P-0332"/>
    <s v="Female"/>
    <n v="44"/>
    <x v="0"/>
    <s v="Follow-up"/>
    <d v="2026-06-04T00:00:00"/>
    <d v="2026-06-22T00:00:00"/>
    <s v="Monday"/>
    <s v="Morning"/>
    <x v="3"/>
    <n v="18"/>
    <n v="4"/>
    <x v="0"/>
    <x v="0"/>
    <s v="SMS"/>
    <n v="22.3"/>
    <x v="14"/>
    <x v="1"/>
  </r>
  <r>
    <s v="HC-01458"/>
    <s v="P-0512"/>
    <s v="Female"/>
    <n v="75"/>
    <x v="4"/>
    <s v="Follow-up"/>
    <d v="2025-07-29T00:00:00"/>
    <d v="2025-09-06T00:00:00"/>
    <s v="Saturday"/>
    <s v="Morning"/>
    <x v="2"/>
    <n v="39"/>
    <n v="2"/>
    <x v="0"/>
    <x v="0"/>
    <s v="Email"/>
    <n v="18"/>
    <x v="5"/>
    <x v="0"/>
  </r>
  <r>
    <s v="HC-01459"/>
    <s v="P-1248"/>
    <s v="Male"/>
    <n v="37"/>
    <x v="0"/>
    <s v="General Consultation"/>
    <d v="2025-05-04T00:00:00"/>
    <d v="2025-05-25T00:00:00"/>
    <s v="Sunday"/>
    <s v="Afternoon"/>
    <x v="3"/>
    <n v="21"/>
    <n v="3"/>
    <x v="1"/>
    <x v="1"/>
    <s v="None"/>
    <n v="10"/>
    <x v="20"/>
    <x v="0"/>
  </r>
  <r>
    <s v="HC-01460"/>
    <s v="P-1588"/>
    <s v="Female"/>
    <n v="36"/>
    <x v="0"/>
    <s v="Follow-up"/>
    <d v="2025-09-10T00:00:00"/>
    <d v="2025-10-09T00:00:00"/>
    <s v="Thursday"/>
    <s v="Morning"/>
    <x v="3"/>
    <n v="29"/>
    <n v="1"/>
    <x v="0"/>
    <x v="0"/>
    <s v="WhatsApp"/>
    <n v="10.9"/>
    <x v="16"/>
    <x v="0"/>
  </r>
  <r>
    <s v="HC-01461"/>
    <s v="P-1790"/>
    <s v="Female"/>
    <n v="27"/>
    <x v="1"/>
    <s v="General Consultation"/>
    <d v="2026-02-26T00:00:00"/>
    <d v="2026-03-08T00:00:00"/>
    <s v="Sunday"/>
    <s v="Evening"/>
    <x v="0"/>
    <n v="10"/>
    <n v="7"/>
    <x v="1"/>
    <x v="0"/>
    <s v="SMS"/>
    <n v="1.1000000000000001"/>
    <x v="23"/>
    <x v="1"/>
  </r>
  <r>
    <s v="HC-01462"/>
    <s v="P-0166"/>
    <s v="Female"/>
    <n v="35"/>
    <x v="0"/>
    <s v="General Consultation"/>
    <d v="2025-05-25T00:00:00"/>
    <d v="2025-06-20T00:00:00"/>
    <s v="Friday"/>
    <s v="Morning"/>
    <x v="3"/>
    <n v="26"/>
    <n v="5"/>
    <x v="0"/>
    <x v="0"/>
    <s v="WhatsApp"/>
    <n v="0.9"/>
    <x v="0"/>
    <x v="0"/>
  </r>
  <r>
    <s v="HC-01463"/>
    <s v="P-1125"/>
    <s v="Male"/>
    <n v="55"/>
    <x v="3"/>
    <s v="Specialist Consultation"/>
    <d v="2025-01-12T00:00:00"/>
    <d v="2025-01-26T00:00:00"/>
    <s v="Sunday"/>
    <s v="Evening"/>
    <x v="0"/>
    <n v="14"/>
    <n v="1"/>
    <x v="1"/>
    <x v="1"/>
    <s v="None"/>
    <n v="8.1"/>
    <x v="35"/>
    <x v="1"/>
  </r>
  <r>
    <s v="HC-01464"/>
    <s v="P-1687"/>
    <s v="Female"/>
    <n v="73"/>
    <x v="4"/>
    <s v="Follow-up"/>
    <d v="2025-01-22T00:00:00"/>
    <d v="2025-01-28T00:00:00"/>
    <s v="Tuesday"/>
    <s v="Afternoon"/>
    <x v="1"/>
    <n v="6"/>
    <n v="5"/>
    <x v="2"/>
    <x v="0"/>
    <s v="SMS"/>
    <n v="7.9"/>
    <x v="5"/>
    <x v="1"/>
  </r>
  <r>
    <s v="HC-01465"/>
    <s v="P-1606"/>
    <s v="Female"/>
    <n v="26"/>
    <x v="1"/>
    <s v="General Consultation"/>
    <d v="2026-04-03T00:00:00"/>
    <d v="2026-04-11T00:00:00"/>
    <s v="Saturday"/>
    <s v="Afternoon"/>
    <x v="0"/>
    <n v="8"/>
    <n v="1"/>
    <x v="0"/>
    <x v="0"/>
    <s v="SMS"/>
    <n v="4.3"/>
    <x v="25"/>
    <x v="1"/>
  </r>
  <r>
    <s v="HC-01466"/>
    <s v="P-0010"/>
    <s v="Male"/>
    <n v="60"/>
    <x v="3"/>
    <s v="General Consultation"/>
    <d v="2025-01-30T00:00:00"/>
    <d v="2025-03-02T00:00:00"/>
    <s v="Sunday"/>
    <s v="Evening"/>
    <x v="2"/>
    <n v="31"/>
    <n v="2"/>
    <x v="0"/>
    <x v="0"/>
    <s v="WhatsApp"/>
    <n v="8.4"/>
    <x v="1"/>
    <x v="1"/>
  </r>
  <r>
    <s v="HC-01467"/>
    <s v="P-0087"/>
    <s v="Male"/>
    <n v="66"/>
    <x v="4"/>
    <s v="Follow-up"/>
    <d v="2025-11-22T00:00:00"/>
    <d v="2025-12-14T00:00:00"/>
    <s v="Sunday"/>
    <s v="Morning"/>
    <x v="3"/>
    <n v="22"/>
    <n v="4"/>
    <x v="0"/>
    <x v="0"/>
    <s v="SMS"/>
    <n v="4.9000000000000004"/>
    <x v="15"/>
    <x v="1"/>
  </r>
  <r>
    <s v="HC-01468"/>
    <s v="P-1652"/>
    <s v="Male"/>
    <n v="74"/>
    <x v="4"/>
    <s v="General Consultation"/>
    <d v="2025-07-23T00:00:00"/>
    <d v="2025-07-29T00:00:00"/>
    <s v="Tuesday"/>
    <s v="Afternoon"/>
    <x v="1"/>
    <n v="6"/>
    <n v="1"/>
    <x v="0"/>
    <x v="0"/>
    <s v="SMS"/>
    <n v="16.899999999999999"/>
    <x v="21"/>
    <x v="1"/>
  </r>
  <r>
    <s v="HC-01469"/>
    <s v="P-0421"/>
    <s v="Male"/>
    <n v="65"/>
    <x v="4"/>
    <s v="Diagnostic Test"/>
    <d v="2026-01-29T00:00:00"/>
    <d v="2026-03-01T00:00:00"/>
    <s v="Sunday"/>
    <s v="Morning"/>
    <x v="2"/>
    <n v="31"/>
    <n v="0"/>
    <x v="0"/>
    <x v="0"/>
    <s v="SMS"/>
    <n v="9.4"/>
    <x v="12"/>
    <x v="0"/>
  </r>
  <r>
    <s v="HC-01470"/>
    <s v="P-0236"/>
    <s v="Female"/>
    <n v="27"/>
    <x v="1"/>
    <s v="Follow-up"/>
    <d v="2025-01-24T00:00:00"/>
    <d v="2025-02-03T00:00:00"/>
    <s v="Monday"/>
    <s v="Afternoon"/>
    <x v="0"/>
    <n v="10"/>
    <n v="4"/>
    <x v="0"/>
    <x v="1"/>
    <s v="None"/>
    <n v="5.4"/>
    <x v="24"/>
    <x v="0"/>
  </r>
  <r>
    <s v="HC-01471"/>
    <s v="P-0264"/>
    <s v="Female"/>
    <n v="48"/>
    <x v="2"/>
    <s v="Specialist Consultation"/>
    <d v="2026-05-06T00:00:00"/>
    <d v="2026-05-06T00:00:00"/>
    <s v="Wednesday"/>
    <s v="Afternoon"/>
    <x v="1"/>
    <n v="0"/>
    <n v="4"/>
    <x v="1"/>
    <x v="0"/>
    <s v="WhatsApp"/>
    <n v="16.899999999999999"/>
    <x v="9"/>
    <x v="0"/>
  </r>
  <r>
    <s v="HC-01472"/>
    <s v="P-0043"/>
    <s v="Female"/>
    <n v="77"/>
    <x v="4"/>
    <s v="General Consultation"/>
    <d v="2026-01-09T00:00:00"/>
    <d v="2026-01-17T00:00:00"/>
    <s v="Saturday"/>
    <s v="Morning"/>
    <x v="0"/>
    <n v="8"/>
    <n v="4"/>
    <x v="0"/>
    <x v="0"/>
    <s v="Email"/>
    <n v="3"/>
    <x v="31"/>
    <x v="1"/>
  </r>
  <r>
    <s v="HC-01473"/>
    <s v="P-0759"/>
    <s v="Female"/>
    <n v="75"/>
    <x v="4"/>
    <s v="Specialist Consultation"/>
    <d v="2025-08-07T00:00:00"/>
    <d v="2025-09-03T00:00:00"/>
    <s v="Wednesday"/>
    <s v="Morning"/>
    <x v="3"/>
    <n v="27"/>
    <n v="4"/>
    <x v="0"/>
    <x v="0"/>
    <s v="SMS"/>
    <n v="28.3"/>
    <x v="20"/>
    <x v="1"/>
  </r>
  <r>
    <s v="HC-01474"/>
    <s v="P-0484"/>
    <s v="Female"/>
    <n v="56"/>
    <x v="3"/>
    <s v="General Consultation"/>
    <d v="2025-02-25T00:00:00"/>
    <d v="2025-04-24T00:00:00"/>
    <s v="Thursday"/>
    <s v="Morning"/>
    <x v="2"/>
    <n v="58"/>
    <n v="4"/>
    <x v="2"/>
    <x v="0"/>
    <s v="SMS"/>
    <n v="10.3"/>
    <x v="4"/>
    <x v="0"/>
  </r>
  <r>
    <s v="HC-01475"/>
    <s v="P-0125"/>
    <s v="Male"/>
    <n v="78"/>
    <x v="4"/>
    <s v="General Consultation"/>
    <d v="2026-06-04T00:00:00"/>
    <d v="2026-06-18T00:00:00"/>
    <s v="Thursday"/>
    <s v="Morning"/>
    <x v="0"/>
    <n v="14"/>
    <n v="3"/>
    <x v="0"/>
    <x v="0"/>
    <s v="Email"/>
    <n v="8"/>
    <x v="19"/>
    <x v="1"/>
  </r>
  <r>
    <s v="HC-01476"/>
    <s v="P-0606"/>
    <s v="Female"/>
    <n v="60"/>
    <x v="3"/>
    <s v="General Consultation"/>
    <d v="2025-05-28T00:00:00"/>
    <d v="2025-06-14T00:00:00"/>
    <s v="Saturday"/>
    <s v="Afternoon"/>
    <x v="3"/>
    <n v="17"/>
    <n v="4"/>
    <x v="2"/>
    <x v="0"/>
    <s v="WhatsApp"/>
    <n v="2.1"/>
    <x v="11"/>
    <x v="0"/>
  </r>
  <r>
    <s v="HC-01477"/>
    <s v="P-0541"/>
    <s v="Female"/>
    <n v="22"/>
    <x v="5"/>
    <s v="General Consultation"/>
    <d v="2025-09-11T00:00:00"/>
    <d v="2025-09-25T00:00:00"/>
    <s v="Thursday"/>
    <s v="Morning"/>
    <x v="0"/>
    <n v="14"/>
    <n v="4"/>
    <x v="1"/>
    <x v="0"/>
    <s v="SMS"/>
    <n v="8.6999999999999993"/>
    <x v="26"/>
    <x v="1"/>
  </r>
  <r>
    <s v="HC-01478"/>
    <s v="P-1324"/>
    <s v="Male"/>
    <n v="75"/>
    <x v="4"/>
    <s v="Diagnostic Test"/>
    <d v="2025-07-14T00:00:00"/>
    <d v="2025-08-04T00:00:00"/>
    <s v="Monday"/>
    <s v="Evening"/>
    <x v="3"/>
    <n v="21"/>
    <n v="5"/>
    <x v="0"/>
    <x v="1"/>
    <s v="None"/>
    <n v="7.5"/>
    <x v="19"/>
    <x v="1"/>
  </r>
  <r>
    <s v="HC-01479"/>
    <s v="P-0352"/>
    <s v="Female"/>
    <n v="28"/>
    <x v="1"/>
    <s v="Specialist Consultation"/>
    <d v="2025-03-24T00:00:00"/>
    <d v="2025-05-06T00:00:00"/>
    <s v="Tuesday"/>
    <s v="Evening"/>
    <x v="2"/>
    <n v="43"/>
    <n v="6"/>
    <x v="1"/>
    <x v="1"/>
    <s v="None"/>
    <n v="13.2"/>
    <x v="8"/>
    <x v="0"/>
  </r>
  <r>
    <s v="HC-01480"/>
    <s v="P-1617"/>
    <s v="Male"/>
    <n v="41"/>
    <x v="0"/>
    <s v="Follow-up"/>
    <d v="2025-07-28T00:00:00"/>
    <d v="2025-08-16T00:00:00"/>
    <s v="Saturday"/>
    <s v="Evening"/>
    <x v="3"/>
    <n v="19"/>
    <n v="2"/>
    <x v="2"/>
    <x v="0"/>
    <s v="SMS"/>
    <n v="7.9"/>
    <x v="18"/>
    <x v="0"/>
  </r>
  <r>
    <s v="HC-01481"/>
    <s v="P-0185"/>
    <s v="Female"/>
    <n v="33"/>
    <x v="1"/>
    <s v="Follow-up"/>
    <d v="2025-02-12T00:00:00"/>
    <d v="2025-03-24T00:00:00"/>
    <s v="Monday"/>
    <s v="Afternoon"/>
    <x v="2"/>
    <n v="40"/>
    <n v="2"/>
    <x v="1"/>
    <x v="0"/>
    <s v="WhatsApp"/>
    <n v="3.1"/>
    <x v="4"/>
    <x v="1"/>
  </r>
  <r>
    <s v="HC-01482"/>
    <s v="P-0695"/>
    <s v="Male"/>
    <n v="63"/>
    <x v="3"/>
    <s v="Follow-up"/>
    <d v="2024-11-08T00:00:00"/>
    <d v="2025-01-01T00:00:00"/>
    <s v="Wednesday"/>
    <s v="Morning"/>
    <x v="2"/>
    <n v="54"/>
    <n v="3"/>
    <x v="0"/>
    <x v="1"/>
    <s v="None"/>
    <n v="7.1"/>
    <x v="49"/>
    <x v="0"/>
  </r>
  <r>
    <s v="HC-01483"/>
    <s v="P-1743"/>
    <s v="Female"/>
    <n v="19"/>
    <x v="5"/>
    <s v="Follow-up"/>
    <d v="2025-04-12T00:00:00"/>
    <d v="2025-06-08T00:00:00"/>
    <s v="Sunday"/>
    <s v="Afternoon"/>
    <x v="2"/>
    <n v="57"/>
    <n v="2"/>
    <x v="0"/>
    <x v="0"/>
    <s v="SMS"/>
    <n v="4.9000000000000004"/>
    <x v="11"/>
    <x v="1"/>
  </r>
  <r>
    <s v="HC-01484"/>
    <s v="P-0453"/>
    <s v="Female"/>
    <n v="58"/>
    <x v="3"/>
    <s v="Specialist Consultation"/>
    <d v="2025-01-28T00:00:00"/>
    <d v="2025-03-03T00:00:00"/>
    <s v="Monday"/>
    <s v="Afternoon"/>
    <x v="2"/>
    <n v="34"/>
    <n v="2"/>
    <x v="0"/>
    <x v="1"/>
    <s v="None"/>
    <n v="3"/>
    <x v="7"/>
    <x v="1"/>
  </r>
  <r>
    <s v="HC-01485"/>
    <s v="P-1499"/>
    <s v="Male"/>
    <n v="72"/>
    <x v="4"/>
    <s v="Follow-up"/>
    <d v="2025-07-03T00:00:00"/>
    <d v="2025-08-15T00:00:00"/>
    <s v="Friday"/>
    <s v="Evening"/>
    <x v="2"/>
    <n v="43"/>
    <n v="4"/>
    <x v="0"/>
    <x v="0"/>
    <s v="WhatsApp"/>
    <n v="18.7"/>
    <x v="46"/>
    <x v="1"/>
  </r>
  <r>
    <s v="HC-01486"/>
    <s v="P-0505"/>
    <s v="Female"/>
    <n v="67"/>
    <x v="4"/>
    <s v="Specialist Consultation"/>
    <d v="2026-02-20T00:00:00"/>
    <d v="2026-04-17T00:00:00"/>
    <s v="Friday"/>
    <s v="Morning"/>
    <x v="2"/>
    <n v="56"/>
    <n v="3"/>
    <x v="0"/>
    <x v="0"/>
    <s v="WhatsApp"/>
    <n v="1.8"/>
    <x v="36"/>
    <x v="0"/>
  </r>
  <r>
    <s v="HC-01487"/>
    <s v="P-0127"/>
    <s v="Female"/>
    <n v="37"/>
    <x v="0"/>
    <s v="General Consultation"/>
    <d v="2025-02-11T00:00:00"/>
    <d v="2025-03-30T00:00:00"/>
    <s v="Sunday"/>
    <s v="Morning"/>
    <x v="2"/>
    <n v="47"/>
    <n v="4"/>
    <x v="2"/>
    <x v="0"/>
    <s v="Email"/>
    <n v="17.3"/>
    <x v="18"/>
    <x v="0"/>
  </r>
  <r>
    <s v="HC-01488"/>
    <s v="P-1577"/>
    <s v="Female"/>
    <n v="74"/>
    <x v="4"/>
    <s v="Diagnostic Test"/>
    <d v="2024-12-14T00:00:00"/>
    <d v="2025-01-01T00:00:00"/>
    <s v="Wednesday"/>
    <s v="Evening"/>
    <x v="3"/>
    <n v="18"/>
    <n v="4"/>
    <x v="1"/>
    <x v="0"/>
    <s v="Email"/>
    <n v="9"/>
    <x v="47"/>
    <x v="2"/>
  </r>
  <r>
    <s v="HC-01489"/>
    <s v="P-1436"/>
    <s v="Female"/>
    <n v="40"/>
    <x v="0"/>
    <s v="General Consultation"/>
    <d v="2025-02-22T00:00:00"/>
    <d v="2025-03-02T00:00:00"/>
    <s v="Sunday"/>
    <s v="Afternoon"/>
    <x v="0"/>
    <n v="8"/>
    <n v="1"/>
    <x v="0"/>
    <x v="0"/>
    <s v="SMS"/>
    <n v="13.9"/>
    <x v="9"/>
    <x v="1"/>
  </r>
  <r>
    <s v="HC-01490"/>
    <s v="P-0098"/>
    <s v="Female"/>
    <n v="60"/>
    <x v="3"/>
    <s v="General Consultation"/>
    <d v="2025-09-28T00:00:00"/>
    <d v="2025-10-05T00:00:00"/>
    <s v="Sunday"/>
    <s v="Morning"/>
    <x v="1"/>
    <n v="7"/>
    <n v="3"/>
    <x v="0"/>
    <x v="0"/>
    <s v="SMS"/>
    <n v="19.7"/>
    <x v="49"/>
    <x v="0"/>
  </r>
  <r>
    <s v="HC-01491"/>
    <s v="P-0903"/>
    <s v="Male"/>
    <n v="49"/>
    <x v="2"/>
    <s v="Diagnostic Test"/>
    <d v="2025-04-08T00:00:00"/>
    <d v="2025-05-31T00:00:00"/>
    <s v="Saturday"/>
    <s v="Afternoon"/>
    <x v="2"/>
    <n v="53"/>
    <n v="1"/>
    <x v="0"/>
    <x v="0"/>
    <s v="SMS"/>
    <n v="5.4"/>
    <x v="13"/>
    <x v="0"/>
  </r>
  <r>
    <s v="HC-01492"/>
    <s v="P-0782"/>
    <s v="Male"/>
    <n v="22"/>
    <x v="5"/>
    <s v="General Consultation"/>
    <d v="2025-08-23T00:00:00"/>
    <d v="2025-09-25T00:00:00"/>
    <s v="Thursday"/>
    <s v="Morning"/>
    <x v="2"/>
    <n v="33"/>
    <n v="1"/>
    <x v="0"/>
    <x v="0"/>
    <s v="WhatsApp"/>
    <n v="9.4"/>
    <x v="26"/>
    <x v="1"/>
  </r>
  <r>
    <s v="HC-01493"/>
    <s v="P-1268"/>
    <s v="Male"/>
    <n v="18"/>
    <x v="5"/>
    <s v="General Consultation"/>
    <d v="2024-12-29T00:00:00"/>
    <d v="2025-01-16T00:00:00"/>
    <s v="Thursday"/>
    <s v="Afternoon"/>
    <x v="3"/>
    <n v="18"/>
    <n v="4"/>
    <x v="1"/>
    <x v="1"/>
    <s v="None"/>
    <n v="5.8"/>
    <x v="9"/>
    <x v="1"/>
  </r>
  <r>
    <s v="HC-01494"/>
    <s v="P-0398"/>
    <s v="Male"/>
    <n v="29"/>
    <x v="1"/>
    <s v="General Consultation"/>
    <d v="2025-06-10T00:00:00"/>
    <d v="2025-07-01T00:00:00"/>
    <s v="Tuesday"/>
    <s v="Morning"/>
    <x v="3"/>
    <n v="21"/>
    <n v="2"/>
    <x v="0"/>
    <x v="0"/>
    <s v="WhatsApp"/>
    <n v="7.5"/>
    <x v="17"/>
    <x v="1"/>
  </r>
  <r>
    <s v="HC-01495"/>
    <s v="P-0567"/>
    <s v="Female"/>
    <n v="76"/>
    <x v="4"/>
    <s v="Follow-up"/>
    <d v="2025-07-26T00:00:00"/>
    <d v="2025-08-12T00:00:00"/>
    <s v="Tuesday"/>
    <s v="Morning"/>
    <x v="3"/>
    <n v="17"/>
    <n v="3"/>
    <x v="0"/>
    <x v="0"/>
    <s v="SMS"/>
    <n v="13.3"/>
    <x v="37"/>
    <x v="0"/>
  </r>
  <r>
    <s v="HC-01496"/>
    <s v="P-0643"/>
    <s v="Male"/>
    <n v="78"/>
    <x v="4"/>
    <s v="Diagnostic Test"/>
    <d v="2025-07-07T00:00:00"/>
    <d v="2025-08-24T00:00:00"/>
    <s v="Sunday"/>
    <s v="Morning"/>
    <x v="2"/>
    <n v="48"/>
    <n v="2"/>
    <x v="0"/>
    <x v="1"/>
    <s v="None"/>
    <n v="8.4"/>
    <x v="7"/>
    <x v="0"/>
  </r>
  <r>
    <s v="HC-01497"/>
    <s v="P-1484"/>
    <s v="Female"/>
    <n v="43"/>
    <x v="0"/>
    <s v="Specialist Consultation"/>
    <d v="2025-09-21T00:00:00"/>
    <d v="2025-10-28T00:00:00"/>
    <s v="Tuesday"/>
    <s v="Morning"/>
    <x v="2"/>
    <n v="37"/>
    <n v="3"/>
    <x v="0"/>
    <x v="0"/>
    <s v="SMS"/>
    <n v="9.3000000000000007"/>
    <x v="12"/>
    <x v="0"/>
  </r>
  <r>
    <s v="HC-01498"/>
    <s v="P-0470"/>
    <s v="Female"/>
    <n v="79"/>
    <x v="4"/>
    <s v="Follow-up"/>
    <d v="2026-01-09T00:00:00"/>
    <d v="2026-03-03T00:00:00"/>
    <s v="Tuesday"/>
    <s v="Afternoon"/>
    <x v="2"/>
    <n v="53"/>
    <n v="3"/>
    <x v="0"/>
    <x v="0"/>
    <s v="SMS"/>
    <n v="4.0999999999999996"/>
    <x v="4"/>
    <x v="0"/>
  </r>
  <r>
    <s v="HC-01499"/>
    <s v="P-0509"/>
    <s v="Male"/>
    <n v="21"/>
    <x v="5"/>
    <s v="Diagnostic Test"/>
    <d v="2025-08-26T00:00:00"/>
    <d v="2025-09-13T00:00:00"/>
    <s v="Saturday"/>
    <s v="Morning"/>
    <x v="3"/>
    <n v="18"/>
    <n v="5"/>
    <x v="0"/>
    <x v="0"/>
    <s v="SMS"/>
    <n v="8.1"/>
    <x v="17"/>
    <x v="1"/>
  </r>
  <r>
    <s v="HC-01500"/>
    <s v="P-1406"/>
    <s v="Male"/>
    <n v="78"/>
    <x v="4"/>
    <s v="Follow-up"/>
    <d v="2026-03-08T00:00:00"/>
    <d v="2026-04-05T00:00:00"/>
    <s v="Sunday"/>
    <s v="Afternoon"/>
    <x v="3"/>
    <n v="28"/>
    <n v="2"/>
    <x v="1"/>
    <x v="1"/>
    <s v="None"/>
    <n v="6.2"/>
    <x v="15"/>
    <x v="0"/>
  </r>
  <r>
    <s v="HC-01501"/>
    <s v="P-0332"/>
    <s v="Female"/>
    <n v="32"/>
    <x v="1"/>
    <s v="Specialist Consultation"/>
    <d v="2025-10-10T00:00:00"/>
    <d v="2025-10-17T00:00:00"/>
    <s v="Friday"/>
    <s v="Afternoon"/>
    <x v="1"/>
    <n v="7"/>
    <n v="5"/>
    <x v="1"/>
    <x v="0"/>
    <s v="Email"/>
    <n v="8.9"/>
    <x v="47"/>
    <x v="1"/>
  </r>
  <r>
    <s v="HC-01502"/>
    <s v="P-0455"/>
    <s v="Prefer not to say"/>
    <n v="20"/>
    <x v="5"/>
    <s v="General Consultation"/>
    <d v="2025-03-25T00:00:00"/>
    <d v="2025-05-23T00:00:00"/>
    <s v="Friday"/>
    <s v="Afternoon"/>
    <x v="2"/>
    <n v="59"/>
    <n v="2"/>
    <x v="1"/>
    <x v="0"/>
    <s v="SMS"/>
    <n v="3.8"/>
    <x v="21"/>
    <x v="1"/>
  </r>
  <r>
    <s v="HC-01503"/>
    <s v="P-0741"/>
    <s v="Male"/>
    <n v="65"/>
    <x v="4"/>
    <s v="Follow-up"/>
    <d v="2025-04-05T00:00:00"/>
    <d v="2025-05-06T00:00:00"/>
    <s v="Tuesday"/>
    <s v="Afternoon"/>
    <x v="2"/>
    <n v="31"/>
    <n v="2"/>
    <x v="1"/>
    <x v="0"/>
    <s v="SMS"/>
    <n v="5.5"/>
    <x v="20"/>
    <x v="1"/>
  </r>
  <r>
    <s v="HC-01504"/>
    <s v="P-1622"/>
    <s v="Female"/>
    <n v="42"/>
    <x v="0"/>
    <s v="General Consultation"/>
    <d v="2025-05-24T00:00:00"/>
    <d v="2025-06-26T00:00:00"/>
    <s v="Thursday"/>
    <s v="Morning"/>
    <x v="2"/>
    <n v="33"/>
    <n v="3"/>
    <x v="1"/>
    <x v="0"/>
    <s v="SMS"/>
    <n v="10.4"/>
    <x v="15"/>
    <x v="1"/>
  </r>
  <r>
    <s v="HC-01505"/>
    <s v="P-0628"/>
    <s v="Male"/>
    <n v="36"/>
    <x v="0"/>
    <s v="General Consultation"/>
    <d v="2025-10-29T00:00:00"/>
    <d v="2025-11-23T00:00:00"/>
    <s v="Sunday"/>
    <s v="Morning"/>
    <x v="3"/>
    <n v="25"/>
    <n v="1"/>
    <x v="0"/>
    <x v="0"/>
    <s v="SMS"/>
    <n v="12.8"/>
    <x v="37"/>
    <x v="0"/>
  </r>
  <r>
    <s v="HC-01506"/>
    <s v="P-1272"/>
    <s v="Male"/>
    <n v="65"/>
    <x v="4"/>
    <s v="Specialist Consultation"/>
    <d v="2025-04-27T00:00:00"/>
    <d v="2025-05-13T00:00:00"/>
    <s v="Tuesday"/>
    <s v="Afternoon"/>
    <x v="3"/>
    <n v="16"/>
    <n v="4"/>
    <x v="1"/>
    <x v="0"/>
    <s v="WhatsApp"/>
    <n v="9.8000000000000007"/>
    <x v="7"/>
    <x v="0"/>
  </r>
  <r>
    <s v="HC-01507"/>
    <s v="P-0521"/>
    <s v="Male"/>
    <n v="38"/>
    <x v="0"/>
    <s v="General Consultation"/>
    <d v="2026-03-19T00:00:00"/>
    <d v="2026-05-15T00:00:00"/>
    <s v="Friday"/>
    <s v="Evening"/>
    <x v="2"/>
    <n v="57"/>
    <n v="3"/>
    <x v="0"/>
    <x v="0"/>
    <s v="WhatsApp"/>
    <n v="7"/>
    <x v="11"/>
    <x v="0"/>
  </r>
  <r>
    <s v="HC-01508"/>
    <s v="P-0527"/>
    <s v="Male"/>
    <n v="65"/>
    <x v="4"/>
    <s v="Follow-up"/>
    <d v="2025-08-22T00:00:00"/>
    <d v="2025-09-20T00:00:00"/>
    <s v="Saturday"/>
    <s v="Evening"/>
    <x v="3"/>
    <n v="29"/>
    <n v="5"/>
    <x v="2"/>
    <x v="0"/>
    <s v="SMS"/>
    <n v="5.2"/>
    <x v="7"/>
    <x v="1"/>
  </r>
  <r>
    <s v="HC-01509"/>
    <s v="P-1742"/>
    <s v="Female"/>
    <n v="30"/>
    <x v="1"/>
    <s v="Follow-up"/>
    <d v="2026-03-07T00:00:00"/>
    <d v="2026-04-17T00:00:00"/>
    <s v="Friday"/>
    <s v="Evening"/>
    <x v="2"/>
    <n v="41"/>
    <n v="2"/>
    <x v="1"/>
    <x v="0"/>
    <s v="SMS"/>
    <n v="1.7"/>
    <x v="26"/>
    <x v="0"/>
  </r>
  <r>
    <s v="HC-01510"/>
    <s v="P-0118"/>
    <s v="Male"/>
    <n v="23"/>
    <x v="5"/>
    <s v="General Consultation"/>
    <d v="2026-01-07T00:00:00"/>
    <d v="2026-01-09T00:00:00"/>
    <s v="Friday"/>
    <s v="Afternoon"/>
    <x v="1"/>
    <n v="2"/>
    <n v="3"/>
    <x v="0"/>
    <x v="0"/>
    <s v="SMS"/>
    <n v="19"/>
    <x v="27"/>
    <x v="1"/>
  </r>
  <r>
    <s v="HC-01511"/>
    <s v="P-0248"/>
    <s v="Female"/>
    <n v="38"/>
    <x v="0"/>
    <s v="Follow-up"/>
    <d v="2025-06-16T00:00:00"/>
    <d v="2025-07-02T00:00:00"/>
    <s v="Wednesday"/>
    <s v="Evening"/>
    <x v="3"/>
    <n v="16"/>
    <n v="2"/>
    <x v="0"/>
    <x v="0"/>
    <s v="WhatsApp"/>
    <n v="16.5"/>
    <x v="31"/>
    <x v="1"/>
  </r>
  <r>
    <s v="HC-01512"/>
    <s v="P-0310"/>
    <s v="Male"/>
    <n v="56"/>
    <x v="3"/>
    <s v="Follow-up"/>
    <d v="2025-03-17T00:00:00"/>
    <d v="2025-05-05T00:00:00"/>
    <s v="Monday"/>
    <s v="Morning"/>
    <x v="2"/>
    <n v="49"/>
    <n v="5"/>
    <x v="0"/>
    <x v="0"/>
    <s v="SMS"/>
    <n v="20.8"/>
    <x v="58"/>
    <x v="1"/>
  </r>
  <r>
    <s v="HC-01513"/>
    <s v="P-0291"/>
    <s v="Male"/>
    <n v="32"/>
    <x v="1"/>
    <s v="Diagnostic Test"/>
    <d v="2026-02-06T00:00:00"/>
    <d v="2026-02-11T00:00:00"/>
    <s v="Wednesday"/>
    <s v="Afternoon"/>
    <x v="1"/>
    <n v="5"/>
    <n v="3"/>
    <x v="0"/>
    <x v="0"/>
    <s v="Email"/>
    <n v="20.399999999999999"/>
    <x v="10"/>
    <x v="1"/>
  </r>
  <r>
    <s v="HC-01514"/>
    <s v="P-0938"/>
    <s v="Male"/>
    <n v="27"/>
    <x v="1"/>
    <s v="General Consultation"/>
    <d v="2025-06-24T00:00:00"/>
    <d v="2025-06-30T00:00:00"/>
    <s v="Monday"/>
    <s v="Evening"/>
    <x v="1"/>
    <n v="6"/>
    <n v="1"/>
    <x v="0"/>
    <x v="0"/>
    <s v="SMS"/>
    <n v="10.7"/>
    <x v="15"/>
    <x v="1"/>
  </r>
  <r>
    <s v="HC-01515"/>
    <s v="P-0294"/>
    <s v="Female"/>
    <n v="65"/>
    <x v="4"/>
    <s v="Diagnostic Test"/>
    <d v="2025-03-27T00:00:00"/>
    <d v="2025-05-15T00:00:00"/>
    <s v="Thursday"/>
    <s v="Afternoon"/>
    <x v="2"/>
    <n v="49"/>
    <n v="8"/>
    <x v="3"/>
    <x v="0"/>
    <s v="WhatsApp"/>
    <n v="32.200000000000003"/>
    <x v="11"/>
    <x v="0"/>
  </r>
  <r>
    <s v="HC-01516"/>
    <s v="P-1487"/>
    <s v="Female"/>
    <n v="49"/>
    <x v="2"/>
    <s v="Specialist Consultation"/>
    <d v="2026-05-05T00:00:00"/>
    <d v="2026-05-23T00:00:00"/>
    <s v="Saturday"/>
    <s v="Morning"/>
    <x v="3"/>
    <n v="18"/>
    <n v="3"/>
    <x v="0"/>
    <x v="0"/>
    <s v="SMS"/>
    <n v="7.7"/>
    <x v="36"/>
    <x v="1"/>
  </r>
  <r>
    <s v="HC-01517"/>
    <s v="P-1197"/>
    <s v="Male"/>
    <n v="45"/>
    <x v="2"/>
    <s v="Follow-up"/>
    <d v="2025-09-05T00:00:00"/>
    <d v="2025-09-21T00:00:00"/>
    <s v="Sunday"/>
    <s v="Morning"/>
    <x v="3"/>
    <n v="16"/>
    <n v="5"/>
    <x v="2"/>
    <x v="1"/>
    <s v="None"/>
    <n v="9.4"/>
    <x v="52"/>
    <x v="1"/>
  </r>
  <r>
    <s v="HC-01518"/>
    <s v="P-0691"/>
    <s v="Female"/>
    <n v="33"/>
    <x v="1"/>
    <s v="General Consultation"/>
    <d v="2024-12-24T00:00:00"/>
    <d v="2025-01-27T00:00:00"/>
    <s v="Monday"/>
    <s v="Morning"/>
    <x v="2"/>
    <n v="34"/>
    <n v="2"/>
    <x v="0"/>
    <x v="1"/>
    <s v="None"/>
    <n v="5.3"/>
    <x v="12"/>
    <x v="2"/>
  </r>
  <r>
    <s v="HC-01519"/>
    <s v="P-0772"/>
    <s v="Female"/>
    <n v="19"/>
    <x v="5"/>
    <s v="Specialist Consultation"/>
    <d v="2025-09-17T00:00:00"/>
    <d v="2025-09-28T00:00:00"/>
    <s v="Sunday"/>
    <s v="Morning"/>
    <x v="0"/>
    <n v="11"/>
    <n v="4"/>
    <x v="0"/>
    <x v="0"/>
    <s v="Email"/>
    <n v="2.9"/>
    <x v="9"/>
    <x v="1"/>
  </r>
  <r>
    <s v="HC-01520"/>
    <s v="P-0721"/>
    <s v="Female"/>
    <n v="21"/>
    <x v="5"/>
    <s v="Specialist Consultation"/>
    <d v="2025-09-07T00:00:00"/>
    <d v="2025-09-09T00:00:00"/>
    <s v="Tuesday"/>
    <s v="Afternoon"/>
    <x v="1"/>
    <n v="2"/>
    <n v="2"/>
    <x v="0"/>
    <x v="1"/>
    <s v="None"/>
    <n v="6.2"/>
    <x v="35"/>
    <x v="1"/>
  </r>
  <r>
    <s v="HC-01521"/>
    <s v="P-0885"/>
    <s v="Male"/>
    <n v="60"/>
    <x v="3"/>
    <s v="General Consultation"/>
    <d v="2026-04-17T00:00:00"/>
    <d v="2026-04-17T00:00:00"/>
    <s v="Friday"/>
    <s v="Afternoon"/>
    <x v="1"/>
    <n v="0"/>
    <n v="4"/>
    <x v="0"/>
    <x v="0"/>
    <s v="Email"/>
    <n v="5.9"/>
    <x v="31"/>
    <x v="1"/>
  </r>
  <r>
    <s v="HC-01522"/>
    <s v="P-1647"/>
    <s v="Female"/>
    <n v="23"/>
    <x v="5"/>
    <s v="Diagnostic Test"/>
    <d v="2026-01-20T00:00:00"/>
    <d v="2026-01-24T00:00:00"/>
    <s v="Saturday"/>
    <s v="Morning"/>
    <x v="1"/>
    <n v="4"/>
    <n v="5"/>
    <x v="1"/>
    <x v="0"/>
    <s v="SMS"/>
    <n v="14"/>
    <x v="35"/>
    <x v="1"/>
  </r>
  <r>
    <s v="HC-01523"/>
    <s v="P-0482"/>
    <s v="Male"/>
    <n v="33"/>
    <x v="1"/>
    <s v="Diagnostic Test"/>
    <d v="2025-04-06T00:00:00"/>
    <d v="2025-04-15T00:00:00"/>
    <s v="Tuesday"/>
    <s v="Afternoon"/>
    <x v="0"/>
    <n v="9"/>
    <n v="4"/>
    <x v="1"/>
    <x v="0"/>
    <s v="Email"/>
    <n v="10"/>
    <x v="2"/>
    <x v="1"/>
  </r>
  <r>
    <s v="HC-01524"/>
    <s v="P-0769"/>
    <s v="Male"/>
    <n v="75"/>
    <x v="4"/>
    <s v="Follow-up"/>
    <d v="2025-02-10T00:00:00"/>
    <d v="2025-03-24T00:00:00"/>
    <s v="Monday"/>
    <s v="Morning"/>
    <x v="2"/>
    <n v="42"/>
    <n v="6"/>
    <x v="1"/>
    <x v="0"/>
    <s v="SMS"/>
    <n v="11.9"/>
    <x v="5"/>
    <x v="0"/>
  </r>
  <r>
    <s v="HC-01525"/>
    <s v="P-0620"/>
    <s v="Male"/>
    <n v="39"/>
    <x v="0"/>
    <s v="Specialist Consultation"/>
    <d v="2025-11-08T00:00:00"/>
    <d v="2025-11-26T00:00:00"/>
    <s v="Wednesday"/>
    <s v="Afternoon"/>
    <x v="3"/>
    <n v="18"/>
    <n v="3"/>
    <x v="0"/>
    <x v="1"/>
    <s v="None"/>
    <n v="10.7"/>
    <x v="7"/>
    <x v="1"/>
  </r>
  <r>
    <s v="HC-01526"/>
    <s v="P-0307"/>
    <s v="Female"/>
    <n v="64"/>
    <x v="3"/>
    <s v="Follow-up"/>
    <d v="2025-01-22T00:00:00"/>
    <d v="2025-01-26T00:00:00"/>
    <s v="Sunday"/>
    <s v="Morning"/>
    <x v="1"/>
    <n v="4"/>
    <n v="1"/>
    <x v="0"/>
    <x v="0"/>
    <s v="WhatsApp"/>
    <n v="10.9"/>
    <x v="39"/>
    <x v="0"/>
  </r>
  <r>
    <s v="HC-01527"/>
    <s v="P-1090"/>
    <s v="Female"/>
    <n v="39"/>
    <x v="0"/>
    <s v="Specialist Consultation"/>
    <d v="2025-06-24T00:00:00"/>
    <d v="2025-06-24T00:00:00"/>
    <s v="Tuesday"/>
    <s v="Afternoon"/>
    <x v="1"/>
    <n v="0"/>
    <n v="3"/>
    <x v="0"/>
    <x v="1"/>
    <s v="None"/>
    <n v="5.5"/>
    <x v="11"/>
    <x v="0"/>
  </r>
  <r>
    <s v="HC-01528"/>
    <s v="P-0329"/>
    <s v="Female"/>
    <n v="76"/>
    <x v="4"/>
    <s v="Specialist Consultation"/>
    <d v="2025-02-16T00:00:00"/>
    <d v="2025-03-17T00:00:00"/>
    <s v="Monday"/>
    <s v="Afternoon"/>
    <x v="3"/>
    <n v="29"/>
    <n v="5"/>
    <x v="1"/>
    <x v="0"/>
    <s v="WhatsApp"/>
    <n v="10.5"/>
    <x v="21"/>
    <x v="0"/>
  </r>
  <r>
    <s v="HC-01529"/>
    <s v="P-1296"/>
    <s v="Female"/>
    <n v="69"/>
    <x v="4"/>
    <s v="General Consultation"/>
    <d v="2024-11-22T00:00:00"/>
    <d v="2025-01-12T00:00:00"/>
    <s v="Sunday"/>
    <s v="Afternoon"/>
    <x v="2"/>
    <n v="51"/>
    <n v="5"/>
    <x v="1"/>
    <x v="0"/>
    <s v="WhatsApp"/>
    <n v="14.6"/>
    <x v="14"/>
    <x v="0"/>
  </r>
  <r>
    <s v="HC-01530"/>
    <s v="P-1531"/>
    <s v="Male"/>
    <n v="47"/>
    <x v="2"/>
    <s v="General Consultation"/>
    <d v="2026-04-27T00:00:00"/>
    <d v="2026-05-17T00:00:00"/>
    <s v="Sunday"/>
    <s v="Afternoon"/>
    <x v="3"/>
    <n v="20"/>
    <n v="2"/>
    <x v="0"/>
    <x v="0"/>
    <s v="WhatsApp"/>
    <n v="18.399999999999999"/>
    <x v="18"/>
    <x v="0"/>
  </r>
  <r>
    <s v="HC-01531"/>
    <s v="P-1150"/>
    <s v="Male"/>
    <n v="61"/>
    <x v="3"/>
    <s v="General Consultation"/>
    <d v="2025-02-16T00:00:00"/>
    <d v="2025-02-19T00:00:00"/>
    <s v="Wednesday"/>
    <s v="Morning"/>
    <x v="1"/>
    <n v="3"/>
    <n v="3"/>
    <x v="1"/>
    <x v="0"/>
    <s v="SMS"/>
    <n v="16.3"/>
    <x v="42"/>
    <x v="1"/>
  </r>
  <r>
    <s v="HC-01532"/>
    <s v="P-0864"/>
    <s v="Male"/>
    <n v="44"/>
    <x v="0"/>
    <s v="Diagnostic Test"/>
    <d v="2024-12-24T00:00:00"/>
    <d v="2025-01-06T00:00:00"/>
    <s v="Monday"/>
    <s v="Afternoon"/>
    <x v="0"/>
    <n v="13"/>
    <n v="2"/>
    <x v="0"/>
    <x v="0"/>
    <s v="WhatsApp"/>
    <n v="13.1"/>
    <x v="8"/>
    <x v="1"/>
  </r>
  <r>
    <s v="HC-01533"/>
    <s v="P-1284"/>
    <s v="Male"/>
    <n v="77"/>
    <x v="4"/>
    <s v="General Consultation"/>
    <d v="2026-04-25T00:00:00"/>
    <d v="2026-05-25T00:00:00"/>
    <s v="Monday"/>
    <s v="Morning"/>
    <x v="3"/>
    <n v="30"/>
    <n v="3"/>
    <x v="1"/>
    <x v="0"/>
    <s v="SMS"/>
    <n v="9.9"/>
    <x v="16"/>
    <x v="1"/>
  </r>
  <r>
    <s v="HC-01534"/>
    <s v="P-1411"/>
    <s v="Male"/>
    <n v="40"/>
    <x v="0"/>
    <s v="Diagnostic Test"/>
    <d v="2025-04-02T00:00:00"/>
    <d v="2025-04-13T00:00:00"/>
    <s v="Sunday"/>
    <s v="Afternoon"/>
    <x v="0"/>
    <n v="11"/>
    <n v="6"/>
    <x v="1"/>
    <x v="0"/>
    <s v="SMS"/>
    <m/>
    <x v="3"/>
    <x v="2"/>
  </r>
  <r>
    <s v="HC-01535"/>
    <s v="P-0899"/>
    <s v="Prefer not to say"/>
    <n v="70"/>
    <x v="4"/>
    <s v="Follow-up"/>
    <d v="2026-01-22T00:00:00"/>
    <d v="2026-03-22T00:00:00"/>
    <s v="Sunday"/>
    <s v="Afternoon"/>
    <x v="2"/>
    <n v="59"/>
    <n v="1"/>
    <x v="0"/>
    <x v="1"/>
    <s v="None"/>
    <n v="10.9"/>
    <x v="15"/>
    <x v="1"/>
  </r>
  <r>
    <s v="HC-01536"/>
    <s v="P-1031"/>
    <s v="Male"/>
    <n v="56"/>
    <x v="3"/>
    <s v="General Consultation"/>
    <d v="2024-12-03T00:00:00"/>
    <d v="2025-01-18T00:00:00"/>
    <s v="Saturday"/>
    <s v="Afternoon"/>
    <x v="2"/>
    <n v="46"/>
    <n v="4"/>
    <x v="0"/>
    <x v="0"/>
    <s v="SMS"/>
    <n v="21.4"/>
    <x v="31"/>
    <x v="0"/>
  </r>
  <r>
    <s v="HC-01537"/>
    <s v="P-0575"/>
    <s v="Female"/>
    <n v="58"/>
    <x v="3"/>
    <s v="Diagnostic Test"/>
    <d v="2025-03-04T00:00:00"/>
    <d v="2025-03-25T00:00:00"/>
    <s v="Tuesday"/>
    <s v="Evening"/>
    <x v="3"/>
    <n v="21"/>
    <n v="3"/>
    <x v="1"/>
    <x v="0"/>
    <s v="SMS"/>
    <n v="7.3"/>
    <x v="17"/>
    <x v="1"/>
  </r>
  <r>
    <s v="HC-01538"/>
    <s v="P-0378"/>
    <s v="Female"/>
    <n v="40"/>
    <x v="0"/>
    <s v="Follow-up"/>
    <d v="2025-01-03T00:00:00"/>
    <d v="2025-03-02T00:00:00"/>
    <s v="Sunday"/>
    <s v="Morning"/>
    <x v="2"/>
    <n v="58"/>
    <n v="3"/>
    <x v="1"/>
    <x v="0"/>
    <s v="WhatsApp"/>
    <n v="24.4"/>
    <x v="25"/>
    <x v="0"/>
  </r>
  <r>
    <s v="HC-01539"/>
    <s v="P-0107"/>
    <s v="Male"/>
    <n v="70"/>
    <x v="4"/>
    <s v="General Consultation"/>
    <d v="2026-01-02T00:00:00"/>
    <d v="2026-01-21T00:00:00"/>
    <s v="Wednesday"/>
    <s v="Afternoon"/>
    <x v="3"/>
    <n v="19"/>
    <n v="0"/>
    <x v="0"/>
    <x v="0"/>
    <s v="SMS"/>
    <n v="11.2"/>
    <x v="22"/>
    <x v="1"/>
  </r>
  <r>
    <s v="HC-01540"/>
    <s v="P-0448"/>
    <s v="Male"/>
    <n v="65"/>
    <x v="4"/>
    <s v="General Consultation"/>
    <d v="2025-11-27T00:00:00"/>
    <d v="2025-12-05T00:00:00"/>
    <s v="Friday"/>
    <s v="Morning"/>
    <x v="0"/>
    <n v="8"/>
    <n v="1"/>
    <x v="0"/>
    <x v="0"/>
    <s v="SMS"/>
    <n v="19"/>
    <x v="20"/>
    <x v="1"/>
  </r>
  <r>
    <s v="HC-01541"/>
    <s v="P-0612"/>
    <s v="Male"/>
    <n v="69"/>
    <x v="4"/>
    <s v="General Consultation"/>
    <d v="2025-07-22T00:00:00"/>
    <d v="2025-09-17T00:00:00"/>
    <s v="Wednesday"/>
    <s v="Afternoon"/>
    <x v="2"/>
    <n v="57"/>
    <n v="7"/>
    <x v="2"/>
    <x v="0"/>
    <s v="WhatsApp"/>
    <n v="5.8"/>
    <x v="16"/>
    <x v="0"/>
  </r>
  <r>
    <s v="HC-01542"/>
    <s v="P-0247"/>
    <s v="Female"/>
    <n v="68"/>
    <x v="4"/>
    <s v="General Consultation"/>
    <d v="2025-03-15T00:00:00"/>
    <d v="2025-05-12T00:00:00"/>
    <s v="Monday"/>
    <s v="Afternoon"/>
    <x v="2"/>
    <n v="58"/>
    <n v="4"/>
    <x v="0"/>
    <x v="0"/>
    <s v="SMS"/>
    <n v="5.3"/>
    <x v="1"/>
    <x v="1"/>
  </r>
  <r>
    <s v="HC-01543"/>
    <s v="P-1572"/>
    <s v="Male"/>
    <n v="27"/>
    <x v="1"/>
    <s v="General Consultation"/>
    <d v="2025-01-30T00:00:00"/>
    <d v="2025-02-18T00:00:00"/>
    <s v="Tuesday"/>
    <s v="Afternoon"/>
    <x v="3"/>
    <n v="19"/>
    <n v="2"/>
    <x v="0"/>
    <x v="0"/>
    <s v="WhatsApp"/>
    <n v="3.2"/>
    <x v="31"/>
    <x v="0"/>
  </r>
  <r>
    <s v="HC-01544"/>
    <s v="P-0182"/>
    <s v="Female"/>
    <n v="73"/>
    <x v="4"/>
    <s v="Follow-up"/>
    <d v="2025-10-02T00:00:00"/>
    <d v="2025-11-07T00:00:00"/>
    <s v="Friday"/>
    <s v="Afternoon"/>
    <x v="2"/>
    <n v="36"/>
    <n v="5"/>
    <x v="0"/>
    <x v="0"/>
    <s v="WhatsApp"/>
    <n v="21.2"/>
    <x v="4"/>
    <x v="2"/>
  </r>
  <r>
    <s v="HC-01545"/>
    <s v="P-0598"/>
    <s v="Female"/>
    <n v="71"/>
    <x v="4"/>
    <s v="General Consultation"/>
    <d v="2025-04-26T00:00:00"/>
    <d v="2025-05-06T00:00:00"/>
    <s v="Tuesday"/>
    <s v="Afternoon"/>
    <x v="0"/>
    <n v="10"/>
    <n v="4"/>
    <x v="0"/>
    <x v="1"/>
    <s v="None"/>
    <n v="11.2"/>
    <x v="5"/>
    <x v="0"/>
  </r>
  <r>
    <s v="HC-01546"/>
    <s v="P-1101"/>
    <s v="Male"/>
    <n v="33"/>
    <x v="1"/>
    <s v="General Consultation"/>
    <d v="2025-10-11T00:00:00"/>
    <d v="2025-11-19T00:00:00"/>
    <s v="Wednesday"/>
    <s v="Morning"/>
    <x v="2"/>
    <n v="39"/>
    <n v="2"/>
    <x v="1"/>
    <x v="0"/>
    <s v="SMS"/>
    <n v="14.4"/>
    <x v="15"/>
    <x v="0"/>
  </r>
  <r>
    <s v="HC-01547"/>
    <s v="P-0281"/>
    <s v="Male"/>
    <n v="79"/>
    <x v="4"/>
    <s v="General Consultation"/>
    <d v="2025-11-30T00:00:00"/>
    <d v="2026-01-11T00:00:00"/>
    <s v="Sunday"/>
    <s v="Evening"/>
    <x v="2"/>
    <n v="42"/>
    <n v="2"/>
    <x v="0"/>
    <x v="1"/>
    <s v="None"/>
    <n v="9.4"/>
    <x v="18"/>
    <x v="0"/>
  </r>
  <r>
    <s v="HC-01548"/>
    <s v="P-1423"/>
    <s v="Female"/>
    <n v="51"/>
    <x v="2"/>
    <s v="General Consultation"/>
    <d v="2026-02-25T00:00:00"/>
    <d v="2026-04-09T00:00:00"/>
    <s v="Thursday"/>
    <s v="Evening"/>
    <x v="2"/>
    <n v="43"/>
    <n v="3"/>
    <x v="0"/>
    <x v="0"/>
    <s v="WhatsApp"/>
    <n v="10"/>
    <x v="20"/>
    <x v="1"/>
  </r>
  <r>
    <s v="HC-01549"/>
    <s v="P-1218"/>
    <s v="Female"/>
    <n v="38"/>
    <x v="0"/>
    <s v="Diagnostic Test"/>
    <d v="2025-08-24T00:00:00"/>
    <d v="2025-09-27T00:00:00"/>
    <s v="Saturday"/>
    <s v="Morning"/>
    <x v="2"/>
    <n v="34"/>
    <n v="3"/>
    <x v="0"/>
    <x v="0"/>
    <s v="SMS"/>
    <n v="2.8"/>
    <x v="6"/>
    <x v="1"/>
  </r>
  <r>
    <s v="HC-01550"/>
    <s v="P-1234"/>
    <s v="Male"/>
    <n v="32"/>
    <x v="1"/>
    <s v="General Consultation"/>
    <d v="2024-11-22T00:00:00"/>
    <d v="2025-01-03T00:00:00"/>
    <s v="Friday"/>
    <s v="Morning"/>
    <x v="2"/>
    <n v="42"/>
    <n v="2"/>
    <x v="1"/>
    <x v="0"/>
    <s v="SMS"/>
    <n v="11.3"/>
    <x v="26"/>
    <x v="1"/>
  </r>
  <r>
    <s v="HC-01551"/>
    <s v="P-1387"/>
    <s v="Female"/>
    <n v="40"/>
    <x v="0"/>
    <s v="General Consultation"/>
    <d v="2025-05-01T00:00:00"/>
    <d v="2025-06-03T00:00:00"/>
    <s v="Tuesday"/>
    <s v="Morning"/>
    <x v="2"/>
    <n v="33"/>
    <n v="3"/>
    <x v="0"/>
    <x v="1"/>
    <s v="None"/>
    <n v="15.5"/>
    <x v="20"/>
    <x v="0"/>
  </r>
  <r>
    <s v="HC-01552"/>
    <s v="P-1627"/>
    <s v="Female"/>
    <n v="20"/>
    <x v="5"/>
    <s v="Follow-up"/>
    <d v="2026-02-20T00:00:00"/>
    <d v="2026-04-11T00:00:00"/>
    <s v="Saturday"/>
    <s v="Afternoon"/>
    <x v="2"/>
    <n v="50"/>
    <n v="4"/>
    <x v="1"/>
    <x v="1"/>
    <s v="None"/>
    <n v="1.4"/>
    <x v="42"/>
    <x v="0"/>
  </r>
  <r>
    <s v="HC-01553"/>
    <s v="P-0946"/>
    <s v="Male"/>
    <n v="61"/>
    <x v="3"/>
    <s v="Diagnostic Test"/>
    <d v="2025-10-09T00:00:00"/>
    <d v="2025-10-19T00:00:00"/>
    <s v="Sunday"/>
    <s v="Evening"/>
    <x v="0"/>
    <n v="10"/>
    <n v="2"/>
    <x v="0"/>
    <x v="0"/>
    <s v="Email"/>
    <n v="6.6"/>
    <x v="23"/>
    <x v="0"/>
  </r>
  <r>
    <s v="HC-01554"/>
    <s v="P-1632"/>
    <s v="Male"/>
    <n v="62"/>
    <x v="3"/>
    <s v="Specialist Consultation"/>
    <d v="2025-11-06T00:00:00"/>
    <d v="2025-12-05T00:00:00"/>
    <s v="Friday"/>
    <s v="Afternoon"/>
    <x v="3"/>
    <n v="29"/>
    <n v="4"/>
    <x v="0"/>
    <x v="0"/>
    <s v="SMS"/>
    <n v="4.9000000000000004"/>
    <x v="29"/>
    <x v="1"/>
  </r>
  <r>
    <s v="HC-01555"/>
    <s v="P-1691"/>
    <s v="Female"/>
    <n v="60"/>
    <x v="3"/>
    <s v="Specialist Consultation"/>
    <d v="2025-08-13T00:00:00"/>
    <d v="2025-09-07T00:00:00"/>
    <s v="Sunday"/>
    <s v="Morning"/>
    <x v="3"/>
    <n v="25"/>
    <n v="4"/>
    <x v="0"/>
    <x v="0"/>
    <s v="WhatsApp"/>
    <n v="12.9"/>
    <x v="20"/>
    <x v="1"/>
  </r>
  <r>
    <s v="HC-01556"/>
    <s v="P-1703"/>
    <s v="Male"/>
    <n v="52"/>
    <x v="2"/>
    <s v="Diagnostic Test"/>
    <d v="2025-02-26T00:00:00"/>
    <d v="2025-03-30T00:00:00"/>
    <s v="Sunday"/>
    <s v="Morning"/>
    <x v="2"/>
    <n v="32"/>
    <n v="3"/>
    <x v="0"/>
    <x v="0"/>
    <s v="WhatsApp"/>
    <n v="12.5"/>
    <x v="17"/>
    <x v="2"/>
  </r>
  <r>
    <s v="HC-01557"/>
    <s v="P-1575"/>
    <s v="Male"/>
    <n v="40"/>
    <x v="0"/>
    <s v="Follow-up"/>
    <d v="2026-04-27T00:00:00"/>
    <d v="2026-05-05T00:00:00"/>
    <s v="Tuesday"/>
    <s v="Afternoon"/>
    <x v="0"/>
    <n v="8"/>
    <n v="0"/>
    <x v="0"/>
    <x v="0"/>
    <s v="SMS"/>
    <n v="14.4"/>
    <x v="28"/>
    <x v="1"/>
  </r>
  <r>
    <s v="HC-01558"/>
    <s v="P-1385"/>
    <s v="Female"/>
    <n v="63"/>
    <x v="3"/>
    <s v="Diagnostic Test"/>
    <d v="2026-02-08T00:00:00"/>
    <d v="2026-02-27T00:00:00"/>
    <s v="Friday"/>
    <s v="Morning"/>
    <x v="3"/>
    <n v="19"/>
    <n v="3"/>
    <x v="1"/>
    <x v="0"/>
    <s v="WhatsApp"/>
    <n v="0.5"/>
    <x v="45"/>
    <x v="1"/>
  </r>
  <r>
    <s v="HC-01559"/>
    <s v="P-1765"/>
    <s v="Female"/>
    <n v="72"/>
    <x v="4"/>
    <s v="General Consultation"/>
    <d v="2026-05-01T00:00:00"/>
    <d v="2026-06-28T00:00:00"/>
    <s v="Sunday"/>
    <s v="Morning"/>
    <x v="2"/>
    <n v="58"/>
    <n v="1"/>
    <x v="0"/>
    <x v="0"/>
    <s v="SMS"/>
    <n v="9.5"/>
    <x v="8"/>
    <x v="1"/>
  </r>
  <r>
    <s v="HC-01560"/>
    <s v="P-0861"/>
    <s v="Female"/>
    <n v="23"/>
    <x v="5"/>
    <s v="Specialist Consultation"/>
    <d v="2026-04-07T00:00:00"/>
    <d v="2026-04-13T00:00:00"/>
    <s v="Monday"/>
    <s v="Morning"/>
    <x v="1"/>
    <n v="6"/>
    <n v="3"/>
    <x v="1"/>
    <x v="0"/>
    <s v="SMS"/>
    <n v="1.8"/>
    <x v="4"/>
    <x v="1"/>
  </r>
  <r>
    <s v="HC-01561"/>
    <s v="P-0347"/>
    <s v="Female"/>
    <n v="42"/>
    <x v="0"/>
    <s v="Specialist Consultation"/>
    <d v="2025-05-01T00:00:00"/>
    <d v="2025-06-08T00:00:00"/>
    <s v="Sunday"/>
    <s v="Morning"/>
    <x v="2"/>
    <n v="38"/>
    <n v="3"/>
    <x v="1"/>
    <x v="1"/>
    <s v="None"/>
    <n v="10.9"/>
    <x v="6"/>
    <x v="0"/>
  </r>
  <r>
    <s v="HC-01562"/>
    <s v="P-0627"/>
    <s v="Male"/>
    <n v="80"/>
    <x v="4"/>
    <s v="Diagnostic Test"/>
    <d v="2025-04-09T00:00:00"/>
    <d v="2025-05-19T00:00:00"/>
    <s v="Monday"/>
    <s v="Morning"/>
    <x v="2"/>
    <n v="40"/>
    <n v="0"/>
    <x v="0"/>
    <x v="0"/>
    <s v="SMS"/>
    <n v="2.9"/>
    <x v="0"/>
    <x v="1"/>
  </r>
  <r>
    <s v="HC-01563"/>
    <s v="P-0473"/>
    <s v="Female"/>
    <n v="72"/>
    <x v="4"/>
    <s v="Follow-up"/>
    <d v="2025-04-18T00:00:00"/>
    <d v="2025-05-16T00:00:00"/>
    <s v="Friday"/>
    <s v="Afternoon"/>
    <x v="3"/>
    <n v="28"/>
    <n v="1"/>
    <x v="0"/>
    <x v="0"/>
    <s v="SMS"/>
    <n v="12.3"/>
    <x v="1"/>
    <x v="1"/>
  </r>
  <r>
    <s v="HC-01564"/>
    <s v="P-0142"/>
    <s v="Prefer not to say"/>
    <n v="80"/>
    <x v="4"/>
    <s v="Specialist Consultation"/>
    <d v="2026-05-15T00:00:00"/>
    <d v="2026-05-17T00:00:00"/>
    <s v="Sunday"/>
    <s v="Morning"/>
    <x v="1"/>
    <n v="2"/>
    <n v="1"/>
    <x v="0"/>
    <x v="1"/>
    <s v="None"/>
    <n v="3"/>
    <x v="17"/>
    <x v="1"/>
  </r>
  <r>
    <s v="HC-01565"/>
    <s v="P-0928"/>
    <s v="Female"/>
    <n v="29"/>
    <x v="1"/>
    <s v="General Consultation"/>
    <d v="2025-10-30T00:00:00"/>
    <d v="2025-11-01T00:00:00"/>
    <s v="Saturday"/>
    <s v="Morning"/>
    <x v="1"/>
    <n v="2"/>
    <n v="4"/>
    <x v="1"/>
    <x v="0"/>
    <s v="SMS"/>
    <n v="4.0999999999999996"/>
    <x v="45"/>
    <x v="1"/>
  </r>
  <r>
    <s v="HC-01566"/>
    <s v="P-1685"/>
    <s v="Male"/>
    <n v="47"/>
    <x v="2"/>
    <s v="Follow-up"/>
    <d v="2025-08-21T00:00:00"/>
    <d v="2025-09-06T00:00:00"/>
    <s v="Saturday"/>
    <s v="Afternoon"/>
    <x v="3"/>
    <n v="16"/>
    <n v="6"/>
    <x v="3"/>
    <x v="0"/>
    <s v="Email"/>
    <n v="17.7"/>
    <x v="7"/>
    <x v="0"/>
  </r>
  <r>
    <s v="HC-01567"/>
    <s v="P-1599"/>
    <s v="Male"/>
    <n v="26"/>
    <x v="1"/>
    <s v="General Consultation"/>
    <d v="2026-06-07T00:00:00"/>
    <d v="2026-06-13T00:00:00"/>
    <s v="Saturday"/>
    <s v="Evening"/>
    <x v="1"/>
    <n v="6"/>
    <n v="6"/>
    <x v="1"/>
    <x v="0"/>
    <s v="SMS"/>
    <n v="8.1999999999999993"/>
    <x v="15"/>
    <x v="1"/>
  </r>
  <r>
    <s v="HC-01568"/>
    <s v="P-0514"/>
    <s v="Male"/>
    <n v="72"/>
    <x v="4"/>
    <s v="Follow-up"/>
    <d v="2025-11-21T00:00:00"/>
    <d v="2025-11-26T00:00:00"/>
    <s v="Wednesday"/>
    <s v="Afternoon"/>
    <x v="1"/>
    <n v="5"/>
    <n v="1"/>
    <x v="0"/>
    <x v="0"/>
    <s v="WhatsApp"/>
    <n v="8.4"/>
    <x v="4"/>
    <x v="0"/>
  </r>
  <r>
    <s v="HC-01569"/>
    <s v="P-0718"/>
    <s v="Male"/>
    <n v="50"/>
    <x v="2"/>
    <s v="Follow-up"/>
    <d v="2026-05-03T00:00:00"/>
    <d v="2026-05-12T00:00:00"/>
    <s v="Tuesday"/>
    <s v="Afternoon"/>
    <x v="0"/>
    <n v="9"/>
    <n v="2"/>
    <x v="0"/>
    <x v="0"/>
    <s v="SMS"/>
    <n v="4"/>
    <x v="12"/>
    <x v="1"/>
  </r>
  <r>
    <s v="HC-01570"/>
    <s v="P-0278"/>
    <s v="Male"/>
    <n v="33"/>
    <x v="1"/>
    <s v="General Consultation"/>
    <d v="2026-06-11T00:00:00"/>
    <d v="2026-06-22T00:00:00"/>
    <s v="Monday"/>
    <s v="Afternoon"/>
    <x v="0"/>
    <n v="11"/>
    <n v="5"/>
    <x v="2"/>
    <x v="0"/>
    <s v="SMS"/>
    <n v="16.600000000000001"/>
    <x v="26"/>
    <x v="1"/>
  </r>
  <r>
    <s v="HC-01571"/>
    <s v="P-0785"/>
    <s v="Female"/>
    <n v="23"/>
    <x v="5"/>
    <s v="General Consultation"/>
    <d v="2024-12-24T00:00:00"/>
    <d v="2025-02-13T00:00:00"/>
    <s v="Thursday"/>
    <s v="Afternoon"/>
    <x v="2"/>
    <n v="51"/>
    <n v="2"/>
    <x v="0"/>
    <x v="1"/>
    <s v="None"/>
    <n v="11.3"/>
    <x v="28"/>
    <x v="0"/>
  </r>
  <r>
    <s v="HC-01572"/>
    <s v="P-0153"/>
    <s v="Male"/>
    <n v="64"/>
    <x v="3"/>
    <s v="General Consultation"/>
    <d v="2025-06-09T00:00:00"/>
    <d v="2025-07-17T00:00:00"/>
    <s v="Thursday"/>
    <s v="Afternoon"/>
    <x v="2"/>
    <n v="38"/>
    <n v="3"/>
    <x v="0"/>
    <x v="0"/>
    <s v="WhatsApp"/>
    <n v="10.7"/>
    <x v="3"/>
    <x v="1"/>
  </r>
  <r>
    <s v="HC-01573"/>
    <s v="P-0187"/>
    <s v="Male"/>
    <n v="69"/>
    <x v="4"/>
    <s v="Follow-up"/>
    <d v="2026-02-04T00:00:00"/>
    <d v="2026-02-05T00:00:00"/>
    <s v="Thursday"/>
    <s v="Afternoon"/>
    <x v="1"/>
    <n v="1"/>
    <n v="2"/>
    <x v="1"/>
    <x v="0"/>
    <s v="Email"/>
    <n v="3.5"/>
    <x v="14"/>
    <x v="2"/>
  </r>
  <r>
    <s v="HC-01574"/>
    <s v="P-0441"/>
    <s v="Prefer not to say"/>
    <n v="73"/>
    <x v="4"/>
    <s v="Follow-up"/>
    <d v="2026-02-10T00:00:00"/>
    <d v="2026-03-20T00:00:00"/>
    <s v="Friday"/>
    <s v="Afternoon"/>
    <x v="2"/>
    <n v="38"/>
    <n v="1"/>
    <x v="0"/>
    <x v="0"/>
    <s v="SMS"/>
    <n v="9.5"/>
    <x v="4"/>
    <x v="1"/>
  </r>
  <r>
    <s v="HC-01575"/>
    <s v="P-1295"/>
    <s v="Female"/>
    <n v="79"/>
    <x v="4"/>
    <s v="Specialist Consultation"/>
    <d v="2025-03-15T00:00:00"/>
    <d v="2025-03-23T00:00:00"/>
    <s v="Sunday"/>
    <s v="Afternoon"/>
    <x v="0"/>
    <n v="8"/>
    <n v="1"/>
    <x v="0"/>
    <x v="1"/>
    <s v="None"/>
    <n v="35.4"/>
    <x v="39"/>
    <x v="2"/>
  </r>
  <r>
    <s v="HC-01576"/>
    <s v="P-1538"/>
    <s v="Female"/>
    <n v="69"/>
    <x v="4"/>
    <s v="General Consultation"/>
    <d v="2025-05-29T00:00:00"/>
    <d v="2025-06-23T00:00:00"/>
    <s v="Monday"/>
    <s v="Morning"/>
    <x v="3"/>
    <n v="25"/>
    <n v="5"/>
    <x v="1"/>
    <x v="1"/>
    <s v="None"/>
    <n v="5.3"/>
    <x v="37"/>
    <x v="1"/>
  </r>
  <r>
    <s v="HC-01577"/>
    <s v="P-1537"/>
    <s v="Female"/>
    <n v="67"/>
    <x v="4"/>
    <s v="Specialist Consultation"/>
    <d v="2025-10-25T00:00:00"/>
    <d v="2025-10-27T00:00:00"/>
    <s v="Monday"/>
    <s v="Morning"/>
    <x v="1"/>
    <n v="2"/>
    <n v="4"/>
    <x v="1"/>
    <x v="0"/>
    <s v="SMS"/>
    <n v="17.399999999999999"/>
    <x v="28"/>
    <x v="0"/>
  </r>
  <r>
    <s v="HC-01578"/>
    <s v="P-1709"/>
    <s v="Male"/>
    <n v="69"/>
    <x v="4"/>
    <s v="Follow-up"/>
    <d v="2026-03-08T00:00:00"/>
    <d v="2026-03-13T00:00:00"/>
    <s v="Friday"/>
    <s v="Morning"/>
    <x v="1"/>
    <n v="5"/>
    <n v="1"/>
    <x v="0"/>
    <x v="0"/>
    <s v="SMS"/>
    <n v="1.2"/>
    <x v="20"/>
    <x v="1"/>
  </r>
  <r>
    <s v="HC-01579"/>
    <s v="P-0208"/>
    <s v="Female"/>
    <n v="80"/>
    <x v="4"/>
    <s v="General Consultation"/>
    <d v="2025-02-23T00:00:00"/>
    <d v="2025-03-03T00:00:00"/>
    <s v="Monday"/>
    <s v="Morning"/>
    <x v="0"/>
    <n v="8"/>
    <n v="1"/>
    <x v="0"/>
    <x v="1"/>
    <s v="None"/>
    <n v="14.1"/>
    <x v="14"/>
    <x v="2"/>
  </r>
  <r>
    <s v="HC-01580"/>
    <s v="P-0451"/>
    <s v="Female"/>
    <n v="47"/>
    <x v="2"/>
    <s v="General Consultation"/>
    <d v="2025-10-30T00:00:00"/>
    <d v="2025-11-25T00:00:00"/>
    <s v="Tuesday"/>
    <s v="Afternoon"/>
    <x v="3"/>
    <n v="26"/>
    <n v="2"/>
    <x v="0"/>
    <x v="0"/>
    <s v="SMS"/>
    <n v="11.6"/>
    <x v="13"/>
    <x v="1"/>
  </r>
  <r>
    <s v="HC-01581"/>
    <s v="P-0957"/>
    <s v="Male"/>
    <n v="65"/>
    <x v="4"/>
    <s v="Follow-up"/>
    <d v="2025-05-14T00:00:00"/>
    <d v="2025-06-11T00:00:00"/>
    <s v="Wednesday"/>
    <s v="Afternoon"/>
    <x v="3"/>
    <n v="28"/>
    <n v="2"/>
    <x v="0"/>
    <x v="1"/>
    <s v="None"/>
    <n v="7.6"/>
    <x v="11"/>
    <x v="2"/>
  </r>
  <r>
    <s v="HC-01582"/>
    <s v="P-1511"/>
    <s v="Female"/>
    <n v="69"/>
    <x v="4"/>
    <s v="General Consultation"/>
    <d v="2025-04-08T00:00:00"/>
    <d v="2025-04-29T00:00:00"/>
    <s v="Tuesday"/>
    <s v="Morning"/>
    <x v="3"/>
    <n v="21"/>
    <n v="1"/>
    <x v="1"/>
    <x v="0"/>
    <s v="SMS"/>
    <n v="11.2"/>
    <x v="15"/>
    <x v="2"/>
  </r>
  <r>
    <s v="HC-01583"/>
    <s v="P-0152"/>
    <s v="Male"/>
    <n v="25"/>
    <x v="1"/>
    <s v="General Consultation"/>
    <d v="2025-09-02T00:00:00"/>
    <d v="2025-10-09T00:00:00"/>
    <s v="Thursday"/>
    <s v="Morning"/>
    <x v="2"/>
    <n v="37"/>
    <n v="3"/>
    <x v="1"/>
    <x v="0"/>
    <s v="SMS"/>
    <n v="11.4"/>
    <x v="9"/>
    <x v="1"/>
  </r>
  <r>
    <s v="HC-01584"/>
    <s v="P-1059"/>
    <s v="Female"/>
    <n v="61"/>
    <x v="3"/>
    <s v="General Consultation"/>
    <d v="2025-07-03T00:00:00"/>
    <d v="2025-08-15T00:00:00"/>
    <s v="Friday"/>
    <s v="Morning"/>
    <x v="2"/>
    <n v="43"/>
    <n v="8"/>
    <x v="2"/>
    <x v="0"/>
    <s v="WhatsApp"/>
    <n v="11.3"/>
    <x v="19"/>
    <x v="0"/>
  </r>
  <r>
    <s v="HC-01585"/>
    <s v="P-0260"/>
    <s v="Male"/>
    <n v="39"/>
    <x v="0"/>
    <s v="General Consultation"/>
    <d v="2025-10-31T00:00:00"/>
    <d v="2025-12-14T00:00:00"/>
    <s v="Sunday"/>
    <s v="Afternoon"/>
    <x v="2"/>
    <n v="44"/>
    <n v="5"/>
    <x v="0"/>
    <x v="0"/>
    <s v="SMS"/>
    <n v="6.7"/>
    <x v="36"/>
    <x v="0"/>
  </r>
  <r>
    <s v="HC-01586"/>
    <s v="P-0522"/>
    <s v="Female"/>
    <n v="26"/>
    <x v="1"/>
    <s v="General Consultation"/>
    <d v="2025-05-19T00:00:00"/>
    <d v="2025-06-23T00:00:00"/>
    <s v="Monday"/>
    <s v="Morning"/>
    <x v="2"/>
    <n v="35"/>
    <n v="1"/>
    <x v="1"/>
    <x v="0"/>
    <s v="WhatsApp"/>
    <n v="6.1"/>
    <x v="9"/>
    <x v="0"/>
  </r>
  <r>
    <s v="HC-01587"/>
    <s v="P-1271"/>
    <s v="Male"/>
    <n v="28"/>
    <x v="1"/>
    <s v="General Consultation"/>
    <d v="2026-02-21T00:00:00"/>
    <d v="2026-03-26T00:00:00"/>
    <s v="Thursday"/>
    <s v="Morning"/>
    <x v="2"/>
    <n v="33"/>
    <n v="3"/>
    <x v="0"/>
    <x v="1"/>
    <s v="None"/>
    <n v="4.8"/>
    <x v="18"/>
    <x v="1"/>
  </r>
  <r>
    <s v="HC-01588"/>
    <s v="P-0529"/>
    <s v="Male"/>
    <n v="25"/>
    <x v="1"/>
    <s v="Specialist Consultation"/>
    <d v="2025-01-14T00:00:00"/>
    <d v="2025-02-12T00:00:00"/>
    <s v="Wednesday"/>
    <s v="Morning"/>
    <x v="3"/>
    <n v="29"/>
    <n v="4"/>
    <x v="2"/>
    <x v="0"/>
    <s v="SMS"/>
    <n v="2.5"/>
    <x v="4"/>
    <x v="0"/>
  </r>
  <r>
    <s v="HC-01589"/>
    <s v="P-1343"/>
    <s v="Female"/>
    <n v="74"/>
    <x v="4"/>
    <s v="Follow-up"/>
    <d v="2026-04-02T00:00:00"/>
    <d v="2026-04-16T00:00:00"/>
    <s v="Thursday"/>
    <s v="Afternoon"/>
    <x v="0"/>
    <n v="14"/>
    <n v="2"/>
    <x v="1"/>
    <x v="1"/>
    <s v="None"/>
    <n v="8.3000000000000007"/>
    <x v="0"/>
    <x v="1"/>
  </r>
  <r>
    <s v="HC-01590"/>
    <s v="P-0719"/>
    <s v="Female"/>
    <n v="66"/>
    <x v="4"/>
    <s v="Follow-up"/>
    <d v="2024-12-19T00:00:00"/>
    <d v="2025-01-17T00:00:00"/>
    <s v="Friday"/>
    <s v="Morning"/>
    <x v="3"/>
    <n v="29"/>
    <n v="4"/>
    <x v="2"/>
    <x v="0"/>
    <s v="SMS"/>
    <n v="16"/>
    <x v="13"/>
    <x v="0"/>
  </r>
  <r>
    <s v="HC-01591"/>
    <s v="P-1722"/>
    <s v="Male"/>
    <n v="24"/>
    <x v="5"/>
    <s v="Follow-up"/>
    <d v="2026-02-06T00:00:00"/>
    <d v="2026-02-06T00:00:00"/>
    <s v="Friday"/>
    <s v="Afternoon"/>
    <x v="1"/>
    <n v="0"/>
    <n v="1"/>
    <x v="0"/>
    <x v="1"/>
    <s v="None"/>
    <n v="5.9"/>
    <x v="20"/>
    <x v="0"/>
  </r>
  <r>
    <s v="HC-01592"/>
    <s v="P-0258"/>
    <s v="Male"/>
    <n v="57"/>
    <x v="3"/>
    <s v="Follow-up"/>
    <d v="2025-05-12T00:00:00"/>
    <d v="2025-07-09T00:00:00"/>
    <s v="Wednesday"/>
    <s v="Afternoon"/>
    <x v="2"/>
    <n v="58"/>
    <n v="3"/>
    <x v="0"/>
    <x v="0"/>
    <s v="SMS"/>
    <n v="3.5"/>
    <x v="25"/>
    <x v="0"/>
  </r>
  <r>
    <s v="HC-01593"/>
    <s v="P-0383"/>
    <s v="Female"/>
    <n v="59"/>
    <x v="3"/>
    <s v="General Consultation"/>
    <d v="2025-07-07T00:00:00"/>
    <d v="2025-07-29T00:00:00"/>
    <s v="Tuesday"/>
    <s v="Evening"/>
    <x v="3"/>
    <n v="22"/>
    <n v="3"/>
    <x v="1"/>
    <x v="1"/>
    <s v="None"/>
    <n v="4.9000000000000004"/>
    <x v="21"/>
    <x v="0"/>
  </r>
  <r>
    <s v="HC-01594"/>
    <s v="P-1170"/>
    <s v="Male"/>
    <n v="50"/>
    <x v="2"/>
    <s v="General Consultation"/>
    <d v="2024-11-26T00:00:00"/>
    <d v="2025-01-11T00:00:00"/>
    <s v="Saturday"/>
    <s v="Afternoon"/>
    <x v="2"/>
    <n v="46"/>
    <n v="6"/>
    <x v="1"/>
    <x v="1"/>
    <s v="None"/>
    <n v="9.3000000000000007"/>
    <x v="12"/>
    <x v="0"/>
  </r>
  <r>
    <s v="HC-01595"/>
    <s v="P-1757"/>
    <s v="Female"/>
    <n v="56"/>
    <x v="3"/>
    <s v="General Consultation"/>
    <d v="2025-11-22T00:00:00"/>
    <d v="2026-01-19T00:00:00"/>
    <s v="Monday"/>
    <s v="Morning"/>
    <x v="2"/>
    <n v="58"/>
    <n v="1"/>
    <x v="0"/>
    <x v="1"/>
    <s v="None"/>
    <m/>
    <x v="3"/>
    <x v="0"/>
  </r>
  <r>
    <s v="HC-01596"/>
    <s v="P-0061"/>
    <s v="Female"/>
    <n v="75"/>
    <x v="4"/>
    <s v="Follow-up"/>
    <d v="2025-03-02T00:00:00"/>
    <d v="2025-04-01T00:00:00"/>
    <s v="Tuesday"/>
    <s v="Morning"/>
    <x v="3"/>
    <n v="30"/>
    <n v="4"/>
    <x v="1"/>
    <x v="0"/>
    <s v="SMS"/>
    <n v="4.5"/>
    <x v="28"/>
    <x v="0"/>
  </r>
  <r>
    <s v="HC-01597"/>
    <s v="P-1085"/>
    <s v="Female"/>
    <n v="50"/>
    <x v="2"/>
    <s v="Follow-up"/>
    <d v="2025-11-04T00:00:00"/>
    <d v="2025-12-26T00:00:00"/>
    <s v="Friday"/>
    <s v="Afternoon"/>
    <x v="2"/>
    <n v="52"/>
    <n v="5"/>
    <x v="1"/>
    <x v="0"/>
    <s v="Email"/>
    <n v="8.4"/>
    <x v="26"/>
    <x v="1"/>
  </r>
  <r>
    <s v="HC-01598"/>
    <s v="P-1603"/>
    <s v="Female"/>
    <n v="59"/>
    <x v="3"/>
    <s v="General Consultation"/>
    <d v="2026-01-02T00:00:00"/>
    <d v="2026-01-31T00:00:00"/>
    <s v="Saturday"/>
    <s v="Morning"/>
    <x v="3"/>
    <n v="29"/>
    <n v="4"/>
    <x v="0"/>
    <x v="1"/>
    <s v="None"/>
    <n v="7.5"/>
    <x v="10"/>
    <x v="1"/>
  </r>
  <r>
    <s v="HC-01599"/>
    <s v="P-1511"/>
    <s v="Female"/>
    <n v="53"/>
    <x v="2"/>
    <s v="Follow-up"/>
    <d v="2026-03-30T00:00:00"/>
    <d v="2026-04-07T00:00:00"/>
    <s v="Tuesday"/>
    <s v="Evening"/>
    <x v="0"/>
    <n v="8"/>
    <n v="1"/>
    <x v="0"/>
    <x v="0"/>
    <s v="WhatsApp"/>
    <n v="12.3"/>
    <x v="7"/>
    <x v="1"/>
  </r>
  <r>
    <s v="HC-01600"/>
    <s v="P-1364"/>
    <s v="Female"/>
    <n v="42"/>
    <x v="0"/>
    <s v="Diagnostic Test"/>
    <d v="2026-01-21T00:00:00"/>
    <d v="2026-01-22T00:00:00"/>
    <s v="Thursday"/>
    <s v="Afternoon"/>
    <x v="1"/>
    <n v="1"/>
    <n v="4"/>
    <x v="1"/>
    <x v="0"/>
    <s v="WhatsApp"/>
    <n v="20.100000000000001"/>
    <x v="51"/>
    <x v="1"/>
  </r>
  <r>
    <s v="HC-01601"/>
    <s v="P-0904"/>
    <s v="Female"/>
    <n v="74"/>
    <x v="4"/>
    <s v="General Consultation"/>
    <d v="2025-06-06T00:00:00"/>
    <d v="2025-06-14T00:00:00"/>
    <s v="Saturday"/>
    <s v="Morning"/>
    <x v="0"/>
    <n v="8"/>
    <n v="3"/>
    <x v="0"/>
    <x v="0"/>
    <s v="WhatsApp"/>
    <n v="5.8"/>
    <x v="18"/>
    <x v="1"/>
  </r>
  <r>
    <s v="HC-01602"/>
    <s v="P-0619"/>
    <s v="Female"/>
    <n v="44"/>
    <x v="0"/>
    <s v="Follow-up"/>
    <d v="2025-12-13T00:00:00"/>
    <d v="2026-02-08T00:00:00"/>
    <s v="Sunday"/>
    <s v="Morning"/>
    <x v="2"/>
    <n v="57"/>
    <n v="0"/>
    <x v="0"/>
    <x v="1"/>
    <s v="None"/>
    <n v="5.0999999999999996"/>
    <x v="14"/>
    <x v="0"/>
  </r>
  <r>
    <s v="HC-01603"/>
    <s v="P-1127"/>
    <s v="Male"/>
    <n v="68"/>
    <x v="4"/>
    <s v="Follow-up"/>
    <d v="2026-02-27T00:00:00"/>
    <d v="2026-03-27T00:00:00"/>
    <s v="Friday"/>
    <s v="Evening"/>
    <x v="3"/>
    <n v="28"/>
    <n v="5"/>
    <x v="2"/>
    <x v="1"/>
    <s v="None"/>
    <n v="9.1999999999999993"/>
    <x v="36"/>
    <x v="0"/>
  </r>
  <r>
    <s v="HC-01604"/>
    <s v="P-0891"/>
    <s v="Male"/>
    <n v="56"/>
    <x v="3"/>
    <s v="Specialist Consultation"/>
    <d v="2025-06-04T00:00:00"/>
    <d v="2025-06-23T00:00:00"/>
    <s v="Monday"/>
    <s v="Evening"/>
    <x v="3"/>
    <n v="19"/>
    <n v="4"/>
    <x v="2"/>
    <x v="1"/>
    <s v="None"/>
    <n v="10.5"/>
    <x v="19"/>
    <x v="1"/>
  </r>
  <r>
    <s v="HC-01605"/>
    <s v="P-0576"/>
    <s v="Female"/>
    <n v="61"/>
    <x v="3"/>
    <s v="Specialist Consultation"/>
    <d v="2025-02-10T00:00:00"/>
    <d v="2025-03-09T00:00:00"/>
    <s v="Sunday"/>
    <s v="Afternoon"/>
    <x v="3"/>
    <n v="27"/>
    <n v="0"/>
    <x v="0"/>
    <x v="0"/>
    <s v="SMS"/>
    <n v="12.7"/>
    <x v="18"/>
    <x v="1"/>
  </r>
  <r>
    <s v="HC-01606"/>
    <s v="P-0747"/>
    <s v="Female"/>
    <n v="65"/>
    <x v="4"/>
    <s v="Specialist Consultation"/>
    <d v="2026-04-16T00:00:00"/>
    <d v="2026-05-01T00:00:00"/>
    <s v="Friday"/>
    <s v="Morning"/>
    <x v="3"/>
    <n v="15"/>
    <n v="1"/>
    <x v="0"/>
    <x v="0"/>
    <s v="SMS"/>
    <n v="2.1"/>
    <x v="14"/>
    <x v="0"/>
  </r>
  <r>
    <s v="HC-01607"/>
    <s v="P-0256"/>
    <s v="Male"/>
    <n v="64"/>
    <x v="3"/>
    <s v="General Consultation"/>
    <d v="2025-01-28T00:00:00"/>
    <d v="2025-03-22T00:00:00"/>
    <s v="Saturday"/>
    <s v="Afternoon"/>
    <x v="2"/>
    <n v="53"/>
    <n v="1"/>
    <x v="1"/>
    <x v="1"/>
    <s v="None"/>
    <n v="27.3"/>
    <x v="17"/>
    <x v="0"/>
  </r>
  <r>
    <s v="HC-01608"/>
    <s v="P-1714"/>
    <s v="Male"/>
    <n v="53"/>
    <x v="2"/>
    <s v="Follow-up"/>
    <d v="2025-09-22T00:00:00"/>
    <d v="2025-11-21T00:00:00"/>
    <s v="Friday"/>
    <s v="Morning"/>
    <x v="2"/>
    <n v="60"/>
    <n v="1"/>
    <x v="0"/>
    <x v="0"/>
    <s v="SMS"/>
    <n v="6.9"/>
    <x v="5"/>
    <x v="0"/>
  </r>
  <r>
    <s v="HC-01609"/>
    <s v="P-0294"/>
    <s v="Male"/>
    <n v="56"/>
    <x v="3"/>
    <s v="Specialist Consultation"/>
    <d v="2025-05-05T00:00:00"/>
    <d v="2025-05-10T00:00:00"/>
    <s v="Saturday"/>
    <s v="Morning"/>
    <x v="1"/>
    <n v="5"/>
    <n v="0"/>
    <x v="0"/>
    <x v="0"/>
    <s v="SMS"/>
    <n v="5.4"/>
    <x v="0"/>
    <x v="1"/>
  </r>
  <r>
    <s v="HC-01610"/>
    <s v="P-0884"/>
    <s v="Female"/>
    <n v="50"/>
    <x v="2"/>
    <s v="General Consultation"/>
    <d v="2025-01-26T00:00:00"/>
    <d v="2025-03-10T00:00:00"/>
    <s v="Monday"/>
    <s v="Afternoon"/>
    <x v="2"/>
    <n v="43"/>
    <n v="3"/>
    <x v="0"/>
    <x v="1"/>
    <s v="None"/>
    <n v="3.5"/>
    <x v="11"/>
    <x v="1"/>
  </r>
  <r>
    <s v="HC-01611"/>
    <s v="P-0780"/>
    <s v="Female"/>
    <n v="39"/>
    <x v="0"/>
    <s v="Diagnostic Test"/>
    <d v="2026-02-08T00:00:00"/>
    <d v="2026-02-28T00:00:00"/>
    <s v="Saturday"/>
    <s v="Evening"/>
    <x v="3"/>
    <n v="20"/>
    <n v="2"/>
    <x v="1"/>
    <x v="1"/>
    <s v="None"/>
    <n v="6"/>
    <x v="14"/>
    <x v="1"/>
  </r>
  <r>
    <s v="HC-01612"/>
    <s v="P-1705"/>
    <s v="Female"/>
    <n v="63"/>
    <x v="3"/>
    <s v="General Consultation"/>
    <d v="2025-03-18T00:00:00"/>
    <d v="2025-03-20T00:00:00"/>
    <s v="Thursday"/>
    <s v="Morning"/>
    <x v="1"/>
    <n v="2"/>
    <n v="3"/>
    <x v="0"/>
    <x v="0"/>
    <s v="SMS"/>
    <n v="2.4"/>
    <x v="27"/>
    <x v="0"/>
  </r>
  <r>
    <s v="HC-01613"/>
    <s v="P-0890"/>
    <s v="Male"/>
    <n v="73"/>
    <x v="4"/>
    <s v="Follow-up"/>
    <d v="2025-11-06T00:00:00"/>
    <d v="2026-01-01T00:00:00"/>
    <s v="Thursday"/>
    <s v="Afternoon"/>
    <x v="2"/>
    <n v="56"/>
    <n v="1"/>
    <x v="0"/>
    <x v="0"/>
    <s v="WhatsApp"/>
    <n v="17.3"/>
    <x v="25"/>
    <x v="0"/>
  </r>
  <r>
    <s v="HC-01614"/>
    <s v="P-1406"/>
    <s v="Female"/>
    <n v="62"/>
    <x v="3"/>
    <s v="Follow-up"/>
    <d v="2026-01-11T00:00:00"/>
    <d v="2026-01-14T00:00:00"/>
    <s v="Wednesday"/>
    <s v="Morning"/>
    <x v="1"/>
    <n v="3"/>
    <n v="1"/>
    <x v="0"/>
    <x v="1"/>
    <s v="None"/>
    <n v="7.6"/>
    <x v="59"/>
    <x v="0"/>
  </r>
  <r>
    <s v="HC-01615"/>
    <s v="P-1011"/>
    <s v="Female"/>
    <n v="66"/>
    <x v="4"/>
    <s v="Follow-up"/>
    <d v="2025-01-21T00:00:00"/>
    <d v="2025-02-02T00:00:00"/>
    <s v="Sunday"/>
    <s v="Morning"/>
    <x v="0"/>
    <n v="12"/>
    <n v="4"/>
    <x v="0"/>
    <x v="1"/>
    <s v="None"/>
    <n v="5.2"/>
    <x v="31"/>
    <x v="1"/>
  </r>
  <r>
    <s v="HC-01616"/>
    <s v="P-1397"/>
    <s v="Female"/>
    <n v="70"/>
    <x v="4"/>
    <s v="Specialist Consultation"/>
    <d v="2025-04-04T00:00:00"/>
    <d v="2025-04-05T00:00:00"/>
    <s v="Saturday"/>
    <s v="Morning"/>
    <x v="1"/>
    <n v="1"/>
    <n v="3"/>
    <x v="0"/>
    <x v="0"/>
    <s v="SMS"/>
    <n v="15.3"/>
    <x v="19"/>
    <x v="1"/>
  </r>
  <r>
    <s v="HC-01617"/>
    <s v="P-0711"/>
    <s v="Male"/>
    <n v="41"/>
    <x v="0"/>
    <s v="General Consultation"/>
    <d v="2026-02-10T00:00:00"/>
    <d v="2026-03-10T00:00:00"/>
    <s v="Tuesday"/>
    <s v="Afternoon"/>
    <x v="3"/>
    <n v="28"/>
    <n v="0"/>
    <x v="0"/>
    <x v="1"/>
    <s v="None"/>
    <n v="7.3"/>
    <x v="4"/>
    <x v="1"/>
  </r>
  <r>
    <s v="HC-01618"/>
    <s v="P-1277"/>
    <s v="Female"/>
    <n v="21"/>
    <x v="5"/>
    <s v="Follow-up"/>
    <d v="2025-08-29T00:00:00"/>
    <d v="2025-10-04T00:00:00"/>
    <s v="Saturday"/>
    <s v="Morning"/>
    <x v="2"/>
    <n v="36"/>
    <n v="1"/>
    <x v="0"/>
    <x v="1"/>
    <s v="None"/>
    <n v="5.0999999999999996"/>
    <x v="13"/>
    <x v="1"/>
  </r>
  <r>
    <s v="HC-01619"/>
    <s v="P-1625"/>
    <s v="Male"/>
    <n v="39"/>
    <x v="0"/>
    <s v="Follow-up"/>
    <d v="2025-02-17T00:00:00"/>
    <d v="2025-03-08T00:00:00"/>
    <s v="Saturday"/>
    <s v="Afternoon"/>
    <x v="3"/>
    <n v="19"/>
    <n v="2"/>
    <x v="1"/>
    <x v="1"/>
    <s v="None"/>
    <n v="22.5"/>
    <x v="13"/>
    <x v="0"/>
  </r>
  <r>
    <s v="HC-01620"/>
    <s v="P-1218"/>
    <s v="Female"/>
    <n v="65"/>
    <x v="4"/>
    <s v="Specialist Consultation"/>
    <d v="2026-06-22T00:00:00"/>
    <d v="2026-06-26T00:00:00"/>
    <s v="Friday"/>
    <s v="Morning"/>
    <x v="1"/>
    <n v="4"/>
    <n v="5"/>
    <x v="2"/>
    <x v="0"/>
    <s v="Email"/>
    <n v="6.2"/>
    <x v="19"/>
    <x v="1"/>
  </r>
  <r>
    <s v="HC-01621"/>
    <s v="P-0750"/>
    <s v="Female"/>
    <n v="69"/>
    <x v="4"/>
    <s v="Follow-up"/>
    <d v="2025-05-18T00:00:00"/>
    <d v="2025-05-25T00:00:00"/>
    <s v="Sunday"/>
    <s v="Afternoon"/>
    <x v="1"/>
    <n v="7"/>
    <n v="1"/>
    <x v="0"/>
    <x v="0"/>
    <s v="SMS"/>
    <n v="1.5"/>
    <x v="27"/>
    <x v="1"/>
  </r>
  <r>
    <s v="HC-01622"/>
    <s v="P-0714"/>
    <s v="Female"/>
    <n v="50"/>
    <x v="2"/>
    <s v="Diagnostic Test"/>
    <d v="2024-11-08T00:00:00"/>
    <d v="2025-01-03T00:00:00"/>
    <s v="Friday"/>
    <s v="Morning"/>
    <x v="2"/>
    <n v="56"/>
    <n v="0"/>
    <x v="0"/>
    <x v="0"/>
    <s v="SMS"/>
    <n v="8.4"/>
    <x v="7"/>
    <x v="1"/>
  </r>
  <r>
    <s v="HC-01623"/>
    <s v="P-0912"/>
    <s v="Prefer not to say"/>
    <n v="67"/>
    <x v="4"/>
    <s v="Specialist Consultation"/>
    <d v="2026-04-01T00:00:00"/>
    <d v="2026-05-20T00:00:00"/>
    <s v="Wednesday"/>
    <s v="Morning"/>
    <x v="2"/>
    <n v="49"/>
    <n v="2"/>
    <x v="0"/>
    <x v="0"/>
    <s v="Email"/>
    <n v="7.7"/>
    <x v="23"/>
    <x v="1"/>
  </r>
  <r>
    <s v="HC-01624"/>
    <s v="P-0184"/>
    <s v="Female"/>
    <n v="22"/>
    <x v="5"/>
    <s v="General Consultation"/>
    <d v="2024-11-14T00:00:00"/>
    <d v="2025-01-10T00:00:00"/>
    <s v="Friday"/>
    <s v="Afternoon"/>
    <x v="2"/>
    <n v="57"/>
    <n v="3"/>
    <x v="0"/>
    <x v="0"/>
    <s v="SMS"/>
    <n v="5.3"/>
    <x v="20"/>
    <x v="2"/>
  </r>
  <r>
    <s v="HC-01625"/>
    <s v="P-0311"/>
    <s v="Female"/>
    <n v="58"/>
    <x v="3"/>
    <s v="Specialist Consultation"/>
    <d v="2025-09-28T00:00:00"/>
    <d v="2025-10-30T00:00:00"/>
    <s v="Thursday"/>
    <s v="Afternoon"/>
    <x v="2"/>
    <n v="32"/>
    <n v="6"/>
    <x v="1"/>
    <x v="0"/>
    <s v="SMS"/>
    <n v="4.7"/>
    <x v="11"/>
    <x v="0"/>
  </r>
  <r>
    <s v="HC-01626"/>
    <s v="P-0907"/>
    <s v="Male"/>
    <n v="60"/>
    <x v="3"/>
    <s v="Diagnostic Test"/>
    <d v="2026-05-25T00:00:00"/>
    <d v="2026-06-27T00:00:00"/>
    <s v="Saturday"/>
    <s v="Evening"/>
    <x v="2"/>
    <n v="33"/>
    <n v="4"/>
    <x v="1"/>
    <x v="0"/>
    <s v="SMS"/>
    <n v="8.9"/>
    <x v="13"/>
    <x v="1"/>
  </r>
  <r>
    <s v="HC-01627"/>
    <s v="P-0474"/>
    <s v="Female"/>
    <n v="49"/>
    <x v="2"/>
    <s v="General Consultation"/>
    <d v="2025-09-26T00:00:00"/>
    <d v="2025-11-12T00:00:00"/>
    <s v="Wednesday"/>
    <s v="Morning"/>
    <x v="2"/>
    <n v="47"/>
    <n v="2"/>
    <x v="0"/>
    <x v="0"/>
    <s v="SMS"/>
    <n v="6.2"/>
    <x v="52"/>
    <x v="1"/>
  </r>
  <r>
    <s v="HC-01628"/>
    <s v="P-1410"/>
    <s v="Female"/>
    <n v="63"/>
    <x v="3"/>
    <s v="Follow-up"/>
    <d v="2025-10-10T00:00:00"/>
    <d v="2025-11-16T00:00:00"/>
    <s v="Sunday"/>
    <s v="Afternoon"/>
    <x v="2"/>
    <n v="37"/>
    <n v="2"/>
    <x v="0"/>
    <x v="0"/>
    <s v="SMS"/>
    <n v="6.9"/>
    <x v="3"/>
    <x v="1"/>
  </r>
  <r>
    <s v="HC-01629"/>
    <s v="P-0635"/>
    <s v="Female"/>
    <n v="48"/>
    <x v="2"/>
    <s v="General Consultation"/>
    <d v="2025-07-05T00:00:00"/>
    <d v="2025-07-31T00:00:00"/>
    <s v="Thursday"/>
    <s v="Evening"/>
    <x v="3"/>
    <n v="26"/>
    <n v="5"/>
    <x v="1"/>
    <x v="1"/>
    <s v="None"/>
    <n v="10.199999999999999"/>
    <x v="20"/>
    <x v="0"/>
  </r>
  <r>
    <s v="HC-01630"/>
    <s v="P-0222"/>
    <s v="Male"/>
    <n v="50"/>
    <x v="2"/>
    <s v="Follow-up"/>
    <d v="2025-02-22T00:00:00"/>
    <d v="2025-03-11T00:00:00"/>
    <s v="Tuesday"/>
    <s v="Morning"/>
    <x v="3"/>
    <n v="17"/>
    <n v="1"/>
    <x v="0"/>
    <x v="1"/>
    <s v="None"/>
    <n v="6.7"/>
    <x v="38"/>
    <x v="0"/>
  </r>
  <r>
    <s v="HC-01631"/>
    <s v="P-0814"/>
    <s v="Female"/>
    <n v="56"/>
    <x v="3"/>
    <s v="General Consultation"/>
    <d v="2025-10-11T00:00:00"/>
    <d v="2025-11-09T00:00:00"/>
    <s v="Sunday"/>
    <s v="Afternoon"/>
    <x v="3"/>
    <n v="29"/>
    <n v="4"/>
    <x v="1"/>
    <x v="0"/>
    <s v="SMS"/>
    <n v="5.5"/>
    <x v="3"/>
    <x v="1"/>
  </r>
  <r>
    <s v="HC-01632"/>
    <s v="P-0852"/>
    <s v="Male"/>
    <n v="68"/>
    <x v="4"/>
    <s v="Specialist Consultation"/>
    <d v="2026-05-02T00:00:00"/>
    <d v="2026-05-05T00:00:00"/>
    <s v="Tuesday"/>
    <s v="Evening"/>
    <x v="1"/>
    <n v="3"/>
    <n v="2"/>
    <x v="0"/>
    <x v="0"/>
    <s v="SMS"/>
    <n v="12.8"/>
    <x v="9"/>
    <x v="0"/>
  </r>
  <r>
    <s v="HC-01633"/>
    <s v="P-0508"/>
    <s v="Male"/>
    <n v="33"/>
    <x v="1"/>
    <s v="General Consultation"/>
    <d v="2025-02-08T00:00:00"/>
    <d v="2025-02-19T00:00:00"/>
    <s v="Wednesday"/>
    <s v="Afternoon"/>
    <x v="0"/>
    <n v="11"/>
    <n v="6"/>
    <x v="0"/>
    <x v="0"/>
    <s v="Email"/>
    <n v="6.2"/>
    <x v="23"/>
    <x v="1"/>
  </r>
  <r>
    <s v="HC-01634"/>
    <s v="P-0458"/>
    <s v="Male"/>
    <n v="36"/>
    <x v="0"/>
    <s v="Follow-up"/>
    <d v="2026-03-13T00:00:00"/>
    <d v="2026-04-26T00:00:00"/>
    <s v="Sunday"/>
    <s v="Afternoon"/>
    <x v="2"/>
    <n v="44"/>
    <n v="7"/>
    <x v="2"/>
    <x v="0"/>
    <s v="SMS"/>
    <n v="5.3"/>
    <x v="28"/>
    <x v="1"/>
  </r>
  <r>
    <s v="HC-01635"/>
    <s v="P-1028"/>
    <s v="Female"/>
    <n v="44"/>
    <x v="0"/>
    <s v="General Consultation"/>
    <d v="2025-06-24T00:00:00"/>
    <d v="2025-08-15T00:00:00"/>
    <s v="Friday"/>
    <s v="Afternoon"/>
    <x v="2"/>
    <n v="52"/>
    <n v="6"/>
    <x v="2"/>
    <x v="1"/>
    <s v="None"/>
    <n v="2.9"/>
    <x v="13"/>
    <x v="0"/>
  </r>
  <r>
    <s v="HC-01636"/>
    <s v="P-0815"/>
    <s v="Male"/>
    <n v="30"/>
    <x v="1"/>
    <s v="Follow-up"/>
    <d v="2025-10-14T00:00:00"/>
    <d v="2025-10-20T00:00:00"/>
    <s v="Monday"/>
    <s v="Afternoon"/>
    <x v="1"/>
    <n v="6"/>
    <n v="5"/>
    <x v="0"/>
    <x v="1"/>
    <s v="None"/>
    <n v="4.3"/>
    <x v="44"/>
    <x v="1"/>
  </r>
  <r>
    <s v="HC-01637"/>
    <s v="P-1302"/>
    <s v="Male"/>
    <n v="39"/>
    <x v="0"/>
    <s v="Follow-up"/>
    <d v="2025-03-27T00:00:00"/>
    <d v="2025-04-01T00:00:00"/>
    <s v="Tuesday"/>
    <s v="Afternoon"/>
    <x v="1"/>
    <n v="5"/>
    <n v="4"/>
    <x v="1"/>
    <x v="1"/>
    <s v="None"/>
    <n v="3.4"/>
    <x v="49"/>
    <x v="1"/>
  </r>
  <r>
    <s v="HC-01638"/>
    <s v="P-0366"/>
    <s v="Male"/>
    <n v="40"/>
    <x v="0"/>
    <s v="Follow-up"/>
    <d v="2025-12-01T00:00:00"/>
    <d v="2025-12-06T00:00:00"/>
    <s v="Saturday"/>
    <s v="Evening"/>
    <x v="1"/>
    <n v="5"/>
    <n v="4"/>
    <x v="0"/>
    <x v="1"/>
    <s v="None"/>
    <n v="2.8"/>
    <x v="13"/>
    <x v="1"/>
  </r>
  <r>
    <s v="HC-01639"/>
    <s v="P-1486"/>
    <s v="Female"/>
    <n v="37"/>
    <x v="0"/>
    <s v="General Consultation"/>
    <d v="2025-02-21T00:00:00"/>
    <d v="2025-04-10T00:00:00"/>
    <s v="Thursday"/>
    <s v="Morning"/>
    <x v="2"/>
    <n v="48"/>
    <n v="3"/>
    <x v="0"/>
    <x v="0"/>
    <s v="SMS"/>
    <n v="4.7"/>
    <x v="26"/>
    <x v="2"/>
  </r>
  <r>
    <s v="HC-01640"/>
    <s v="P-1220"/>
    <s v="Male"/>
    <n v="43"/>
    <x v="0"/>
    <s v="General Consultation"/>
    <d v="2025-05-12T00:00:00"/>
    <d v="2025-05-30T00:00:00"/>
    <s v="Friday"/>
    <s v="Afternoon"/>
    <x v="3"/>
    <n v="18"/>
    <n v="5"/>
    <x v="0"/>
    <x v="0"/>
    <s v="WhatsApp"/>
    <n v="10.4"/>
    <x v="9"/>
    <x v="1"/>
  </r>
  <r>
    <s v="HC-01641"/>
    <s v="P-0243"/>
    <s v="Male"/>
    <n v="49"/>
    <x v="2"/>
    <s v="Follow-up"/>
    <d v="2026-01-11T00:00:00"/>
    <d v="2026-01-30T00:00:00"/>
    <s v="Friday"/>
    <s v="Afternoon"/>
    <x v="3"/>
    <n v="19"/>
    <n v="5"/>
    <x v="2"/>
    <x v="0"/>
    <s v="WhatsApp"/>
    <n v="8.1999999999999993"/>
    <x v="13"/>
    <x v="0"/>
  </r>
  <r>
    <s v="HC-01642"/>
    <s v="P-1162"/>
    <s v="Male"/>
    <n v="61"/>
    <x v="3"/>
    <s v="Diagnostic Test"/>
    <d v="2025-01-28T00:00:00"/>
    <d v="2025-01-28T00:00:00"/>
    <s v="Tuesday"/>
    <s v="Morning"/>
    <x v="1"/>
    <n v="0"/>
    <n v="1"/>
    <x v="0"/>
    <x v="0"/>
    <s v="Email"/>
    <n v="6.6"/>
    <x v="38"/>
    <x v="1"/>
  </r>
  <r>
    <s v="HC-01643"/>
    <s v="P-0807"/>
    <s v="Female"/>
    <n v="37"/>
    <x v="0"/>
    <s v="General Consultation"/>
    <d v="2025-07-05T00:00:00"/>
    <d v="2025-09-02T00:00:00"/>
    <s v="Tuesday"/>
    <s v="Afternoon"/>
    <x v="2"/>
    <n v="59"/>
    <n v="4"/>
    <x v="1"/>
    <x v="0"/>
    <s v="Email"/>
    <n v="11.2"/>
    <x v="16"/>
    <x v="1"/>
  </r>
  <r>
    <s v="HC-01644"/>
    <s v="P-0774"/>
    <s v="Male"/>
    <n v="71"/>
    <x v="4"/>
    <s v="Follow-up"/>
    <d v="2025-10-26T00:00:00"/>
    <d v="2025-11-21T00:00:00"/>
    <s v="Friday"/>
    <s v="Afternoon"/>
    <x v="3"/>
    <n v="26"/>
    <n v="0"/>
    <x v="0"/>
    <x v="0"/>
    <s v="WhatsApp"/>
    <n v="5.6"/>
    <x v="14"/>
    <x v="1"/>
  </r>
  <r>
    <s v="HC-01645"/>
    <s v="P-1027"/>
    <s v="Male"/>
    <n v="48"/>
    <x v="2"/>
    <s v="General Consultation"/>
    <d v="2025-01-25T00:00:00"/>
    <d v="2025-03-14T00:00:00"/>
    <s v="Friday"/>
    <s v="Afternoon"/>
    <x v="2"/>
    <n v="48"/>
    <n v="2"/>
    <x v="0"/>
    <x v="0"/>
    <s v="SMS"/>
    <n v="9.9"/>
    <x v="9"/>
    <x v="1"/>
  </r>
  <r>
    <s v="HC-01646"/>
    <s v="P-0453"/>
    <s v="Male"/>
    <n v="63"/>
    <x v="3"/>
    <s v="Specialist Consultation"/>
    <d v="2025-04-28T00:00:00"/>
    <d v="2025-06-10T00:00:00"/>
    <s v="Tuesday"/>
    <s v="Afternoon"/>
    <x v="2"/>
    <n v="43"/>
    <n v="1"/>
    <x v="0"/>
    <x v="0"/>
    <s v="Email"/>
    <n v="12.5"/>
    <x v="49"/>
    <x v="1"/>
  </r>
  <r>
    <s v="HC-01647"/>
    <s v="P-1667"/>
    <s v="Male"/>
    <n v="25"/>
    <x v="1"/>
    <s v="General Consultation"/>
    <d v="2025-06-29T00:00:00"/>
    <d v="2025-07-07T00:00:00"/>
    <s v="Monday"/>
    <s v="Morning"/>
    <x v="0"/>
    <n v="8"/>
    <n v="2"/>
    <x v="1"/>
    <x v="1"/>
    <s v="None"/>
    <n v="1.5"/>
    <x v="43"/>
    <x v="1"/>
  </r>
  <r>
    <s v="HC-01648"/>
    <s v="P-0502"/>
    <s v="Male"/>
    <n v="28"/>
    <x v="1"/>
    <s v="Follow-up"/>
    <d v="2025-11-11T00:00:00"/>
    <d v="2025-12-29T00:00:00"/>
    <s v="Monday"/>
    <s v="Evening"/>
    <x v="2"/>
    <n v="48"/>
    <n v="6"/>
    <x v="0"/>
    <x v="0"/>
    <s v="SMS"/>
    <n v="8.1"/>
    <x v="51"/>
    <x v="0"/>
  </r>
  <r>
    <s v="HC-01649"/>
    <s v="P-1643"/>
    <s v="Female"/>
    <n v="46"/>
    <x v="2"/>
    <s v="General Consultation"/>
    <d v="2026-05-16T00:00:00"/>
    <d v="2026-06-18T00:00:00"/>
    <s v="Thursday"/>
    <s v="Afternoon"/>
    <x v="2"/>
    <n v="33"/>
    <n v="2"/>
    <x v="1"/>
    <x v="0"/>
    <s v="SMS"/>
    <n v="10.8"/>
    <x v="17"/>
    <x v="1"/>
  </r>
  <r>
    <s v="HC-01650"/>
    <s v="P-0356"/>
    <s v="Female"/>
    <n v="41"/>
    <x v="0"/>
    <s v="General Consultation"/>
    <d v="2026-02-25T00:00:00"/>
    <d v="2026-04-02T00:00:00"/>
    <s v="Thursday"/>
    <s v="Afternoon"/>
    <x v="2"/>
    <n v="36"/>
    <n v="4"/>
    <x v="1"/>
    <x v="0"/>
    <s v="WhatsApp"/>
    <n v="10.3"/>
    <x v="20"/>
    <x v="1"/>
  </r>
  <r>
    <s v="HC-01651"/>
    <s v="P-0376"/>
    <s v="Female"/>
    <n v="49"/>
    <x v="2"/>
    <s v="General Consultation"/>
    <d v="2025-04-02T00:00:00"/>
    <d v="2025-04-14T00:00:00"/>
    <s v="Monday"/>
    <s v="Morning"/>
    <x v="0"/>
    <n v="12"/>
    <n v="0"/>
    <x v="0"/>
    <x v="0"/>
    <s v="SMS"/>
    <n v="8.4"/>
    <x v="2"/>
    <x v="1"/>
  </r>
  <r>
    <s v="HC-01652"/>
    <s v="P-1740"/>
    <s v="Male"/>
    <n v="27"/>
    <x v="1"/>
    <s v="General Consultation"/>
    <d v="2024-11-20T00:00:00"/>
    <d v="2025-01-10T00:00:00"/>
    <s v="Friday"/>
    <s v="Morning"/>
    <x v="2"/>
    <n v="51"/>
    <n v="4"/>
    <x v="1"/>
    <x v="1"/>
    <s v="None"/>
    <n v="5.8"/>
    <x v="28"/>
    <x v="0"/>
  </r>
  <r>
    <s v="HC-01653"/>
    <s v="P-1081"/>
    <s v="Female"/>
    <n v="47"/>
    <x v="2"/>
    <s v="Follow-up"/>
    <d v="2024-12-04T00:00:00"/>
    <d v="2025-01-29T00:00:00"/>
    <s v="Wednesday"/>
    <s v="Evening"/>
    <x v="2"/>
    <n v="56"/>
    <n v="4"/>
    <x v="1"/>
    <x v="0"/>
    <s v="WhatsApp"/>
    <n v="7.1"/>
    <x v="26"/>
    <x v="0"/>
  </r>
  <r>
    <s v="HC-01654"/>
    <s v="P-0414"/>
    <s v="Male"/>
    <n v="61"/>
    <x v="3"/>
    <s v="Diagnostic Test"/>
    <d v="2025-10-29T00:00:00"/>
    <d v="2025-11-22T00:00:00"/>
    <s v="Saturday"/>
    <s v="Morning"/>
    <x v="3"/>
    <n v="24"/>
    <n v="2"/>
    <x v="0"/>
    <x v="1"/>
    <s v="None"/>
    <n v="2"/>
    <x v="35"/>
    <x v="0"/>
  </r>
  <r>
    <s v="HC-01655"/>
    <s v="P-0844"/>
    <s v="Prefer not to say"/>
    <n v="63"/>
    <x v="3"/>
    <s v="Follow-up"/>
    <d v="2025-03-22T00:00:00"/>
    <d v="2025-03-27T00:00:00"/>
    <s v="Thursday"/>
    <s v="Morning"/>
    <x v="1"/>
    <n v="5"/>
    <n v="1"/>
    <x v="0"/>
    <x v="1"/>
    <s v="None"/>
    <n v="18"/>
    <x v="19"/>
    <x v="1"/>
  </r>
  <r>
    <s v="HC-01656"/>
    <s v="P-0767"/>
    <s v="Male"/>
    <n v="33"/>
    <x v="1"/>
    <s v="Diagnostic Test"/>
    <d v="2025-03-17T00:00:00"/>
    <d v="2025-05-07T00:00:00"/>
    <s v="Wednesday"/>
    <s v="Afternoon"/>
    <x v="2"/>
    <n v="51"/>
    <n v="3"/>
    <x v="0"/>
    <x v="1"/>
    <s v="None"/>
    <n v="1.9"/>
    <x v="0"/>
    <x v="0"/>
  </r>
  <r>
    <s v="HC-01657"/>
    <s v="P-1371"/>
    <s v="Male"/>
    <n v="39"/>
    <x v="0"/>
    <s v="Follow-up"/>
    <d v="2026-02-13T00:00:00"/>
    <d v="2026-04-08T00:00:00"/>
    <s v="Wednesday"/>
    <s v="Afternoon"/>
    <x v="2"/>
    <n v="54"/>
    <n v="4"/>
    <x v="1"/>
    <x v="0"/>
    <s v="SMS"/>
    <n v="4.9000000000000004"/>
    <x v="28"/>
    <x v="1"/>
  </r>
  <r>
    <s v="HC-01658"/>
    <s v="P-0904"/>
    <s v="Male"/>
    <n v="51"/>
    <x v="2"/>
    <s v="General Consultation"/>
    <d v="2026-03-24T00:00:00"/>
    <d v="2026-04-23T00:00:00"/>
    <s v="Thursday"/>
    <s v="Afternoon"/>
    <x v="3"/>
    <n v="30"/>
    <n v="1"/>
    <x v="0"/>
    <x v="0"/>
    <s v="SMS"/>
    <n v="8.1999999999999993"/>
    <x v="16"/>
    <x v="2"/>
  </r>
  <r>
    <s v="HC-01659"/>
    <s v="P-0121"/>
    <s v="Female"/>
    <n v="50"/>
    <x v="2"/>
    <s v="General Consultation"/>
    <d v="2026-02-28T00:00:00"/>
    <d v="2026-04-04T00:00:00"/>
    <s v="Saturday"/>
    <s v="Afternoon"/>
    <x v="2"/>
    <n v="35"/>
    <n v="4"/>
    <x v="0"/>
    <x v="0"/>
    <s v="WhatsApp"/>
    <n v="2.8"/>
    <x v="16"/>
    <x v="0"/>
  </r>
  <r>
    <s v="HC-01660"/>
    <s v="P-1208"/>
    <s v="Female"/>
    <n v="67"/>
    <x v="4"/>
    <s v="General Consultation"/>
    <d v="2025-05-06T00:00:00"/>
    <d v="2025-05-19T00:00:00"/>
    <s v="Monday"/>
    <s v="Evening"/>
    <x v="0"/>
    <n v="13"/>
    <n v="5"/>
    <x v="0"/>
    <x v="1"/>
    <s v="None"/>
    <n v="6.8"/>
    <x v="46"/>
    <x v="2"/>
  </r>
  <r>
    <s v="HC-01661"/>
    <s v="P-1488"/>
    <s v="Male"/>
    <n v="42"/>
    <x v="0"/>
    <s v="General Consultation"/>
    <d v="2025-12-01T00:00:00"/>
    <d v="2025-12-05T00:00:00"/>
    <s v="Friday"/>
    <s v="Afternoon"/>
    <x v="1"/>
    <n v="4"/>
    <n v="3"/>
    <x v="1"/>
    <x v="1"/>
    <s v="None"/>
    <n v="12.9"/>
    <x v="5"/>
    <x v="1"/>
  </r>
  <r>
    <s v="HC-01662"/>
    <s v="P-1353"/>
    <s v="Male"/>
    <n v="60"/>
    <x v="3"/>
    <s v="Specialist Consultation"/>
    <d v="2025-10-04T00:00:00"/>
    <d v="2025-11-30T00:00:00"/>
    <s v="Sunday"/>
    <s v="Afternoon"/>
    <x v="2"/>
    <n v="57"/>
    <n v="5"/>
    <x v="2"/>
    <x v="0"/>
    <s v="SMS"/>
    <n v="11.6"/>
    <x v="14"/>
    <x v="0"/>
  </r>
  <r>
    <s v="HC-01663"/>
    <s v="P-0381"/>
    <s v="Female"/>
    <n v="73"/>
    <x v="4"/>
    <s v="Follow-up"/>
    <d v="2025-03-14T00:00:00"/>
    <d v="2025-04-12T00:00:00"/>
    <s v="Saturday"/>
    <s v="Afternoon"/>
    <x v="3"/>
    <n v="29"/>
    <n v="5"/>
    <x v="1"/>
    <x v="0"/>
    <s v="SMS"/>
    <n v="8.1"/>
    <x v="5"/>
    <x v="0"/>
  </r>
  <r>
    <s v="HC-01664"/>
    <s v="P-0694"/>
    <s v="Female"/>
    <n v="36"/>
    <x v="0"/>
    <s v="Follow-up"/>
    <d v="2025-10-14T00:00:00"/>
    <d v="2025-10-30T00:00:00"/>
    <s v="Thursday"/>
    <s v="Afternoon"/>
    <x v="3"/>
    <n v="16"/>
    <n v="3"/>
    <x v="0"/>
    <x v="0"/>
    <s v="SMS"/>
    <n v="9.1"/>
    <x v="19"/>
    <x v="1"/>
  </r>
  <r>
    <s v="HC-01665"/>
    <s v="P-0073"/>
    <s v="Male"/>
    <n v="69"/>
    <x v="4"/>
    <s v="Follow-up"/>
    <d v="2025-09-02T00:00:00"/>
    <d v="2025-10-14T00:00:00"/>
    <s v="Tuesday"/>
    <s v="Morning"/>
    <x v="2"/>
    <n v="42"/>
    <n v="6"/>
    <x v="3"/>
    <x v="0"/>
    <s v="WhatsApp"/>
    <n v="0.8"/>
    <x v="31"/>
    <x v="0"/>
  </r>
  <r>
    <s v="HC-01666"/>
    <s v="P-0931"/>
    <s v="Female"/>
    <n v="38"/>
    <x v="0"/>
    <s v="General Consultation"/>
    <d v="2025-08-04T00:00:00"/>
    <d v="2025-08-05T00:00:00"/>
    <s v="Tuesday"/>
    <s v="Morning"/>
    <x v="1"/>
    <n v="1"/>
    <n v="0"/>
    <x v="0"/>
    <x v="1"/>
    <s v="None"/>
    <n v="3.5"/>
    <x v="3"/>
    <x v="1"/>
  </r>
  <r>
    <s v="HC-01667"/>
    <s v="P-0568"/>
    <s v="Male"/>
    <n v="39"/>
    <x v="0"/>
    <s v="Follow-up"/>
    <d v="2026-02-11T00:00:00"/>
    <d v="2026-02-15T00:00:00"/>
    <s v="Sunday"/>
    <s v="Afternoon"/>
    <x v="1"/>
    <n v="4"/>
    <n v="4"/>
    <x v="1"/>
    <x v="0"/>
    <s v="SMS"/>
    <n v="5.3"/>
    <x v="19"/>
    <x v="1"/>
  </r>
  <r>
    <s v="HC-01668"/>
    <s v="P-1621"/>
    <s v="Female"/>
    <n v="59"/>
    <x v="3"/>
    <s v="General Consultation"/>
    <d v="2025-12-22T00:00:00"/>
    <d v="2026-01-05T00:00:00"/>
    <s v="Monday"/>
    <s v="Afternoon"/>
    <x v="0"/>
    <n v="14"/>
    <n v="3"/>
    <x v="0"/>
    <x v="0"/>
    <s v="SMS"/>
    <n v="6.4"/>
    <x v="4"/>
    <x v="1"/>
  </r>
  <r>
    <s v="HC-01669"/>
    <s v="P-0439"/>
    <s v="Male"/>
    <n v="57"/>
    <x v="3"/>
    <s v="General Consultation"/>
    <d v="2025-09-21T00:00:00"/>
    <d v="2025-10-18T00:00:00"/>
    <s v="Saturday"/>
    <s v="Afternoon"/>
    <x v="3"/>
    <n v="27"/>
    <n v="7"/>
    <x v="1"/>
    <x v="0"/>
    <s v="Email"/>
    <n v="13.3"/>
    <x v="0"/>
    <x v="1"/>
  </r>
  <r>
    <s v="HC-01670"/>
    <s v="P-0207"/>
    <s v="Female"/>
    <n v="52"/>
    <x v="2"/>
    <s v="General Consultation"/>
    <d v="2026-01-10T00:00:00"/>
    <d v="2026-02-01T00:00:00"/>
    <s v="Sunday"/>
    <s v="Afternoon"/>
    <x v="3"/>
    <n v="22"/>
    <n v="1"/>
    <x v="0"/>
    <x v="0"/>
    <s v="SMS"/>
    <n v="23.2"/>
    <x v="31"/>
    <x v="0"/>
  </r>
  <r>
    <s v="HC-01671"/>
    <s v="P-1296"/>
    <s v="Male"/>
    <n v="32"/>
    <x v="1"/>
    <s v="General Consultation"/>
    <d v="2026-02-10T00:00:00"/>
    <d v="2026-02-21T00:00:00"/>
    <s v="Saturday"/>
    <s v="Afternoon"/>
    <x v="0"/>
    <n v="11"/>
    <n v="4"/>
    <x v="1"/>
    <x v="0"/>
    <s v="SMS"/>
    <n v="7.1"/>
    <x v="20"/>
    <x v="1"/>
  </r>
  <r>
    <s v="HC-01672"/>
    <s v="P-0796"/>
    <s v="Male"/>
    <n v="24"/>
    <x v="5"/>
    <s v="Follow-up"/>
    <d v="2025-10-16T00:00:00"/>
    <d v="2025-11-06T00:00:00"/>
    <s v="Thursday"/>
    <s v="Morning"/>
    <x v="3"/>
    <n v="21"/>
    <n v="2"/>
    <x v="0"/>
    <x v="0"/>
    <s v="SMS"/>
    <n v="6.9"/>
    <x v="0"/>
    <x v="0"/>
  </r>
  <r>
    <s v="HC-01673"/>
    <s v="P-1146"/>
    <s v="Female"/>
    <n v="75"/>
    <x v="4"/>
    <s v="General Consultation"/>
    <d v="2025-05-07T00:00:00"/>
    <d v="2025-05-27T00:00:00"/>
    <s v="Tuesday"/>
    <s v="Afternoon"/>
    <x v="3"/>
    <n v="20"/>
    <n v="2"/>
    <x v="1"/>
    <x v="0"/>
    <s v="WhatsApp"/>
    <n v="8"/>
    <x v="45"/>
    <x v="1"/>
  </r>
  <r>
    <s v="HC-01674"/>
    <s v="P-0341"/>
    <s v="Female"/>
    <n v="73"/>
    <x v="4"/>
    <s v="General Consultation"/>
    <d v="2026-01-18T00:00:00"/>
    <d v="2026-02-19T00:00:00"/>
    <s v="Thursday"/>
    <s v="Afternoon"/>
    <x v="2"/>
    <n v="32"/>
    <n v="2"/>
    <x v="1"/>
    <x v="0"/>
    <s v="SMS"/>
    <n v="4.5999999999999996"/>
    <x v="10"/>
    <x v="1"/>
  </r>
  <r>
    <s v="HC-01675"/>
    <s v="P-1574"/>
    <s v="Male"/>
    <n v="73"/>
    <x v="4"/>
    <s v="Diagnostic Test"/>
    <d v="2025-12-24T00:00:00"/>
    <d v="2026-01-27T00:00:00"/>
    <s v="Tuesday"/>
    <s v="Morning"/>
    <x v="2"/>
    <n v="34"/>
    <n v="1"/>
    <x v="0"/>
    <x v="0"/>
    <s v="SMS"/>
    <n v="19.399999999999999"/>
    <x v="17"/>
    <x v="0"/>
  </r>
  <r>
    <s v="HC-01676"/>
    <s v="P-0083"/>
    <s v="Female"/>
    <n v="50"/>
    <x v="2"/>
    <s v="Diagnostic Test"/>
    <d v="2026-04-29T00:00:00"/>
    <d v="2026-06-21T00:00:00"/>
    <s v="Sunday"/>
    <s v="Afternoon"/>
    <x v="2"/>
    <n v="53"/>
    <n v="3"/>
    <x v="0"/>
    <x v="0"/>
    <s v="WhatsApp"/>
    <n v="4.2"/>
    <x v="6"/>
    <x v="1"/>
  </r>
  <r>
    <s v="HC-01677"/>
    <s v="P-0713"/>
    <s v="Male"/>
    <n v="73"/>
    <x v="4"/>
    <s v="Follow-up"/>
    <d v="2025-02-02T00:00:00"/>
    <d v="2025-03-23T00:00:00"/>
    <s v="Sunday"/>
    <s v="Afternoon"/>
    <x v="2"/>
    <n v="49"/>
    <n v="0"/>
    <x v="0"/>
    <x v="1"/>
    <s v="None"/>
    <n v="4.3"/>
    <x v="17"/>
    <x v="0"/>
  </r>
  <r>
    <s v="HC-01678"/>
    <s v="P-0279"/>
    <s v="Female"/>
    <n v="47"/>
    <x v="2"/>
    <s v="Follow-up"/>
    <d v="2025-07-31T00:00:00"/>
    <d v="2025-08-17T00:00:00"/>
    <s v="Sunday"/>
    <s v="Afternoon"/>
    <x v="3"/>
    <n v="17"/>
    <n v="3"/>
    <x v="1"/>
    <x v="0"/>
    <s v="SMS"/>
    <n v="5.5"/>
    <x v="26"/>
    <x v="0"/>
  </r>
  <r>
    <s v="HC-01679"/>
    <s v="P-1289"/>
    <s v="Male"/>
    <n v="22"/>
    <x v="5"/>
    <s v="Specialist Consultation"/>
    <d v="2026-03-26T00:00:00"/>
    <d v="2026-05-20T00:00:00"/>
    <s v="Wednesday"/>
    <s v="Afternoon"/>
    <x v="2"/>
    <n v="55"/>
    <n v="6"/>
    <x v="0"/>
    <x v="0"/>
    <s v="SMS"/>
    <n v="21.2"/>
    <x v="19"/>
    <x v="0"/>
  </r>
  <r>
    <s v="HC-01680"/>
    <s v="P-0449"/>
    <s v="Female"/>
    <n v="30"/>
    <x v="1"/>
    <s v="General Consultation"/>
    <d v="2025-09-07T00:00:00"/>
    <d v="2025-10-08T00:00:00"/>
    <s v="Wednesday"/>
    <s v="Morning"/>
    <x v="2"/>
    <n v="31"/>
    <n v="6"/>
    <x v="0"/>
    <x v="0"/>
    <s v="SMS"/>
    <n v="10.7"/>
    <x v="14"/>
    <x v="0"/>
  </r>
  <r>
    <s v="HC-01681"/>
    <s v="P-0837"/>
    <s v="Male"/>
    <n v="35"/>
    <x v="0"/>
    <s v="Follow-up"/>
    <d v="2026-05-19T00:00:00"/>
    <d v="2026-05-30T00:00:00"/>
    <s v="Saturday"/>
    <s v="Afternoon"/>
    <x v="0"/>
    <n v="11"/>
    <n v="4"/>
    <x v="0"/>
    <x v="1"/>
    <s v="None"/>
    <n v="8"/>
    <x v="47"/>
    <x v="0"/>
  </r>
  <r>
    <s v="HC-01682"/>
    <s v="P-1015"/>
    <s v="Male"/>
    <n v="41"/>
    <x v="0"/>
    <s v="General Consultation"/>
    <d v="2024-12-18T00:00:00"/>
    <d v="2025-01-07T00:00:00"/>
    <s v="Tuesday"/>
    <s v="Afternoon"/>
    <x v="3"/>
    <n v="20"/>
    <n v="3"/>
    <x v="1"/>
    <x v="0"/>
    <s v="SMS"/>
    <n v="6.6"/>
    <x v="26"/>
    <x v="1"/>
  </r>
  <r>
    <s v="HC-01683"/>
    <s v="P-0478"/>
    <s v="Female"/>
    <n v="77"/>
    <x v="4"/>
    <s v="General Consultation"/>
    <d v="2024-12-06T00:00:00"/>
    <d v="2025-01-20T00:00:00"/>
    <s v="Monday"/>
    <s v="Afternoon"/>
    <x v="2"/>
    <n v="45"/>
    <n v="5"/>
    <x v="1"/>
    <x v="0"/>
    <s v="WhatsApp"/>
    <n v="7.6"/>
    <x v="12"/>
    <x v="0"/>
  </r>
  <r>
    <s v="HC-01684"/>
    <s v="P-1381"/>
    <s v="Female"/>
    <n v="38"/>
    <x v="0"/>
    <s v="Diagnostic Test"/>
    <d v="2026-01-20T00:00:00"/>
    <d v="2026-03-11T00:00:00"/>
    <s v="Wednesday"/>
    <s v="Morning"/>
    <x v="2"/>
    <n v="50"/>
    <n v="1"/>
    <x v="0"/>
    <x v="0"/>
    <s v="SMS"/>
    <n v="3.6"/>
    <x v="0"/>
    <x v="1"/>
  </r>
  <r>
    <s v="HC-01685"/>
    <s v="P-0462"/>
    <s v="Male"/>
    <n v="56"/>
    <x v="3"/>
    <s v="Specialist Consultation"/>
    <d v="2025-06-23T00:00:00"/>
    <d v="2025-07-15T00:00:00"/>
    <s v="Tuesday"/>
    <s v="Evening"/>
    <x v="3"/>
    <n v="22"/>
    <n v="5"/>
    <x v="1"/>
    <x v="0"/>
    <s v="SMS"/>
    <n v="1.3"/>
    <x v="1"/>
    <x v="0"/>
  </r>
  <r>
    <s v="HC-01686"/>
    <s v="P-1694"/>
    <s v="Male"/>
    <n v="35"/>
    <x v="0"/>
    <s v="Diagnostic Test"/>
    <d v="2025-10-03T00:00:00"/>
    <d v="2025-10-12T00:00:00"/>
    <s v="Sunday"/>
    <s v="Morning"/>
    <x v="0"/>
    <n v="9"/>
    <n v="4"/>
    <x v="0"/>
    <x v="0"/>
    <s v="Email"/>
    <m/>
    <x v="14"/>
    <x v="0"/>
  </r>
  <r>
    <s v="HC-01687"/>
    <s v="P-1194"/>
    <s v="Prefer not to say"/>
    <n v="58"/>
    <x v="3"/>
    <s v="Specialist Consultation"/>
    <d v="2025-08-11T00:00:00"/>
    <d v="2025-08-22T00:00:00"/>
    <s v="Friday"/>
    <s v="Morning"/>
    <x v="0"/>
    <n v="11"/>
    <n v="1"/>
    <x v="0"/>
    <x v="0"/>
    <s v="WhatsApp"/>
    <n v="3.1"/>
    <x v="2"/>
    <x v="1"/>
  </r>
  <r>
    <s v="HC-01688"/>
    <s v="P-1725"/>
    <s v="Male"/>
    <n v="53"/>
    <x v="2"/>
    <s v="Follow-up"/>
    <d v="2025-08-05T00:00:00"/>
    <d v="2025-08-11T00:00:00"/>
    <s v="Monday"/>
    <s v="Morning"/>
    <x v="1"/>
    <n v="6"/>
    <n v="3"/>
    <x v="1"/>
    <x v="1"/>
    <s v="None"/>
    <n v="18.899999999999999"/>
    <x v="22"/>
    <x v="1"/>
  </r>
  <r>
    <s v="HC-01689"/>
    <s v="P-0121"/>
    <s v="Male"/>
    <n v="27"/>
    <x v="1"/>
    <s v="Specialist Consultation"/>
    <d v="2026-04-16T00:00:00"/>
    <d v="2026-05-28T00:00:00"/>
    <s v="Thursday"/>
    <s v="Afternoon"/>
    <x v="2"/>
    <n v="42"/>
    <n v="2"/>
    <x v="0"/>
    <x v="1"/>
    <s v="None"/>
    <n v="11"/>
    <x v="7"/>
    <x v="1"/>
  </r>
  <r>
    <s v="HC-01690"/>
    <s v="P-1582"/>
    <s v="Male"/>
    <n v="47"/>
    <x v="2"/>
    <s v="Follow-up"/>
    <d v="2025-01-22T00:00:00"/>
    <d v="2025-02-21T00:00:00"/>
    <s v="Friday"/>
    <s v="Afternoon"/>
    <x v="3"/>
    <n v="30"/>
    <n v="2"/>
    <x v="0"/>
    <x v="0"/>
    <s v="SMS"/>
    <n v="7.1"/>
    <x v="2"/>
    <x v="1"/>
  </r>
  <r>
    <s v="HC-01691"/>
    <s v="P-1751"/>
    <s v="Male"/>
    <n v="24"/>
    <x v="5"/>
    <s v="Follow-up"/>
    <d v="2026-01-30T00:00:00"/>
    <d v="2026-02-26T00:00:00"/>
    <s v="Thursday"/>
    <s v="Morning"/>
    <x v="3"/>
    <n v="27"/>
    <n v="3"/>
    <x v="0"/>
    <x v="0"/>
    <s v="SMS"/>
    <n v="10.3"/>
    <x v="27"/>
    <x v="0"/>
  </r>
  <r>
    <s v="HC-01692"/>
    <s v="P-0928"/>
    <s v="Male"/>
    <n v="74"/>
    <x v="4"/>
    <s v="General Consultation"/>
    <d v="2026-03-22T00:00:00"/>
    <d v="2026-05-01T00:00:00"/>
    <s v="Friday"/>
    <s v="Afternoon"/>
    <x v="2"/>
    <n v="40"/>
    <n v="4"/>
    <x v="0"/>
    <x v="0"/>
    <s v="SMS"/>
    <n v="8.6999999999999993"/>
    <x v="7"/>
    <x v="1"/>
  </r>
  <r>
    <s v="HC-01693"/>
    <s v="P-1596"/>
    <s v="Female"/>
    <n v="62"/>
    <x v="3"/>
    <s v="Follow-up"/>
    <d v="2025-11-05T00:00:00"/>
    <d v="2025-12-25T00:00:00"/>
    <s v="Thursday"/>
    <s v="Afternoon"/>
    <x v="2"/>
    <n v="50"/>
    <n v="4"/>
    <x v="1"/>
    <x v="0"/>
    <s v="SMS"/>
    <n v="7.7"/>
    <x v="25"/>
    <x v="0"/>
  </r>
  <r>
    <s v="HC-01694"/>
    <s v="P-0764"/>
    <s v="Male"/>
    <n v="77"/>
    <x v="4"/>
    <s v="General Consultation"/>
    <d v="2025-06-17T00:00:00"/>
    <d v="2025-08-04T00:00:00"/>
    <s v="Monday"/>
    <s v="Evening"/>
    <x v="2"/>
    <n v="48"/>
    <n v="3"/>
    <x v="1"/>
    <x v="0"/>
    <s v="SMS"/>
    <n v="8.1"/>
    <x v="24"/>
    <x v="0"/>
  </r>
  <r>
    <s v="HC-01695"/>
    <s v="P-0819"/>
    <s v="Male"/>
    <n v="73"/>
    <x v="4"/>
    <s v="Follow-up"/>
    <d v="2025-03-21T00:00:00"/>
    <d v="2025-03-29T00:00:00"/>
    <s v="Saturday"/>
    <s v="Evening"/>
    <x v="0"/>
    <n v="8"/>
    <n v="8"/>
    <x v="2"/>
    <x v="0"/>
    <s v="WhatsApp"/>
    <n v="14.2"/>
    <x v="20"/>
    <x v="1"/>
  </r>
  <r>
    <s v="HC-01696"/>
    <s v="P-0811"/>
    <s v="Female"/>
    <n v="31"/>
    <x v="1"/>
    <s v="General Consultation"/>
    <d v="2025-12-04T00:00:00"/>
    <d v="2026-01-08T00:00:00"/>
    <s v="Thursday"/>
    <s v="Afternoon"/>
    <x v="2"/>
    <n v="35"/>
    <n v="3"/>
    <x v="2"/>
    <x v="0"/>
    <s v="WhatsApp"/>
    <n v="10.5"/>
    <x v="4"/>
    <x v="1"/>
  </r>
  <r>
    <s v="HC-01697"/>
    <s v="P-1149"/>
    <s v="Female"/>
    <n v="62"/>
    <x v="3"/>
    <s v="Follow-up"/>
    <d v="2025-07-22T00:00:00"/>
    <d v="2025-09-13T00:00:00"/>
    <s v="Saturday"/>
    <s v="Morning"/>
    <x v="2"/>
    <n v="53"/>
    <n v="3"/>
    <x v="1"/>
    <x v="1"/>
    <s v="None"/>
    <n v="7.3"/>
    <x v="6"/>
    <x v="0"/>
  </r>
  <r>
    <s v="HC-01698"/>
    <s v="P-1738"/>
    <s v="Male"/>
    <n v="24"/>
    <x v="5"/>
    <s v="General Consultation"/>
    <d v="2025-02-04T00:00:00"/>
    <d v="2025-03-23T00:00:00"/>
    <s v="Sunday"/>
    <s v="Morning"/>
    <x v="2"/>
    <n v="47"/>
    <n v="3"/>
    <x v="0"/>
    <x v="0"/>
    <s v="WhatsApp"/>
    <n v="12.7"/>
    <x v="14"/>
    <x v="0"/>
  </r>
  <r>
    <s v="HC-01699"/>
    <s v="P-0377"/>
    <s v="Male"/>
    <n v="78"/>
    <x v="4"/>
    <s v="General Consultation"/>
    <d v="2025-06-26T00:00:00"/>
    <d v="2025-07-16T00:00:00"/>
    <s v="Wednesday"/>
    <s v="Evening"/>
    <x v="3"/>
    <n v="20"/>
    <n v="4"/>
    <x v="1"/>
    <x v="0"/>
    <s v="SMS"/>
    <n v="20.3"/>
    <x v="17"/>
    <x v="0"/>
  </r>
  <r>
    <s v="HC-01700"/>
    <s v="P-1061"/>
    <s v="Female"/>
    <n v="67"/>
    <x v="4"/>
    <s v="Follow-up"/>
    <d v="2026-05-18T00:00:00"/>
    <d v="2026-06-10T00:00:00"/>
    <s v="Wednesday"/>
    <s v="Afternoon"/>
    <x v="3"/>
    <n v="23"/>
    <n v="1"/>
    <x v="0"/>
    <x v="0"/>
    <s v="WhatsApp"/>
    <n v="7.3"/>
    <x v="44"/>
    <x v="1"/>
  </r>
  <r>
    <s v="HC-01701"/>
    <s v="P-0892"/>
    <s v="Male"/>
    <n v="60"/>
    <x v="3"/>
    <s v="General Consultation"/>
    <d v="2025-04-01T00:00:00"/>
    <d v="2025-05-25T00:00:00"/>
    <s v="Sunday"/>
    <s v="Afternoon"/>
    <x v="2"/>
    <n v="54"/>
    <n v="3"/>
    <x v="1"/>
    <x v="0"/>
    <s v="SMS"/>
    <n v="4.9000000000000004"/>
    <x v="16"/>
    <x v="0"/>
  </r>
  <r>
    <s v="HC-01702"/>
    <s v="P-1342"/>
    <s v="Male"/>
    <n v="80"/>
    <x v="4"/>
    <s v="Diagnostic Test"/>
    <d v="2025-04-06T00:00:00"/>
    <d v="2025-04-08T00:00:00"/>
    <s v="Tuesday"/>
    <s v="Evening"/>
    <x v="1"/>
    <n v="2"/>
    <n v="4"/>
    <x v="0"/>
    <x v="0"/>
    <s v="SMS"/>
    <n v="13.3"/>
    <x v="0"/>
    <x v="0"/>
  </r>
  <r>
    <s v="HC-01703"/>
    <s v="P-0809"/>
    <s v="Female"/>
    <n v="71"/>
    <x v="4"/>
    <s v="Follow-up"/>
    <d v="2025-12-07T00:00:00"/>
    <d v="2026-01-08T00:00:00"/>
    <s v="Thursday"/>
    <s v="Evening"/>
    <x v="2"/>
    <n v="32"/>
    <n v="0"/>
    <x v="0"/>
    <x v="0"/>
    <s v="SMS"/>
    <n v="7.3"/>
    <x v="10"/>
    <x v="1"/>
  </r>
  <r>
    <s v="HC-01704"/>
    <s v="P-0117"/>
    <s v="Male"/>
    <n v="72"/>
    <x v="4"/>
    <s v="General Consultation"/>
    <d v="2025-04-12T00:00:00"/>
    <d v="2025-04-19T00:00:00"/>
    <s v="Saturday"/>
    <s v="Afternoon"/>
    <x v="1"/>
    <n v="7"/>
    <n v="2"/>
    <x v="0"/>
    <x v="0"/>
    <s v="SMS"/>
    <n v="15.9"/>
    <x v="14"/>
    <x v="1"/>
  </r>
  <r>
    <s v="HC-01705"/>
    <s v="P-1443"/>
    <s v="Female"/>
    <n v="24"/>
    <x v="5"/>
    <s v="General Consultation"/>
    <d v="2026-03-25T00:00:00"/>
    <d v="2026-05-18T00:00:00"/>
    <s v="Monday"/>
    <s v="Evening"/>
    <x v="2"/>
    <n v="54"/>
    <n v="2"/>
    <x v="1"/>
    <x v="0"/>
    <s v="Email"/>
    <n v="3.6"/>
    <x v="0"/>
    <x v="1"/>
  </r>
  <r>
    <s v="HC-01706"/>
    <s v="P-1753"/>
    <s v="Male"/>
    <n v="19"/>
    <x v="5"/>
    <s v="Specialist Consultation"/>
    <d v="2026-04-13T00:00:00"/>
    <d v="2026-04-15T00:00:00"/>
    <s v="Wednesday"/>
    <s v="Morning"/>
    <x v="1"/>
    <n v="2"/>
    <n v="3"/>
    <x v="0"/>
    <x v="0"/>
    <s v="SMS"/>
    <n v="5.9"/>
    <x v="12"/>
    <x v="1"/>
  </r>
  <r>
    <s v="HC-01707"/>
    <s v="P-1710"/>
    <s v="Female"/>
    <n v="78"/>
    <x v="4"/>
    <s v="Follow-up"/>
    <d v="2026-06-21T00:00:00"/>
    <d v="2026-06-22T00:00:00"/>
    <s v="Monday"/>
    <s v="Afternoon"/>
    <x v="1"/>
    <n v="1"/>
    <n v="3"/>
    <x v="1"/>
    <x v="1"/>
    <s v="None"/>
    <n v="24.3"/>
    <x v="2"/>
    <x v="1"/>
  </r>
  <r>
    <s v="HC-01708"/>
    <s v="P-0938"/>
    <s v="Male"/>
    <n v="33"/>
    <x v="1"/>
    <s v="General Consultation"/>
    <d v="2026-04-24T00:00:00"/>
    <d v="2026-05-14T00:00:00"/>
    <s v="Thursday"/>
    <s v="Evening"/>
    <x v="3"/>
    <n v="20"/>
    <n v="5"/>
    <x v="1"/>
    <x v="0"/>
    <s v="WhatsApp"/>
    <n v="5.7"/>
    <x v="8"/>
    <x v="0"/>
  </r>
  <r>
    <s v="HC-01709"/>
    <s v="P-0621"/>
    <s v="Female"/>
    <n v="44"/>
    <x v="0"/>
    <s v="General Consultation"/>
    <d v="2025-05-02T00:00:00"/>
    <d v="2025-05-14T00:00:00"/>
    <s v="Wednesday"/>
    <s v="Morning"/>
    <x v="0"/>
    <n v="12"/>
    <n v="3"/>
    <x v="0"/>
    <x v="1"/>
    <s v="None"/>
    <n v="16.2"/>
    <x v="5"/>
    <x v="1"/>
  </r>
  <r>
    <s v="HC-01710"/>
    <s v="P-1085"/>
    <s v="Male"/>
    <n v="20"/>
    <x v="5"/>
    <s v="Specialist Consultation"/>
    <d v="2025-03-27T00:00:00"/>
    <d v="2025-04-26T00:00:00"/>
    <s v="Saturday"/>
    <s v="Morning"/>
    <x v="3"/>
    <n v="30"/>
    <n v="3"/>
    <x v="0"/>
    <x v="0"/>
    <s v="SMS"/>
    <n v="4.8"/>
    <x v="37"/>
    <x v="0"/>
  </r>
  <r>
    <s v="HC-01711"/>
    <s v="P-1507"/>
    <s v="Male"/>
    <n v="57"/>
    <x v="3"/>
    <s v="Diagnostic Test"/>
    <d v="2025-06-19T00:00:00"/>
    <d v="2025-07-07T00:00:00"/>
    <s v="Monday"/>
    <s v="Afternoon"/>
    <x v="3"/>
    <n v="18"/>
    <n v="4"/>
    <x v="1"/>
    <x v="0"/>
    <s v="WhatsApp"/>
    <n v="12.7"/>
    <x v="1"/>
    <x v="0"/>
  </r>
  <r>
    <s v="HC-01712"/>
    <s v="P-1455"/>
    <s v="Female"/>
    <n v="69"/>
    <x v="4"/>
    <s v="General Consultation"/>
    <d v="2025-08-24T00:00:00"/>
    <d v="2025-09-14T00:00:00"/>
    <s v="Sunday"/>
    <s v="Afternoon"/>
    <x v="3"/>
    <n v="21"/>
    <n v="2"/>
    <x v="0"/>
    <x v="0"/>
    <s v="SMS"/>
    <n v="4.0999999999999996"/>
    <x v="14"/>
    <x v="0"/>
  </r>
  <r>
    <s v="HC-01713"/>
    <s v="P-1007"/>
    <s v="Male"/>
    <n v="71"/>
    <x v="4"/>
    <s v="General Consultation"/>
    <d v="2026-03-23T00:00:00"/>
    <d v="2026-04-26T00:00:00"/>
    <s v="Sunday"/>
    <s v="Morning"/>
    <x v="2"/>
    <n v="34"/>
    <n v="0"/>
    <x v="0"/>
    <x v="1"/>
    <s v="None"/>
    <n v="13.5"/>
    <x v="18"/>
    <x v="1"/>
  </r>
  <r>
    <s v="HC-01714"/>
    <s v="P-0153"/>
    <s v="Female"/>
    <n v="54"/>
    <x v="2"/>
    <s v="General Consultation"/>
    <d v="2026-01-02T00:00:00"/>
    <d v="2026-02-05T00:00:00"/>
    <s v="Thursday"/>
    <s v="Morning"/>
    <x v="2"/>
    <n v="34"/>
    <n v="1"/>
    <x v="1"/>
    <x v="0"/>
    <s v="SMS"/>
    <n v="6.7"/>
    <x v="21"/>
    <x v="1"/>
  </r>
  <r>
    <s v="HC-01715"/>
    <s v="P-0449"/>
    <s v="Male"/>
    <n v="59"/>
    <x v="3"/>
    <s v="General Consultation"/>
    <d v="2025-10-22T00:00:00"/>
    <d v="2025-12-18T00:00:00"/>
    <s v="Thursday"/>
    <s v="Morning"/>
    <x v="2"/>
    <n v="57"/>
    <n v="4"/>
    <x v="2"/>
    <x v="0"/>
    <s v="SMS"/>
    <n v="5.8"/>
    <x v="12"/>
    <x v="0"/>
  </r>
  <r>
    <s v="HC-01716"/>
    <s v="P-0023"/>
    <s v="Male"/>
    <n v="50"/>
    <x v="2"/>
    <s v="Specialist Consultation"/>
    <d v="2026-03-27T00:00:00"/>
    <d v="2026-04-25T00:00:00"/>
    <s v="Saturday"/>
    <s v="Morning"/>
    <x v="3"/>
    <n v="29"/>
    <n v="2"/>
    <x v="0"/>
    <x v="0"/>
    <s v="SMS"/>
    <n v="6.8"/>
    <x v="17"/>
    <x v="1"/>
  </r>
  <r>
    <s v="HC-01717"/>
    <s v="P-0914"/>
    <s v="Male"/>
    <n v="46"/>
    <x v="2"/>
    <s v="Diagnostic Test"/>
    <d v="2025-11-15T00:00:00"/>
    <d v="2025-12-19T00:00:00"/>
    <s v="Friday"/>
    <s v="Evening"/>
    <x v="2"/>
    <n v="34"/>
    <n v="2"/>
    <x v="0"/>
    <x v="1"/>
    <s v="None"/>
    <n v="8.1999999999999993"/>
    <x v="4"/>
    <x v="0"/>
  </r>
  <r>
    <s v="HC-01718"/>
    <s v="P-1720"/>
    <s v="Male"/>
    <n v="52"/>
    <x v="2"/>
    <s v="Diagnostic Test"/>
    <d v="2025-06-15T00:00:00"/>
    <d v="2025-07-26T00:00:00"/>
    <s v="Saturday"/>
    <s v="Afternoon"/>
    <x v="2"/>
    <n v="41"/>
    <n v="3"/>
    <x v="1"/>
    <x v="1"/>
    <s v="None"/>
    <n v="9.1999999999999993"/>
    <x v="21"/>
    <x v="0"/>
  </r>
  <r>
    <s v="HC-01719"/>
    <s v="P-1089"/>
    <s v="Male"/>
    <n v="76"/>
    <x v="4"/>
    <s v="Specialist Consultation"/>
    <d v="2025-08-04T00:00:00"/>
    <d v="2025-08-14T00:00:00"/>
    <s v="Thursday"/>
    <s v="Afternoon"/>
    <x v="0"/>
    <n v="10"/>
    <n v="8"/>
    <x v="5"/>
    <x v="0"/>
    <s v="WhatsApp"/>
    <n v="3.3"/>
    <x v="17"/>
    <x v="0"/>
  </r>
  <r>
    <s v="HC-01720"/>
    <s v="P-0384"/>
    <s v="Female"/>
    <n v="33"/>
    <x v="1"/>
    <s v="General Consultation"/>
    <d v="2025-08-31T00:00:00"/>
    <d v="2025-10-10T00:00:00"/>
    <s v="Friday"/>
    <s v="Morning"/>
    <x v="2"/>
    <n v="40"/>
    <n v="1"/>
    <x v="0"/>
    <x v="0"/>
    <s v="WhatsApp"/>
    <n v="9.9"/>
    <x v="52"/>
    <x v="0"/>
  </r>
  <r>
    <s v="HC-01721"/>
    <s v="P-0070"/>
    <s v="Female"/>
    <n v="47"/>
    <x v="2"/>
    <s v="Diagnostic Test"/>
    <d v="2024-12-28T00:00:00"/>
    <d v="2025-02-18T00:00:00"/>
    <s v="Tuesday"/>
    <s v="Morning"/>
    <x v="2"/>
    <n v="52"/>
    <n v="1"/>
    <x v="0"/>
    <x v="0"/>
    <s v="WhatsApp"/>
    <n v="2.7"/>
    <x v="13"/>
    <x v="0"/>
  </r>
  <r>
    <s v="HC-01722"/>
    <s v="P-0191"/>
    <s v="Female"/>
    <n v="55"/>
    <x v="3"/>
    <s v="General Consultation"/>
    <d v="2026-01-21T00:00:00"/>
    <d v="2026-02-09T00:00:00"/>
    <s v="Monday"/>
    <s v="Morning"/>
    <x v="3"/>
    <n v="19"/>
    <n v="2"/>
    <x v="0"/>
    <x v="0"/>
    <s v="SMS"/>
    <n v="14.8"/>
    <x v="25"/>
    <x v="0"/>
  </r>
  <r>
    <s v="HC-01723"/>
    <s v="P-0602"/>
    <s v="Female"/>
    <n v="53"/>
    <x v="2"/>
    <s v="General Consultation"/>
    <d v="2025-12-13T00:00:00"/>
    <d v="2025-12-23T00:00:00"/>
    <s v="Tuesday"/>
    <s v="Afternoon"/>
    <x v="0"/>
    <n v="10"/>
    <n v="3"/>
    <x v="0"/>
    <x v="0"/>
    <s v="WhatsApp"/>
    <n v="10.4"/>
    <x v="25"/>
    <x v="0"/>
  </r>
  <r>
    <s v="HC-01724"/>
    <s v="P-1685"/>
    <s v="Male"/>
    <n v="19"/>
    <x v="5"/>
    <s v="Follow-up"/>
    <d v="2026-01-14T00:00:00"/>
    <d v="2026-02-04T00:00:00"/>
    <s v="Wednesday"/>
    <s v="Evening"/>
    <x v="3"/>
    <n v="21"/>
    <n v="5"/>
    <x v="2"/>
    <x v="1"/>
    <s v="None"/>
    <n v="10.4"/>
    <x v="49"/>
    <x v="0"/>
  </r>
  <r>
    <s v="HC-01725"/>
    <s v="P-0076"/>
    <s v="Female"/>
    <n v="36"/>
    <x v="0"/>
    <s v="General Consultation"/>
    <d v="2025-10-03T00:00:00"/>
    <d v="2025-10-19T00:00:00"/>
    <s v="Sunday"/>
    <s v="Morning"/>
    <x v="3"/>
    <n v="16"/>
    <n v="4"/>
    <x v="0"/>
    <x v="0"/>
    <s v="SMS"/>
    <n v="13.4"/>
    <x v="19"/>
    <x v="0"/>
  </r>
  <r>
    <s v="HC-01726"/>
    <s v="P-0676"/>
    <s v="Male"/>
    <n v="58"/>
    <x v="3"/>
    <s v="Specialist Consultation"/>
    <d v="2026-01-28T00:00:00"/>
    <d v="2026-03-04T00:00:00"/>
    <s v="Wednesday"/>
    <s v="Evening"/>
    <x v="2"/>
    <n v="35"/>
    <n v="2"/>
    <x v="1"/>
    <x v="0"/>
    <s v="SMS"/>
    <n v="10.6"/>
    <x v="47"/>
    <x v="0"/>
  </r>
  <r>
    <s v="HC-01727"/>
    <s v="P-0709"/>
    <s v="Female"/>
    <n v="61"/>
    <x v="3"/>
    <s v="Diagnostic Test"/>
    <d v="2026-04-12T00:00:00"/>
    <d v="2026-06-03T00:00:00"/>
    <s v="Wednesday"/>
    <s v="Morning"/>
    <x v="2"/>
    <n v="52"/>
    <n v="9"/>
    <x v="1"/>
    <x v="1"/>
    <s v="None"/>
    <n v="20.9"/>
    <x v="27"/>
    <x v="0"/>
  </r>
  <r>
    <s v="HC-01728"/>
    <s v="P-1538"/>
    <s v="Female"/>
    <n v="64"/>
    <x v="3"/>
    <s v="Specialist Consultation"/>
    <d v="2025-10-03T00:00:00"/>
    <d v="2025-11-08T00:00:00"/>
    <s v="Saturday"/>
    <s v="Morning"/>
    <x v="2"/>
    <n v="36"/>
    <n v="1"/>
    <x v="0"/>
    <x v="0"/>
    <s v="SMS"/>
    <n v="4.2"/>
    <x v="19"/>
    <x v="0"/>
  </r>
  <r>
    <s v="HC-01729"/>
    <s v="P-1104"/>
    <s v="Male"/>
    <n v="80"/>
    <x v="4"/>
    <s v="Specialist Consultation"/>
    <d v="2025-08-24T00:00:00"/>
    <d v="2025-08-31T00:00:00"/>
    <s v="Sunday"/>
    <s v="Afternoon"/>
    <x v="1"/>
    <n v="7"/>
    <n v="8"/>
    <x v="2"/>
    <x v="0"/>
    <s v="WhatsApp"/>
    <n v="3.2"/>
    <x v="7"/>
    <x v="0"/>
  </r>
  <r>
    <s v="HC-01730"/>
    <s v="P-1677"/>
    <s v="Female"/>
    <n v="60"/>
    <x v="3"/>
    <s v="General Consultation"/>
    <d v="2025-02-08T00:00:00"/>
    <d v="2025-02-27T00:00:00"/>
    <s v="Thursday"/>
    <s v="Morning"/>
    <x v="3"/>
    <n v="19"/>
    <n v="4"/>
    <x v="1"/>
    <x v="0"/>
    <s v="SMS"/>
    <n v="21.3"/>
    <x v="23"/>
    <x v="1"/>
  </r>
  <r>
    <s v="HC-01731"/>
    <s v="P-1540"/>
    <s v="Male"/>
    <n v="54"/>
    <x v="2"/>
    <s v="General Consultation"/>
    <d v="2026-01-19T00:00:00"/>
    <d v="2026-03-02T00:00:00"/>
    <s v="Monday"/>
    <s v="Evening"/>
    <x v="2"/>
    <n v="42"/>
    <n v="4"/>
    <x v="0"/>
    <x v="0"/>
    <s v="SMS"/>
    <n v="10.6"/>
    <x v="18"/>
    <x v="2"/>
  </r>
  <r>
    <s v="HC-01732"/>
    <s v="P-0354"/>
    <s v="Male"/>
    <n v="38"/>
    <x v="0"/>
    <s v="Specialist Consultation"/>
    <d v="2026-04-19T00:00:00"/>
    <d v="2026-05-09T00:00:00"/>
    <s v="Saturday"/>
    <s v="Morning"/>
    <x v="3"/>
    <n v="20"/>
    <n v="4"/>
    <x v="0"/>
    <x v="0"/>
    <s v="WhatsApp"/>
    <n v="11.4"/>
    <x v="19"/>
    <x v="1"/>
  </r>
  <r>
    <s v="HC-01733"/>
    <s v="P-1094"/>
    <s v="Male"/>
    <n v="41"/>
    <x v="0"/>
    <s v="Follow-up"/>
    <d v="2025-12-13T00:00:00"/>
    <d v="2026-01-17T00:00:00"/>
    <s v="Saturday"/>
    <s v="Afternoon"/>
    <x v="2"/>
    <n v="35"/>
    <n v="4"/>
    <x v="0"/>
    <x v="0"/>
    <s v="WhatsApp"/>
    <n v="3.9"/>
    <x v="12"/>
    <x v="1"/>
  </r>
  <r>
    <s v="HC-01734"/>
    <s v="P-0125"/>
    <s v="Male"/>
    <n v="70"/>
    <x v="4"/>
    <s v="Diagnostic Test"/>
    <d v="2026-03-07T00:00:00"/>
    <d v="2026-04-18T00:00:00"/>
    <s v="Saturday"/>
    <s v="Morning"/>
    <x v="2"/>
    <n v="42"/>
    <n v="5"/>
    <x v="2"/>
    <x v="1"/>
    <s v="None"/>
    <n v="11"/>
    <x v="10"/>
    <x v="0"/>
  </r>
  <r>
    <s v="HC-01735"/>
    <s v="P-1190"/>
    <s v="Male"/>
    <n v="47"/>
    <x v="2"/>
    <s v="General Consultation"/>
    <d v="2026-03-27T00:00:00"/>
    <d v="2026-04-16T00:00:00"/>
    <s v="Thursday"/>
    <s v="Morning"/>
    <x v="3"/>
    <n v="20"/>
    <n v="4"/>
    <x v="2"/>
    <x v="1"/>
    <s v="None"/>
    <n v="7.6"/>
    <x v="8"/>
    <x v="0"/>
  </r>
  <r>
    <s v="HC-01736"/>
    <s v="P-0071"/>
    <s v="Female"/>
    <n v="63"/>
    <x v="3"/>
    <s v="General Consultation"/>
    <d v="2026-02-01T00:00:00"/>
    <d v="2026-03-12T00:00:00"/>
    <s v="Thursday"/>
    <s v="Morning"/>
    <x v="2"/>
    <n v="39"/>
    <n v="2"/>
    <x v="0"/>
    <x v="0"/>
    <s v="WhatsApp"/>
    <n v="12.5"/>
    <x v="27"/>
    <x v="1"/>
  </r>
  <r>
    <s v="HC-01737"/>
    <s v="P-1146"/>
    <s v="Male"/>
    <n v="25"/>
    <x v="1"/>
    <s v="General Consultation"/>
    <d v="2025-09-08T00:00:00"/>
    <d v="2025-10-02T00:00:00"/>
    <s v="Thursday"/>
    <s v="Evening"/>
    <x v="3"/>
    <n v="24"/>
    <n v="4"/>
    <x v="2"/>
    <x v="1"/>
    <s v="None"/>
    <n v="8.5"/>
    <x v="7"/>
    <x v="2"/>
  </r>
  <r>
    <s v="HC-01738"/>
    <s v="P-0498"/>
    <s v="Female"/>
    <n v="26"/>
    <x v="1"/>
    <s v="Follow-up"/>
    <d v="2025-02-16T00:00:00"/>
    <d v="2025-02-24T00:00:00"/>
    <s v="Monday"/>
    <s v="Afternoon"/>
    <x v="0"/>
    <n v="8"/>
    <n v="3"/>
    <x v="1"/>
    <x v="0"/>
    <s v="Email"/>
    <n v="7.6"/>
    <x v="45"/>
    <x v="0"/>
  </r>
  <r>
    <s v="HC-01739"/>
    <s v="P-1277"/>
    <s v="Female"/>
    <n v="31"/>
    <x v="1"/>
    <s v="Specialist Consultation"/>
    <d v="2024-12-11T00:00:00"/>
    <d v="2025-01-02T00:00:00"/>
    <s v="Thursday"/>
    <s v="Afternoon"/>
    <x v="3"/>
    <n v="22"/>
    <n v="4"/>
    <x v="0"/>
    <x v="0"/>
    <s v="WhatsApp"/>
    <n v="8.6"/>
    <x v="38"/>
    <x v="1"/>
  </r>
  <r>
    <s v="HC-01740"/>
    <s v="P-0321"/>
    <s v="Male"/>
    <n v="30"/>
    <x v="1"/>
    <s v="Diagnostic Test"/>
    <d v="2025-03-27T00:00:00"/>
    <d v="2025-04-22T00:00:00"/>
    <s v="Tuesday"/>
    <s v="Morning"/>
    <x v="3"/>
    <n v="26"/>
    <n v="4"/>
    <x v="1"/>
    <x v="0"/>
    <s v="WhatsApp"/>
    <n v="5.3"/>
    <x v="18"/>
    <x v="1"/>
  </r>
  <r>
    <s v="HC-01741"/>
    <s v="P-0504"/>
    <s v="Male"/>
    <n v="56"/>
    <x v="3"/>
    <s v="General Consultation"/>
    <d v="2025-08-24T00:00:00"/>
    <d v="2025-08-24T00:00:00"/>
    <s v="Sunday"/>
    <s v="Morning"/>
    <x v="1"/>
    <n v="0"/>
    <n v="5"/>
    <x v="2"/>
    <x v="0"/>
    <s v="SMS"/>
    <n v="6.2"/>
    <x v="47"/>
    <x v="1"/>
  </r>
  <r>
    <s v="HC-01742"/>
    <s v="P-1623"/>
    <s v="Male"/>
    <n v="58"/>
    <x v="3"/>
    <s v="Follow-up"/>
    <d v="2025-12-19T00:00:00"/>
    <d v="2026-02-11T00:00:00"/>
    <s v="Wednesday"/>
    <s v="Morning"/>
    <x v="2"/>
    <n v="54"/>
    <n v="2"/>
    <x v="0"/>
    <x v="0"/>
    <s v="WhatsApp"/>
    <n v="16.7"/>
    <x v="51"/>
    <x v="0"/>
  </r>
  <r>
    <s v="HC-01743"/>
    <s v="P-1114"/>
    <s v="Male"/>
    <n v="53"/>
    <x v="2"/>
    <s v="General Consultation"/>
    <d v="2025-08-05T00:00:00"/>
    <d v="2025-09-06T00:00:00"/>
    <s v="Saturday"/>
    <s v="Afternoon"/>
    <x v="2"/>
    <n v="32"/>
    <n v="4"/>
    <x v="2"/>
    <x v="1"/>
    <s v="None"/>
    <n v="11.2"/>
    <x v="9"/>
    <x v="1"/>
  </r>
  <r>
    <s v="HC-01744"/>
    <s v="P-1672"/>
    <s v="Male"/>
    <n v="36"/>
    <x v="0"/>
    <s v="General Consultation"/>
    <d v="2025-01-11T00:00:00"/>
    <d v="2025-01-13T00:00:00"/>
    <s v="Monday"/>
    <s v="Morning"/>
    <x v="1"/>
    <n v="2"/>
    <n v="2"/>
    <x v="0"/>
    <x v="1"/>
    <s v="None"/>
    <n v="7.3"/>
    <x v="17"/>
    <x v="1"/>
  </r>
  <r>
    <s v="HC-01745"/>
    <s v="P-1371"/>
    <s v="Male"/>
    <n v="54"/>
    <x v="2"/>
    <s v="General Consultation"/>
    <d v="2025-03-04T00:00:00"/>
    <d v="2025-04-25T00:00:00"/>
    <s v="Friday"/>
    <s v="Morning"/>
    <x v="2"/>
    <n v="52"/>
    <n v="8"/>
    <x v="3"/>
    <x v="0"/>
    <s v="Email"/>
    <n v="11.1"/>
    <x v="4"/>
    <x v="0"/>
  </r>
  <r>
    <s v="HC-01746"/>
    <s v="P-0796"/>
    <s v="Female"/>
    <n v="25"/>
    <x v="1"/>
    <s v="Follow-up"/>
    <d v="2026-04-28T00:00:00"/>
    <d v="2026-06-19T00:00:00"/>
    <s v="Friday"/>
    <s v="Afternoon"/>
    <x v="2"/>
    <n v="52"/>
    <n v="2"/>
    <x v="1"/>
    <x v="0"/>
    <s v="SMS"/>
    <n v="10.1"/>
    <x v="12"/>
    <x v="0"/>
  </r>
  <r>
    <s v="HC-01747"/>
    <s v="P-0670"/>
    <s v="Female"/>
    <n v="47"/>
    <x v="2"/>
    <s v="Follow-up"/>
    <d v="2026-06-24T00:00:00"/>
    <d v="2026-06-24T00:00:00"/>
    <s v="Wednesday"/>
    <s v="Afternoon"/>
    <x v="1"/>
    <n v="0"/>
    <n v="3"/>
    <x v="1"/>
    <x v="0"/>
    <s v="SMS"/>
    <n v="6.3"/>
    <x v="51"/>
    <x v="1"/>
  </r>
  <r>
    <s v="HC-01748"/>
    <s v="P-0635"/>
    <s v="Male"/>
    <n v="27"/>
    <x v="1"/>
    <s v="General Consultation"/>
    <d v="2025-07-16T00:00:00"/>
    <d v="2025-07-25T00:00:00"/>
    <s v="Friday"/>
    <s v="Morning"/>
    <x v="0"/>
    <n v="9"/>
    <n v="2"/>
    <x v="2"/>
    <x v="1"/>
    <s v="None"/>
    <n v="5.3"/>
    <x v="16"/>
    <x v="0"/>
  </r>
  <r>
    <s v="HC-01749"/>
    <s v="P-0852"/>
    <s v="Male"/>
    <n v="22"/>
    <x v="5"/>
    <s v="Follow-up"/>
    <d v="2026-02-22T00:00:00"/>
    <d v="2026-03-16T00:00:00"/>
    <s v="Monday"/>
    <s v="Morning"/>
    <x v="3"/>
    <n v="22"/>
    <n v="4"/>
    <x v="0"/>
    <x v="0"/>
    <s v="SMS"/>
    <n v="6.2"/>
    <x v="13"/>
    <x v="0"/>
  </r>
  <r>
    <s v="HC-01750"/>
    <s v="P-0735"/>
    <s v="Female"/>
    <n v="28"/>
    <x v="1"/>
    <s v="Specialist Consultation"/>
    <d v="2025-12-29T00:00:00"/>
    <d v="2026-01-28T00:00:00"/>
    <s v="Wednesday"/>
    <s v="Morning"/>
    <x v="3"/>
    <n v="30"/>
    <n v="4"/>
    <x v="1"/>
    <x v="0"/>
    <s v="SMS"/>
    <n v="15.2"/>
    <x v="13"/>
    <x v="0"/>
  </r>
  <r>
    <s v="HC-01751"/>
    <s v="P-0233"/>
    <s v="Female"/>
    <n v="25"/>
    <x v="1"/>
    <s v="General Consultation"/>
    <d v="2026-04-10T00:00:00"/>
    <d v="2026-05-24T00:00:00"/>
    <s v="Sunday"/>
    <s v="Afternoon"/>
    <x v="2"/>
    <n v="44"/>
    <n v="2"/>
    <x v="0"/>
    <x v="1"/>
    <s v="None"/>
    <n v="7.2"/>
    <x v="51"/>
    <x v="1"/>
  </r>
  <r>
    <s v="HC-01752"/>
    <s v="P-1501"/>
    <s v="Female"/>
    <n v="48"/>
    <x v="2"/>
    <s v="General Consultation"/>
    <d v="2026-04-05T00:00:00"/>
    <d v="2026-04-30T00:00:00"/>
    <s v="Thursday"/>
    <s v="Morning"/>
    <x v="3"/>
    <n v="25"/>
    <n v="1"/>
    <x v="1"/>
    <x v="0"/>
    <s v="Email"/>
    <n v="16.399999999999999"/>
    <x v="31"/>
    <x v="0"/>
  </r>
  <r>
    <s v="HC-01753"/>
    <s v="P-0421"/>
    <s v="Male"/>
    <n v="52"/>
    <x v="2"/>
    <s v="Specialist Consultation"/>
    <d v="2025-11-03T00:00:00"/>
    <d v="2025-12-10T00:00:00"/>
    <s v="Wednesday"/>
    <s v="Afternoon"/>
    <x v="2"/>
    <n v="37"/>
    <n v="2"/>
    <x v="0"/>
    <x v="1"/>
    <s v="None"/>
    <n v="5.8"/>
    <x v="8"/>
    <x v="0"/>
  </r>
  <r>
    <s v="HC-01754"/>
    <s v="P-0261"/>
    <s v="Female"/>
    <n v="56"/>
    <x v="3"/>
    <s v="Specialist Consultation"/>
    <d v="2025-08-04T00:00:00"/>
    <d v="2025-08-04T00:00:00"/>
    <s v="Monday"/>
    <s v="Morning"/>
    <x v="1"/>
    <n v="0"/>
    <n v="4"/>
    <x v="0"/>
    <x v="0"/>
    <s v="WhatsApp"/>
    <n v="4.9000000000000004"/>
    <x v="22"/>
    <x v="1"/>
  </r>
  <r>
    <s v="HC-01755"/>
    <s v="P-0308"/>
    <s v="Female"/>
    <n v="45"/>
    <x v="2"/>
    <s v="Specialist Consultation"/>
    <d v="2025-10-30T00:00:00"/>
    <d v="2025-12-09T00:00:00"/>
    <s v="Tuesday"/>
    <s v="Evening"/>
    <x v="2"/>
    <n v="40"/>
    <n v="4"/>
    <x v="0"/>
    <x v="1"/>
    <s v="None"/>
    <n v="7.5"/>
    <x v="23"/>
    <x v="0"/>
  </r>
  <r>
    <s v="HC-01756"/>
    <s v="P-0272"/>
    <s v="Female"/>
    <n v="29"/>
    <x v="1"/>
    <s v="General Consultation"/>
    <d v="2025-04-30T00:00:00"/>
    <d v="2025-06-24T00:00:00"/>
    <s v="Tuesday"/>
    <s v="Evening"/>
    <x v="2"/>
    <n v="55"/>
    <n v="3"/>
    <x v="0"/>
    <x v="1"/>
    <s v="None"/>
    <n v="9.6999999999999993"/>
    <x v="51"/>
    <x v="0"/>
  </r>
  <r>
    <s v="HC-01757"/>
    <s v="P-1140"/>
    <s v="Female"/>
    <n v="19"/>
    <x v="5"/>
    <s v="Follow-up"/>
    <d v="2025-06-08T00:00:00"/>
    <d v="2025-07-10T00:00:00"/>
    <s v="Thursday"/>
    <s v="Morning"/>
    <x v="2"/>
    <n v="32"/>
    <n v="3"/>
    <x v="0"/>
    <x v="0"/>
    <s v="SMS"/>
    <n v="8.6"/>
    <x v="11"/>
    <x v="0"/>
  </r>
  <r>
    <s v="HC-01758"/>
    <s v="P-0505"/>
    <s v="Male"/>
    <n v="62"/>
    <x v="3"/>
    <s v="Diagnostic Test"/>
    <d v="2025-11-02T00:00:00"/>
    <d v="2025-11-29T00:00:00"/>
    <s v="Saturday"/>
    <s v="Afternoon"/>
    <x v="3"/>
    <n v="27"/>
    <n v="1"/>
    <x v="0"/>
    <x v="0"/>
    <s v="Email"/>
    <m/>
    <x v="15"/>
    <x v="0"/>
  </r>
  <r>
    <s v="HC-01759"/>
    <s v="P-0030"/>
    <s v="Male"/>
    <n v="79"/>
    <x v="4"/>
    <s v="General Consultation"/>
    <d v="2025-10-21T00:00:00"/>
    <d v="2025-11-08T00:00:00"/>
    <s v="Saturday"/>
    <s v="Morning"/>
    <x v="3"/>
    <n v="18"/>
    <n v="3"/>
    <x v="2"/>
    <x v="0"/>
    <s v="WhatsApp"/>
    <n v="10.7"/>
    <x v="6"/>
    <x v="0"/>
  </r>
  <r>
    <s v="HC-01760"/>
    <s v="P-1050"/>
    <s v="Female"/>
    <n v="35"/>
    <x v="0"/>
    <s v="Follow-up"/>
    <d v="2025-09-17T00:00:00"/>
    <d v="2025-11-14T00:00:00"/>
    <s v="Friday"/>
    <s v="Afternoon"/>
    <x v="2"/>
    <n v="58"/>
    <n v="6"/>
    <x v="1"/>
    <x v="0"/>
    <s v="WhatsApp"/>
    <n v="12.2"/>
    <x v="9"/>
    <x v="0"/>
  </r>
  <r>
    <s v="HC-01761"/>
    <s v="P-0785"/>
    <s v="Male"/>
    <n v="30"/>
    <x v="1"/>
    <s v="Diagnostic Test"/>
    <d v="2025-07-28T00:00:00"/>
    <d v="2025-07-30T00:00:00"/>
    <s v="Wednesday"/>
    <s v="Afternoon"/>
    <x v="1"/>
    <n v="2"/>
    <n v="2"/>
    <x v="2"/>
    <x v="0"/>
    <s v="Email"/>
    <n v="4"/>
    <x v="5"/>
    <x v="1"/>
  </r>
  <r>
    <s v="HC-01762"/>
    <s v="P-1283"/>
    <s v="Male"/>
    <n v="37"/>
    <x v="0"/>
    <s v="General Consultation"/>
    <d v="2025-07-26T00:00:00"/>
    <d v="2025-08-12T00:00:00"/>
    <s v="Tuesday"/>
    <s v="Afternoon"/>
    <x v="3"/>
    <n v="17"/>
    <n v="3"/>
    <x v="0"/>
    <x v="0"/>
    <s v="WhatsApp"/>
    <n v="5.5"/>
    <x v="9"/>
    <x v="1"/>
  </r>
  <r>
    <s v="HC-01763"/>
    <s v="P-0328"/>
    <s v="Male"/>
    <n v="31"/>
    <x v="1"/>
    <s v="Specialist Consultation"/>
    <d v="2024-12-29T00:00:00"/>
    <d v="2025-01-06T00:00:00"/>
    <s v="Monday"/>
    <s v="Morning"/>
    <x v="0"/>
    <n v="8"/>
    <n v="5"/>
    <x v="1"/>
    <x v="0"/>
    <s v="SMS"/>
    <n v="8.9"/>
    <x v="32"/>
    <x v="1"/>
  </r>
  <r>
    <s v="HC-01764"/>
    <s v="P-1783"/>
    <s v="Female"/>
    <n v="32"/>
    <x v="1"/>
    <s v="Specialist Consultation"/>
    <d v="2025-10-04T00:00:00"/>
    <d v="2025-11-25T00:00:00"/>
    <s v="Tuesday"/>
    <s v="Morning"/>
    <x v="2"/>
    <n v="52"/>
    <n v="2"/>
    <x v="1"/>
    <x v="1"/>
    <s v="None"/>
    <n v="6.3"/>
    <x v="45"/>
    <x v="0"/>
  </r>
  <r>
    <s v="HC-01765"/>
    <s v="P-0238"/>
    <s v="Female"/>
    <n v="49"/>
    <x v="2"/>
    <s v="General Consultation"/>
    <d v="2025-10-13T00:00:00"/>
    <d v="2025-11-11T00:00:00"/>
    <s v="Tuesday"/>
    <s v="Afternoon"/>
    <x v="3"/>
    <n v="29"/>
    <n v="7"/>
    <x v="2"/>
    <x v="0"/>
    <s v="SMS"/>
    <n v="7.6"/>
    <x v="5"/>
    <x v="1"/>
  </r>
  <r>
    <s v="HC-01766"/>
    <s v="P-0074"/>
    <s v="Male"/>
    <n v="67"/>
    <x v="4"/>
    <s v="Specialist Consultation"/>
    <d v="2026-03-31T00:00:00"/>
    <d v="2026-05-26T00:00:00"/>
    <s v="Tuesday"/>
    <s v="Afternoon"/>
    <x v="2"/>
    <n v="56"/>
    <n v="5"/>
    <x v="0"/>
    <x v="0"/>
    <s v="Email"/>
    <n v="8.1999999999999993"/>
    <x v="15"/>
    <x v="0"/>
  </r>
  <r>
    <s v="HC-01767"/>
    <s v="P-0646"/>
    <s v="Male"/>
    <n v="62"/>
    <x v="3"/>
    <s v="Follow-up"/>
    <d v="2025-08-24T00:00:00"/>
    <d v="2025-10-03T00:00:00"/>
    <s v="Friday"/>
    <s v="Afternoon"/>
    <x v="2"/>
    <n v="40"/>
    <n v="5"/>
    <x v="2"/>
    <x v="0"/>
    <s v="SMS"/>
    <n v="7"/>
    <x v="12"/>
    <x v="1"/>
  </r>
  <r>
    <s v="HC-01768"/>
    <s v="P-0643"/>
    <s v="Female"/>
    <n v="78"/>
    <x v="4"/>
    <s v="Specialist Consultation"/>
    <d v="2025-08-11T00:00:00"/>
    <d v="2025-09-13T00:00:00"/>
    <s v="Saturday"/>
    <s v="Afternoon"/>
    <x v="2"/>
    <n v="33"/>
    <n v="3"/>
    <x v="0"/>
    <x v="0"/>
    <s v="SMS"/>
    <n v="6.3"/>
    <x v="13"/>
    <x v="1"/>
  </r>
  <r>
    <s v="HC-01769"/>
    <s v="P-1638"/>
    <s v="Male"/>
    <n v="40"/>
    <x v="0"/>
    <s v="Diagnostic Test"/>
    <d v="2025-01-06T00:00:00"/>
    <d v="2025-02-06T00:00:00"/>
    <s v="Thursday"/>
    <s v="Afternoon"/>
    <x v="2"/>
    <n v="31"/>
    <n v="5"/>
    <x v="0"/>
    <x v="0"/>
    <s v="SMS"/>
    <n v="4.5999999999999996"/>
    <x v="35"/>
    <x v="1"/>
  </r>
  <r>
    <s v="HC-01770"/>
    <s v="P-0555"/>
    <s v="Female"/>
    <n v="49"/>
    <x v="2"/>
    <s v="Specialist Consultation"/>
    <d v="2025-04-06T00:00:00"/>
    <d v="2025-04-18T00:00:00"/>
    <s v="Friday"/>
    <s v="Afternoon"/>
    <x v="0"/>
    <n v="12"/>
    <n v="5"/>
    <x v="1"/>
    <x v="0"/>
    <s v="SMS"/>
    <n v="7.2"/>
    <x v="0"/>
    <x v="0"/>
  </r>
  <r>
    <s v="HC-01771"/>
    <s v="P-1109"/>
    <s v="Female"/>
    <n v="41"/>
    <x v="0"/>
    <s v="General Consultation"/>
    <d v="2025-05-31T00:00:00"/>
    <d v="2025-07-04T00:00:00"/>
    <s v="Friday"/>
    <s v="Evening"/>
    <x v="2"/>
    <n v="34"/>
    <n v="1"/>
    <x v="0"/>
    <x v="0"/>
    <s v="SMS"/>
    <n v="6.1"/>
    <x v="10"/>
    <x v="1"/>
  </r>
  <r>
    <s v="HC-01772"/>
    <s v="P-0076"/>
    <s v="Female"/>
    <n v="20"/>
    <x v="5"/>
    <s v="Specialist Consultation"/>
    <d v="2025-06-14T00:00:00"/>
    <d v="2025-07-25T00:00:00"/>
    <s v="Friday"/>
    <s v="Afternoon"/>
    <x v="2"/>
    <n v="41"/>
    <n v="3"/>
    <x v="1"/>
    <x v="1"/>
    <s v="None"/>
    <n v="13"/>
    <x v="2"/>
    <x v="1"/>
  </r>
  <r>
    <s v="HC-01773"/>
    <s v="P-1065"/>
    <s v="Male"/>
    <n v="42"/>
    <x v="0"/>
    <s v="Diagnostic Test"/>
    <d v="2025-05-21T00:00:00"/>
    <d v="2025-07-18T00:00:00"/>
    <s v="Friday"/>
    <s v="Evening"/>
    <x v="2"/>
    <n v="58"/>
    <n v="0"/>
    <x v="0"/>
    <x v="0"/>
    <s v="WhatsApp"/>
    <n v="11.4"/>
    <x v="21"/>
    <x v="0"/>
  </r>
  <r>
    <s v="HC-01774"/>
    <s v="P-1426"/>
    <s v="Female"/>
    <n v="34"/>
    <x v="1"/>
    <s v="Follow-up"/>
    <d v="2025-07-02T00:00:00"/>
    <d v="2025-08-04T00:00:00"/>
    <s v="Monday"/>
    <s v="Evening"/>
    <x v="2"/>
    <n v="33"/>
    <n v="2"/>
    <x v="0"/>
    <x v="0"/>
    <s v="SMS"/>
    <n v="3.9"/>
    <x v="31"/>
    <x v="0"/>
  </r>
  <r>
    <s v="HC-01775"/>
    <s v="P-1302"/>
    <s v="Female"/>
    <n v="48"/>
    <x v="2"/>
    <s v="Follow-up"/>
    <d v="2025-12-29T00:00:00"/>
    <d v="2026-02-24T00:00:00"/>
    <s v="Tuesday"/>
    <s v="Morning"/>
    <x v="2"/>
    <n v="57"/>
    <n v="2"/>
    <x v="0"/>
    <x v="1"/>
    <s v="None"/>
    <n v="19.3"/>
    <x v="9"/>
    <x v="1"/>
  </r>
  <r>
    <s v="HC-01776"/>
    <s v="P-0767"/>
    <s v="Female"/>
    <n v="27"/>
    <x v="1"/>
    <s v="General Consultation"/>
    <d v="2025-01-15T00:00:00"/>
    <d v="2025-03-13T00:00:00"/>
    <s v="Thursday"/>
    <s v="Afternoon"/>
    <x v="2"/>
    <n v="57"/>
    <n v="3"/>
    <x v="0"/>
    <x v="0"/>
    <s v="SMS"/>
    <n v="6.2"/>
    <x v="14"/>
    <x v="1"/>
  </r>
  <r>
    <s v="HC-01777"/>
    <s v="P-0978"/>
    <s v="Female"/>
    <n v="64"/>
    <x v="3"/>
    <s v="Specialist Consultation"/>
    <d v="2025-05-31T00:00:00"/>
    <d v="2025-07-01T00:00:00"/>
    <s v="Tuesday"/>
    <s v="Afternoon"/>
    <x v="2"/>
    <n v="31"/>
    <n v="2"/>
    <x v="0"/>
    <x v="1"/>
    <s v="None"/>
    <n v="3.1"/>
    <x v="45"/>
    <x v="0"/>
  </r>
  <r>
    <s v="HC-01778"/>
    <s v="P-1106"/>
    <s v="Female"/>
    <n v="71"/>
    <x v="4"/>
    <s v="General Consultation"/>
    <d v="2025-03-04T00:00:00"/>
    <d v="2025-03-30T00:00:00"/>
    <s v="Sunday"/>
    <s v="Morning"/>
    <x v="3"/>
    <n v="26"/>
    <n v="0"/>
    <x v="0"/>
    <x v="1"/>
    <s v="None"/>
    <n v="5.7"/>
    <x v="47"/>
    <x v="0"/>
  </r>
  <r>
    <s v="HC-01779"/>
    <s v="P-0779"/>
    <s v="Male"/>
    <n v="78"/>
    <x v="4"/>
    <s v="General Consultation"/>
    <d v="2025-06-10T00:00:00"/>
    <d v="2025-06-18T00:00:00"/>
    <s v="Wednesday"/>
    <s v="Afternoon"/>
    <x v="0"/>
    <n v="8"/>
    <n v="3"/>
    <x v="1"/>
    <x v="0"/>
    <s v="Email"/>
    <n v="2.8"/>
    <x v="26"/>
    <x v="1"/>
  </r>
  <r>
    <s v="HC-01780"/>
    <s v="P-0815"/>
    <s v="Male"/>
    <n v="23"/>
    <x v="5"/>
    <s v="Diagnostic Test"/>
    <d v="2025-12-24T00:00:00"/>
    <d v="2026-01-09T00:00:00"/>
    <s v="Friday"/>
    <s v="Morning"/>
    <x v="3"/>
    <n v="16"/>
    <n v="2"/>
    <x v="2"/>
    <x v="1"/>
    <s v="None"/>
    <n v="3.1"/>
    <x v="11"/>
    <x v="1"/>
  </r>
  <r>
    <s v="HC-01781"/>
    <s v="P-1685"/>
    <s v="Female"/>
    <n v="25"/>
    <x v="1"/>
    <s v="Diagnostic Test"/>
    <d v="2024-12-04T00:00:00"/>
    <d v="2025-01-26T00:00:00"/>
    <s v="Sunday"/>
    <s v="Afternoon"/>
    <x v="2"/>
    <n v="53"/>
    <n v="4"/>
    <x v="1"/>
    <x v="0"/>
    <s v="Email"/>
    <n v="32.5"/>
    <x v="19"/>
    <x v="0"/>
  </r>
  <r>
    <s v="HC-01782"/>
    <s v="P-0660"/>
    <s v="Female"/>
    <n v="78"/>
    <x v="4"/>
    <s v="Diagnostic Test"/>
    <d v="2025-06-27T00:00:00"/>
    <d v="2025-07-05T00:00:00"/>
    <s v="Saturday"/>
    <s v="Morning"/>
    <x v="0"/>
    <n v="8"/>
    <n v="3"/>
    <x v="0"/>
    <x v="1"/>
    <s v="None"/>
    <n v="12.6"/>
    <x v="6"/>
    <x v="0"/>
  </r>
  <r>
    <s v="HC-01783"/>
    <s v="P-1657"/>
    <s v="Male"/>
    <n v="71"/>
    <x v="4"/>
    <s v="Follow-up"/>
    <d v="2024-12-20T00:00:00"/>
    <d v="2025-01-13T00:00:00"/>
    <s v="Monday"/>
    <s v="Afternoon"/>
    <x v="3"/>
    <n v="24"/>
    <n v="2"/>
    <x v="0"/>
    <x v="0"/>
    <s v="SMS"/>
    <n v="3.7"/>
    <x v="15"/>
    <x v="0"/>
  </r>
  <r>
    <s v="HC-01784"/>
    <s v="P-0248"/>
    <s v="Female"/>
    <n v="55"/>
    <x v="3"/>
    <s v="General Consultation"/>
    <d v="2026-04-25T00:00:00"/>
    <d v="2026-06-06T00:00:00"/>
    <s v="Saturday"/>
    <s v="Afternoon"/>
    <x v="2"/>
    <n v="42"/>
    <n v="5"/>
    <x v="2"/>
    <x v="0"/>
    <s v="WhatsApp"/>
    <n v="2.2999999999999998"/>
    <x v="16"/>
    <x v="1"/>
  </r>
  <r>
    <s v="HC-01785"/>
    <s v="P-0859"/>
    <s v="Female"/>
    <n v="38"/>
    <x v="0"/>
    <s v="Follow-up"/>
    <d v="2026-01-19T00:00:00"/>
    <d v="2026-02-02T00:00:00"/>
    <s v="Monday"/>
    <s v="Afternoon"/>
    <x v="0"/>
    <n v="14"/>
    <n v="3"/>
    <x v="0"/>
    <x v="0"/>
    <s v="SMS"/>
    <m/>
    <x v="26"/>
    <x v="1"/>
  </r>
  <r>
    <s v="HC-01786"/>
    <s v="P-1604"/>
    <s v="Male"/>
    <n v="50"/>
    <x v="2"/>
    <s v="General Consultation"/>
    <d v="2025-03-16T00:00:00"/>
    <d v="2025-05-14T00:00:00"/>
    <s v="Wednesday"/>
    <s v="Morning"/>
    <x v="2"/>
    <n v="59"/>
    <n v="6"/>
    <x v="0"/>
    <x v="0"/>
    <s v="SMS"/>
    <n v="2"/>
    <x v="4"/>
    <x v="0"/>
  </r>
  <r>
    <s v="HC-01787"/>
    <s v="P-0393"/>
    <s v="Male"/>
    <n v="51"/>
    <x v="2"/>
    <s v="Specialist Consultation"/>
    <d v="2025-03-11T00:00:00"/>
    <d v="2025-04-19T00:00:00"/>
    <s v="Saturday"/>
    <s v="Afternoon"/>
    <x v="2"/>
    <n v="39"/>
    <n v="2"/>
    <x v="0"/>
    <x v="0"/>
    <s v="SMS"/>
    <n v="7.3"/>
    <x v="32"/>
    <x v="0"/>
  </r>
  <r>
    <s v="HC-01788"/>
    <s v="P-0215"/>
    <s v="Female"/>
    <n v="71"/>
    <x v="4"/>
    <s v="Follow-up"/>
    <d v="2025-02-23T00:00:00"/>
    <d v="2025-02-24T00:00:00"/>
    <s v="Monday"/>
    <s v="Morning"/>
    <x v="1"/>
    <n v="1"/>
    <n v="1"/>
    <x v="0"/>
    <x v="0"/>
    <s v="SMS"/>
    <n v="10.1"/>
    <x v="19"/>
    <x v="1"/>
  </r>
  <r>
    <s v="HC-01789"/>
    <s v="P-1153"/>
    <s v="Female"/>
    <n v="51"/>
    <x v="2"/>
    <s v="General Consultation"/>
    <d v="2025-09-01T00:00:00"/>
    <d v="2025-09-16T00:00:00"/>
    <s v="Tuesday"/>
    <s v="Morning"/>
    <x v="3"/>
    <n v="15"/>
    <n v="7"/>
    <x v="3"/>
    <x v="0"/>
    <s v="SMS"/>
    <n v="10.6"/>
    <x v="10"/>
    <x v="1"/>
  </r>
  <r>
    <s v="HC-01790"/>
    <s v="P-1042"/>
    <s v="Female"/>
    <n v="19"/>
    <x v="5"/>
    <s v="General Consultation"/>
    <d v="2026-01-02T00:00:00"/>
    <d v="2026-02-16T00:00:00"/>
    <s v="Monday"/>
    <s v="Morning"/>
    <x v="2"/>
    <n v="45"/>
    <n v="7"/>
    <x v="1"/>
    <x v="0"/>
    <s v="SMS"/>
    <n v="3.6"/>
    <x v="0"/>
    <x v="1"/>
  </r>
  <r>
    <s v="HC-01791"/>
    <s v="P-0848"/>
    <s v="Female"/>
    <n v="62"/>
    <x v="3"/>
    <s v="General Consultation"/>
    <d v="2025-09-24T00:00:00"/>
    <d v="2025-11-15T00:00:00"/>
    <s v="Saturday"/>
    <s v="Evening"/>
    <x v="2"/>
    <n v="52"/>
    <n v="2"/>
    <x v="0"/>
    <x v="0"/>
    <s v="SMS"/>
    <n v="9.1999999999999993"/>
    <x v="42"/>
    <x v="1"/>
  </r>
  <r>
    <s v="HC-01792"/>
    <s v="P-1758"/>
    <s v="Male"/>
    <n v="66"/>
    <x v="4"/>
    <s v="Specialist Consultation"/>
    <d v="2026-03-02T00:00:00"/>
    <d v="2026-04-27T00:00:00"/>
    <s v="Monday"/>
    <s v="Morning"/>
    <x v="2"/>
    <n v="56"/>
    <n v="2"/>
    <x v="0"/>
    <x v="0"/>
    <s v="Email"/>
    <n v="14.8"/>
    <x v="22"/>
    <x v="1"/>
  </r>
  <r>
    <s v="HC-01793"/>
    <s v="P-0693"/>
    <s v="Male"/>
    <n v="36"/>
    <x v="0"/>
    <s v="Specialist Consultation"/>
    <d v="2025-05-17T00:00:00"/>
    <d v="2025-07-07T00:00:00"/>
    <s v="Monday"/>
    <s v="Afternoon"/>
    <x v="2"/>
    <n v="51"/>
    <n v="1"/>
    <x v="1"/>
    <x v="0"/>
    <s v="SMS"/>
    <n v="6.4"/>
    <x v="27"/>
    <x v="1"/>
  </r>
  <r>
    <s v="HC-01794"/>
    <s v="P-0516"/>
    <s v="Female"/>
    <n v="25"/>
    <x v="1"/>
    <s v="General Consultation"/>
    <d v="2025-05-28T00:00:00"/>
    <d v="2025-06-01T00:00:00"/>
    <s v="Sunday"/>
    <s v="Evening"/>
    <x v="1"/>
    <n v="4"/>
    <n v="3"/>
    <x v="0"/>
    <x v="0"/>
    <s v="SMS"/>
    <n v="3.5"/>
    <x v="0"/>
    <x v="0"/>
  </r>
  <r>
    <s v="HC-01795"/>
    <s v="P-0694"/>
    <s v="Female"/>
    <n v="26"/>
    <x v="1"/>
    <s v="General Consultation"/>
    <d v="2025-08-06T00:00:00"/>
    <d v="2025-09-19T00:00:00"/>
    <s v="Friday"/>
    <s v="Morning"/>
    <x v="2"/>
    <n v="44"/>
    <n v="1"/>
    <x v="0"/>
    <x v="0"/>
    <s v="Email"/>
    <n v="6.2"/>
    <x v="45"/>
    <x v="1"/>
  </r>
  <r>
    <s v="HC-01796"/>
    <s v="P-0860"/>
    <s v="Female"/>
    <n v="70"/>
    <x v="4"/>
    <s v="General Consultation"/>
    <d v="2025-04-15T00:00:00"/>
    <d v="2025-04-21T00:00:00"/>
    <s v="Monday"/>
    <s v="Evening"/>
    <x v="1"/>
    <n v="6"/>
    <n v="0"/>
    <x v="0"/>
    <x v="0"/>
    <s v="Email"/>
    <n v="4"/>
    <x v="51"/>
    <x v="1"/>
  </r>
  <r>
    <s v="HC-01797"/>
    <s v="P-1210"/>
    <s v="Female"/>
    <n v="46"/>
    <x v="2"/>
    <s v="General Consultation"/>
    <d v="2026-06-13T00:00:00"/>
    <d v="2026-06-17T00:00:00"/>
    <s v="Wednesday"/>
    <s v="Morning"/>
    <x v="1"/>
    <n v="4"/>
    <n v="0"/>
    <x v="0"/>
    <x v="0"/>
    <s v="Email"/>
    <n v="38.200000000000003"/>
    <x v="19"/>
    <x v="0"/>
  </r>
  <r>
    <s v="HC-01798"/>
    <s v="P-1343"/>
    <s v="Male"/>
    <n v="51"/>
    <x v="2"/>
    <s v="Diagnostic Test"/>
    <d v="2025-03-01T00:00:00"/>
    <d v="2025-04-12T00:00:00"/>
    <s v="Saturday"/>
    <s v="Morning"/>
    <x v="2"/>
    <n v="42"/>
    <n v="1"/>
    <x v="0"/>
    <x v="1"/>
    <s v="None"/>
    <n v="13.3"/>
    <x v="12"/>
    <x v="0"/>
  </r>
  <r>
    <s v="HC-01799"/>
    <s v="P-0712"/>
    <s v="Female"/>
    <n v="78"/>
    <x v="4"/>
    <s v="Follow-up"/>
    <d v="2025-08-21T00:00:00"/>
    <d v="2025-09-19T00:00:00"/>
    <s v="Friday"/>
    <s v="Morning"/>
    <x v="3"/>
    <n v="29"/>
    <n v="4"/>
    <x v="0"/>
    <x v="0"/>
    <s v="WhatsApp"/>
    <n v="11.6"/>
    <x v="13"/>
    <x v="0"/>
  </r>
  <r>
    <s v="HC-01800"/>
    <s v="P-0463"/>
    <s v="Male"/>
    <n v="21"/>
    <x v="5"/>
    <s v="General Consultation"/>
    <d v="2025-09-04T00:00:00"/>
    <d v="2025-10-13T00:00:00"/>
    <s v="Monday"/>
    <s v="Afternoon"/>
    <x v="2"/>
    <n v="39"/>
    <n v="5"/>
    <x v="2"/>
    <x v="0"/>
    <s v="SMS"/>
    <n v="2.2999999999999998"/>
    <x v="18"/>
    <x v="1"/>
  </r>
  <r>
    <s v="HC-01801"/>
    <s v="P-1114"/>
    <s v="Male"/>
    <n v="30"/>
    <x v="1"/>
    <s v="Specialist Consultation"/>
    <d v="2024-12-12T00:00:00"/>
    <d v="2025-02-01T00:00:00"/>
    <s v="Saturday"/>
    <s v="Evening"/>
    <x v="2"/>
    <n v="51"/>
    <n v="7"/>
    <x v="3"/>
    <x v="0"/>
    <s v="WhatsApp"/>
    <n v="2.9"/>
    <x v="5"/>
    <x v="0"/>
  </r>
  <r>
    <s v="HC-01802"/>
    <s v="P-0406"/>
    <s v="Male"/>
    <n v="70"/>
    <x v="4"/>
    <s v="General Consultation"/>
    <d v="2025-09-09T00:00:00"/>
    <d v="2025-09-13T00:00:00"/>
    <s v="Saturday"/>
    <s v="Afternoon"/>
    <x v="1"/>
    <n v="4"/>
    <n v="2"/>
    <x v="0"/>
    <x v="0"/>
    <s v="SMS"/>
    <n v="6.6"/>
    <x v="1"/>
    <x v="1"/>
  </r>
  <r>
    <s v="HC-01803"/>
    <s v="P-0268"/>
    <s v="Male"/>
    <n v="52"/>
    <x v="2"/>
    <s v="General Consultation"/>
    <d v="2025-08-05T00:00:00"/>
    <d v="2025-09-06T00:00:00"/>
    <s v="Saturday"/>
    <s v="Afternoon"/>
    <x v="2"/>
    <n v="32"/>
    <n v="3"/>
    <x v="0"/>
    <x v="0"/>
    <s v="WhatsApp"/>
    <n v="5.9"/>
    <x v="3"/>
    <x v="1"/>
  </r>
  <r>
    <s v="HC-01804"/>
    <s v="P-0200"/>
    <s v="Male"/>
    <n v="19"/>
    <x v="5"/>
    <s v="Follow-up"/>
    <d v="2025-04-02T00:00:00"/>
    <d v="2025-05-22T00:00:00"/>
    <s v="Thursday"/>
    <s v="Morning"/>
    <x v="2"/>
    <n v="50"/>
    <n v="3"/>
    <x v="0"/>
    <x v="0"/>
    <s v="SMS"/>
    <n v="5.0999999999999996"/>
    <x v="25"/>
    <x v="0"/>
  </r>
  <r>
    <s v="HC-01805"/>
    <s v="P-0459"/>
    <s v="Prefer not to say"/>
    <n v="62"/>
    <x v="3"/>
    <s v="General Consultation"/>
    <d v="2025-02-13T00:00:00"/>
    <d v="2025-03-11T00:00:00"/>
    <s v="Tuesday"/>
    <s v="Evening"/>
    <x v="3"/>
    <n v="26"/>
    <n v="4"/>
    <x v="1"/>
    <x v="1"/>
    <s v="None"/>
    <n v="16"/>
    <x v="26"/>
    <x v="0"/>
  </r>
  <r>
    <s v="HC-01806"/>
    <s v="P-0041"/>
    <s v="Female"/>
    <n v="26"/>
    <x v="1"/>
    <s v="Follow-up"/>
    <d v="2024-12-25T00:00:00"/>
    <d v="2025-01-25T00:00:00"/>
    <s v="Saturday"/>
    <s v="Afternoon"/>
    <x v="2"/>
    <n v="31"/>
    <n v="2"/>
    <x v="0"/>
    <x v="0"/>
    <s v="WhatsApp"/>
    <n v="28.2"/>
    <x v="13"/>
    <x v="0"/>
  </r>
  <r>
    <s v="HC-01807"/>
    <s v="P-1198"/>
    <s v="Female"/>
    <n v="67"/>
    <x v="4"/>
    <s v="Specialist Consultation"/>
    <d v="2024-12-06T00:00:00"/>
    <d v="2025-01-05T00:00:00"/>
    <s v="Sunday"/>
    <s v="Morning"/>
    <x v="3"/>
    <n v="30"/>
    <n v="2"/>
    <x v="0"/>
    <x v="1"/>
    <s v="None"/>
    <n v="5.0999999999999996"/>
    <x v="27"/>
    <x v="0"/>
  </r>
  <r>
    <s v="HC-01808"/>
    <s v="P-0509"/>
    <s v="Female"/>
    <n v="68"/>
    <x v="4"/>
    <s v="Diagnostic Test"/>
    <d v="2025-07-27T00:00:00"/>
    <d v="2025-09-20T00:00:00"/>
    <s v="Saturday"/>
    <s v="Evening"/>
    <x v="2"/>
    <n v="55"/>
    <n v="4"/>
    <x v="1"/>
    <x v="0"/>
    <s v="SMS"/>
    <n v="1.5"/>
    <x v="12"/>
    <x v="1"/>
  </r>
  <r>
    <s v="HC-01809"/>
    <s v="P-0138"/>
    <s v="Male"/>
    <n v="69"/>
    <x v="4"/>
    <s v="General Consultation"/>
    <d v="2025-02-16T00:00:00"/>
    <d v="2025-02-19T00:00:00"/>
    <s v="Wednesday"/>
    <s v="Morning"/>
    <x v="1"/>
    <n v="3"/>
    <n v="4"/>
    <x v="0"/>
    <x v="1"/>
    <s v="None"/>
    <n v="5.3"/>
    <x v="48"/>
    <x v="1"/>
  </r>
  <r>
    <s v="HC-01810"/>
    <s v="P-1223"/>
    <s v="Male"/>
    <n v="47"/>
    <x v="2"/>
    <s v="Follow-up"/>
    <d v="2026-04-16T00:00:00"/>
    <d v="2026-06-08T00:00:00"/>
    <s v="Monday"/>
    <s v="Morning"/>
    <x v="2"/>
    <n v="53"/>
    <n v="4"/>
    <x v="2"/>
    <x v="1"/>
    <s v="None"/>
    <n v="15.5"/>
    <x v="11"/>
    <x v="0"/>
  </r>
  <r>
    <s v="HC-01811"/>
    <s v="P-1601"/>
    <s v="Female"/>
    <n v="34"/>
    <x v="1"/>
    <s v="General Consultation"/>
    <d v="2025-03-26T00:00:00"/>
    <d v="2025-05-14T00:00:00"/>
    <s v="Wednesday"/>
    <s v="Morning"/>
    <x v="2"/>
    <n v="49"/>
    <n v="3"/>
    <x v="0"/>
    <x v="0"/>
    <s v="SMS"/>
    <n v="13.3"/>
    <x v="45"/>
    <x v="0"/>
  </r>
  <r>
    <s v="HC-01812"/>
    <s v="P-0136"/>
    <s v="Male"/>
    <n v="73"/>
    <x v="4"/>
    <s v="Follow-up"/>
    <d v="2025-11-04T00:00:00"/>
    <d v="2025-12-23T00:00:00"/>
    <s v="Tuesday"/>
    <s v="Morning"/>
    <x v="2"/>
    <n v="49"/>
    <n v="3"/>
    <x v="0"/>
    <x v="0"/>
    <s v="SMS"/>
    <n v="8.1999999999999993"/>
    <x v="25"/>
    <x v="0"/>
  </r>
  <r>
    <s v="HC-01813"/>
    <s v="P-0402"/>
    <s v="Male"/>
    <n v="53"/>
    <x v="2"/>
    <s v="General Consultation"/>
    <d v="2025-12-09T00:00:00"/>
    <d v="2026-01-03T00:00:00"/>
    <s v="Saturday"/>
    <s v="Afternoon"/>
    <x v="3"/>
    <n v="25"/>
    <n v="2"/>
    <x v="1"/>
    <x v="1"/>
    <s v="None"/>
    <n v="11.5"/>
    <x v="13"/>
    <x v="1"/>
  </r>
  <r>
    <s v="HC-01814"/>
    <s v="P-1383"/>
    <s v="Male"/>
    <n v="58"/>
    <x v="3"/>
    <s v="Follow-up"/>
    <d v="2025-08-28T00:00:00"/>
    <d v="2025-09-28T00:00:00"/>
    <s v="Sunday"/>
    <s v="Afternoon"/>
    <x v="2"/>
    <n v="31"/>
    <n v="4"/>
    <x v="0"/>
    <x v="0"/>
    <s v="SMS"/>
    <n v="6.3"/>
    <x v="31"/>
    <x v="0"/>
  </r>
  <r>
    <s v="HC-01815"/>
    <s v="P-1436"/>
    <s v="Female"/>
    <n v="26"/>
    <x v="1"/>
    <s v="General Consultation"/>
    <d v="2026-04-06T00:00:00"/>
    <d v="2026-04-28T00:00:00"/>
    <s v="Tuesday"/>
    <s v="Evening"/>
    <x v="3"/>
    <n v="22"/>
    <n v="2"/>
    <x v="0"/>
    <x v="0"/>
    <s v="SMS"/>
    <n v="5"/>
    <x v="16"/>
    <x v="0"/>
  </r>
  <r>
    <s v="HC-01816"/>
    <s v="P-0770"/>
    <s v="Female"/>
    <n v="57"/>
    <x v="3"/>
    <s v="Diagnostic Test"/>
    <d v="2025-02-15T00:00:00"/>
    <d v="2025-03-02T00:00:00"/>
    <s v="Sunday"/>
    <s v="Morning"/>
    <x v="3"/>
    <n v="15"/>
    <n v="2"/>
    <x v="0"/>
    <x v="0"/>
    <s v="SMS"/>
    <n v="4.3"/>
    <x v="17"/>
    <x v="1"/>
  </r>
  <r>
    <s v="HC-01817"/>
    <s v="P-0863"/>
    <s v="Female"/>
    <n v="54"/>
    <x v="2"/>
    <s v="Diagnostic Test"/>
    <d v="2025-03-16T00:00:00"/>
    <d v="2025-05-08T00:00:00"/>
    <s v="Thursday"/>
    <s v="Afternoon"/>
    <x v="2"/>
    <n v="53"/>
    <n v="3"/>
    <x v="1"/>
    <x v="0"/>
    <s v="SMS"/>
    <n v="7.9"/>
    <x v="5"/>
    <x v="0"/>
  </r>
  <r>
    <s v="HC-01818"/>
    <s v="P-0998"/>
    <s v="Female"/>
    <n v="36"/>
    <x v="0"/>
    <s v="General Consultation"/>
    <d v="2025-04-18T00:00:00"/>
    <d v="2025-05-18T00:00:00"/>
    <s v="Sunday"/>
    <s v="Afternoon"/>
    <x v="3"/>
    <n v="30"/>
    <n v="0"/>
    <x v="0"/>
    <x v="1"/>
    <s v="None"/>
    <n v="5.4"/>
    <x v="23"/>
    <x v="1"/>
  </r>
  <r>
    <s v="HC-01819"/>
    <s v="P-0939"/>
    <s v="Male"/>
    <n v="66"/>
    <x v="4"/>
    <s v="Specialist Consultation"/>
    <d v="2025-01-30T00:00:00"/>
    <d v="2025-03-15T00:00:00"/>
    <s v="Saturday"/>
    <s v="Afternoon"/>
    <x v="2"/>
    <n v="44"/>
    <n v="3"/>
    <x v="2"/>
    <x v="0"/>
    <s v="SMS"/>
    <n v="3.7"/>
    <x v="11"/>
    <x v="0"/>
  </r>
  <r>
    <s v="HC-01820"/>
    <s v="P-0562"/>
    <s v="Female"/>
    <n v="26"/>
    <x v="1"/>
    <s v="General Consultation"/>
    <d v="2025-06-04T00:00:00"/>
    <d v="2025-06-10T00:00:00"/>
    <s v="Tuesday"/>
    <s v="Afternoon"/>
    <x v="1"/>
    <n v="6"/>
    <n v="5"/>
    <x v="3"/>
    <x v="1"/>
    <s v="None"/>
    <n v="8.9"/>
    <x v="18"/>
    <x v="0"/>
  </r>
  <r>
    <s v="HC-01821"/>
    <s v="P-1462"/>
    <s v="Female"/>
    <n v="63"/>
    <x v="3"/>
    <s v="Specialist Consultation"/>
    <d v="2025-05-03T00:00:00"/>
    <d v="2025-06-20T00:00:00"/>
    <s v="Friday"/>
    <s v="Afternoon"/>
    <x v="2"/>
    <n v="48"/>
    <n v="2"/>
    <x v="0"/>
    <x v="0"/>
    <s v="WhatsApp"/>
    <n v="5.9"/>
    <x v="6"/>
    <x v="1"/>
  </r>
  <r>
    <s v="HC-01822"/>
    <s v="P-1187"/>
    <s v="Female"/>
    <n v="78"/>
    <x v="4"/>
    <s v="General Consultation"/>
    <d v="2026-01-13T00:00:00"/>
    <d v="2026-02-22T00:00:00"/>
    <s v="Sunday"/>
    <s v="Afternoon"/>
    <x v="2"/>
    <n v="40"/>
    <n v="5"/>
    <x v="0"/>
    <x v="0"/>
    <s v="WhatsApp"/>
    <n v="15.9"/>
    <x v="3"/>
    <x v="0"/>
  </r>
  <r>
    <s v="HC-01823"/>
    <s v="P-0881"/>
    <s v="Male"/>
    <n v="53"/>
    <x v="2"/>
    <s v="General Consultation"/>
    <d v="2025-04-15T00:00:00"/>
    <d v="2025-06-14T00:00:00"/>
    <s v="Saturday"/>
    <s v="Afternoon"/>
    <x v="2"/>
    <n v="60"/>
    <n v="3"/>
    <x v="1"/>
    <x v="1"/>
    <s v="None"/>
    <n v="10"/>
    <x v="0"/>
    <x v="0"/>
  </r>
  <r>
    <s v="HC-01824"/>
    <s v="P-1361"/>
    <s v="Female"/>
    <n v="24"/>
    <x v="5"/>
    <s v="Follow-up"/>
    <d v="2026-04-16T00:00:00"/>
    <d v="2026-04-24T00:00:00"/>
    <s v="Friday"/>
    <s v="Morning"/>
    <x v="0"/>
    <n v="8"/>
    <n v="3"/>
    <x v="2"/>
    <x v="0"/>
    <s v="SMS"/>
    <n v="23.2"/>
    <x v="8"/>
    <x v="0"/>
  </r>
  <r>
    <s v="HC-01825"/>
    <s v="P-0449"/>
    <s v="Male"/>
    <n v="52"/>
    <x v="2"/>
    <s v="Follow-up"/>
    <d v="2026-01-25T00:00:00"/>
    <d v="2026-02-26T00:00:00"/>
    <s v="Thursday"/>
    <s v="Afternoon"/>
    <x v="2"/>
    <n v="32"/>
    <n v="3"/>
    <x v="0"/>
    <x v="1"/>
    <s v="None"/>
    <n v="10.7"/>
    <x v="24"/>
    <x v="1"/>
  </r>
  <r>
    <s v="HC-01826"/>
    <s v="P-0154"/>
    <s v="Female"/>
    <n v="51"/>
    <x v="2"/>
    <s v="Follow-up"/>
    <d v="2026-04-07T00:00:00"/>
    <d v="2026-05-08T00:00:00"/>
    <s v="Friday"/>
    <s v="Afternoon"/>
    <x v="2"/>
    <n v="31"/>
    <n v="3"/>
    <x v="0"/>
    <x v="0"/>
    <s v="SMS"/>
    <n v="7.4"/>
    <x v="47"/>
    <x v="0"/>
  </r>
  <r>
    <s v="HC-01827"/>
    <s v="P-0535"/>
    <s v="Male"/>
    <n v="52"/>
    <x v="2"/>
    <s v="Follow-up"/>
    <d v="2025-01-26T00:00:00"/>
    <d v="2025-02-27T00:00:00"/>
    <s v="Thursday"/>
    <s v="Morning"/>
    <x v="2"/>
    <n v="32"/>
    <n v="5"/>
    <x v="0"/>
    <x v="0"/>
    <s v="WhatsApp"/>
    <n v="14.3"/>
    <x v="20"/>
    <x v="0"/>
  </r>
  <r>
    <s v="HC-01828"/>
    <s v="P-1598"/>
    <s v="Female"/>
    <n v="35"/>
    <x v="0"/>
    <s v="General Consultation"/>
    <d v="2026-06-19T00:00:00"/>
    <d v="2026-06-22T00:00:00"/>
    <s v="Monday"/>
    <s v="Morning"/>
    <x v="1"/>
    <n v="3"/>
    <n v="4"/>
    <x v="2"/>
    <x v="1"/>
    <s v="None"/>
    <n v="21.6"/>
    <x v="47"/>
    <x v="0"/>
  </r>
  <r>
    <s v="HC-01829"/>
    <s v="P-1302"/>
    <s v="Female"/>
    <n v="57"/>
    <x v="3"/>
    <s v="General Consultation"/>
    <d v="2025-11-04T00:00:00"/>
    <d v="2025-12-02T00:00:00"/>
    <s v="Tuesday"/>
    <s v="Evening"/>
    <x v="3"/>
    <n v="28"/>
    <n v="4"/>
    <x v="0"/>
    <x v="0"/>
    <s v="WhatsApp"/>
    <n v="2"/>
    <x v="20"/>
    <x v="1"/>
  </r>
  <r>
    <s v="HC-01830"/>
    <s v="P-1059"/>
    <s v="Prefer not to say"/>
    <n v="34"/>
    <x v="1"/>
    <s v="Follow-up"/>
    <d v="2026-06-03T00:00:00"/>
    <d v="2026-06-21T00:00:00"/>
    <s v="Sunday"/>
    <s v="Morning"/>
    <x v="3"/>
    <n v="18"/>
    <n v="4"/>
    <x v="1"/>
    <x v="1"/>
    <s v="None"/>
    <n v="14.4"/>
    <x v="36"/>
    <x v="1"/>
  </r>
  <r>
    <s v="HC-01831"/>
    <s v="P-1020"/>
    <s v="Male"/>
    <n v="53"/>
    <x v="2"/>
    <s v="Follow-up"/>
    <d v="2025-06-06T00:00:00"/>
    <d v="2025-07-13T00:00:00"/>
    <s v="Sunday"/>
    <s v="Morning"/>
    <x v="2"/>
    <n v="37"/>
    <n v="3"/>
    <x v="0"/>
    <x v="1"/>
    <s v="None"/>
    <n v="7.9"/>
    <x v="14"/>
    <x v="0"/>
  </r>
  <r>
    <s v="HC-01832"/>
    <s v="P-1170"/>
    <s v="Male"/>
    <n v="55"/>
    <x v="3"/>
    <s v="General Consultation"/>
    <d v="2026-05-22T00:00:00"/>
    <d v="2026-06-05T00:00:00"/>
    <s v="Friday"/>
    <s v="Afternoon"/>
    <x v="0"/>
    <n v="14"/>
    <n v="3"/>
    <x v="1"/>
    <x v="0"/>
    <s v="SMS"/>
    <n v="10.8"/>
    <x v="29"/>
    <x v="1"/>
  </r>
  <r>
    <s v="HC-01833"/>
    <s v="P-1662"/>
    <s v="Male"/>
    <n v="58"/>
    <x v="3"/>
    <s v="General Consultation"/>
    <d v="2025-10-23T00:00:00"/>
    <d v="2025-11-18T00:00:00"/>
    <s v="Tuesday"/>
    <s v="Morning"/>
    <x v="3"/>
    <n v="26"/>
    <n v="3"/>
    <x v="0"/>
    <x v="1"/>
    <s v="None"/>
    <n v="22.6"/>
    <x v="3"/>
    <x v="1"/>
  </r>
  <r>
    <s v="HC-01834"/>
    <s v="P-0949"/>
    <s v="Female"/>
    <n v="68"/>
    <x v="4"/>
    <s v="Follow-up"/>
    <d v="2025-01-03T00:00:00"/>
    <d v="2025-02-09T00:00:00"/>
    <s v="Sunday"/>
    <s v="Morning"/>
    <x v="2"/>
    <n v="37"/>
    <n v="0"/>
    <x v="0"/>
    <x v="1"/>
    <s v="None"/>
    <n v="8.3000000000000007"/>
    <x v="0"/>
    <x v="1"/>
  </r>
  <r>
    <s v="HC-01835"/>
    <s v="P-0587"/>
    <s v="Male"/>
    <n v="73"/>
    <x v="4"/>
    <s v="Follow-up"/>
    <d v="2025-08-09T00:00:00"/>
    <d v="2025-08-12T00:00:00"/>
    <s v="Tuesday"/>
    <s v="Morning"/>
    <x v="1"/>
    <n v="3"/>
    <n v="1"/>
    <x v="0"/>
    <x v="1"/>
    <s v="None"/>
    <n v="3.5"/>
    <x v="36"/>
    <x v="1"/>
  </r>
  <r>
    <s v="HC-01836"/>
    <s v="P-0169"/>
    <s v="Female"/>
    <n v="66"/>
    <x v="4"/>
    <s v="Specialist Consultation"/>
    <d v="2025-01-29T00:00:00"/>
    <d v="2025-03-17T00:00:00"/>
    <s v="Monday"/>
    <s v="Morning"/>
    <x v="2"/>
    <n v="47"/>
    <n v="3"/>
    <x v="0"/>
    <x v="1"/>
    <s v="None"/>
    <n v="2.6"/>
    <x v="2"/>
    <x v="0"/>
  </r>
  <r>
    <s v="HC-01837"/>
    <s v="P-0177"/>
    <s v="Male"/>
    <n v="68"/>
    <x v="4"/>
    <s v="Follow-up"/>
    <d v="2026-04-16T00:00:00"/>
    <d v="2026-05-29T00:00:00"/>
    <s v="Friday"/>
    <s v="Morning"/>
    <x v="2"/>
    <n v="43"/>
    <n v="5"/>
    <x v="0"/>
    <x v="0"/>
    <s v="WhatsApp"/>
    <n v="22.2"/>
    <x v="7"/>
    <x v="0"/>
  </r>
  <r>
    <s v="HC-01838"/>
    <s v="P-0803"/>
    <s v="Male"/>
    <n v="72"/>
    <x v="4"/>
    <s v="Follow-up"/>
    <d v="2025-06-13T00:00:00"/>
    <d v="2025-06-16T00:00:00"/>
    <s v="Monday"/>
    <s v="Afternoon"/>
    <x v="1"/>
    <n v="3"/>
    <n v="6"/>
    <x v="2"/>
    <x v="1"/>
    <s v="None"/>
    <n v="10"/>
    <x v="17"/>
    <x v="0"/>
  </r>
  <r>
    <s v="HC-01839"/>
    <s v="P-1168"/>
    <s v="Male"/>
    <n v="33"/>
    <x v="1"/>
    <s v="Follow-up"/>
    <d v="2025-04-29T00:00:00"/>
    <d v="2025-05-02T00:00:00"/>
    <s v="Friday"/>
    <s v="Morning"/>
    <x v="1"/>
    <n v="3"/>
    <n v="6"/>
    <x v="2"/>
    <x v="0"/>
    <s v="WhatsApp"/>
    <n v="8.3000000000000007"/>
    <x v="20"/>
    <x v="0"/>
  </r>
  <r>
    <s v="HC-01840"/>
    <s v="P-0318"/>
    <s v="Male"/>
    <n v="36"/>
    <x v="0"/>
    <s v="General Consultation"/>
    <d v="2025-09-08T00:00:00"/>
    <d v="2025-10-29T00:00:00"/>
    <s v="Wednesday"/>
    <s v="Morning"/>
    <x v="2"/>
    <n v="51"/>
    <n v="4"/>
    <x v="0"/>
    <x v="0"/>
    <s v="SMS"/>
    <n v="20.6"/>
    <x v="26"/>
    <x v="1"/>
  </r>
  <r>
    <s v="HC-01841"/>
    <s v="P-0289"/>
    <s v="Male"/>
    <n v="51"/>
    <x v="2"/>
    <s v="General Consultation"/>
    <d v="2025-08-04T00:00:00"/>
    <d v="2025-08-21T00:00:00"/>
    <s v="Thursday"/>
    <s v="Afternoon"/>
    <x v="3"/>
    <n v="17"/>
    <n v="1"/>
    <x v="0"/>
    <x v="1"/>
    <s v="None"/>
    <n v="4.7"/>
    <x v="45"/>
    <x v="1"/>
  </r>
  <r>
    <s v="HC-01842"/>
    <s v="P-0920"/>
    <s v="Male"/>
    <n v="47"/>
    <x v="2"/>
    <s v="General Consultation"/>
    <d v="2025-01-01T00:00:00"/>
    <d v="2025-02-22T00:00:00"/>
    <s v="Saturday"/>
    <s v="Morning"/>
    <x v="2"/>
    <n v="52"/>
    <n v="1"/>
    <x v="0"/>
    <x v="0"/>
    <s v="Email"/>
    <n v="4.8"/>
    <x v="10"/>
    <x v="0"/>
  </r>
  <r>
    <s v="HC-01843"/>
    <s v="P-0263"/>
    <s v="Female"/>
    <n v="62"/>
    <x v="3"/>
    <s v="Specialist Consultation"/>
    <d v="2026-02-20T00:00:00"/>
    <d v="2026-03-22T00:00:00"/>
    <s v="Sunday"/>
    <s v="Morning"/>
    <x v="3"/>
    <n v="30"/>
    <n v="2"/>
    <x v="0"/>
    <x v="0"/>
    <s v="SMS"/>
    <n v="25"/>
    <x v="8"/>
    <x v="0"/>
  </r>
  <r>
    <s v="HC-01844"/>
    <s v="P-1623"/>
    <s v="Male"/>
    <n v="18"/>
    <x v="5"/>
    <s v="General Consultation"/>
    <d v="2026-03-18T00:00:00"/>
    <d v="2026-04-07T00:00:00"/>
    <s v="Tuesday"/>
    <s v="Morning"/>
    <x v="3"/>
    <n v="20"/>
    <n v="7"/>
    <x v="2"/>
    <x v="0"/>
    <s v="SMS"/>
    <n v="4.2"/>
    <x v="0"/>
    <x v="0"/>
  </r>
  <r>
    <s v="HC-01845"/>
    <s v="P-1553"/>
    <s v="Male"/>
    <n v="26"/>
    <x v="1"/>
    <s v="Follow-up"/>
    <d v="2026-01-25T00:00:00"/>
    <d v="2026-02-10T00:00:00"/>
    <s v="Tuesday"/>
    <s v="Morning"/>
    <x v="3"/>
    <n v="16"/>
    <n v="5"/>
    <x v="0"/>
    <x v="0"/>
    <s v="SMS"/>
    <n v="3"/>
    <x v="0"/>
    <x v="1"/>
  </r>
  <r>
    <s v="HC-01846"/>
    <s v="P-0849"/>
    <s v="Female"/>
    <n v="65"/>
    <x v="4"/>
    <s v="Follow-up"/>
    <d v="2025-10-24T00:00:00"/>
    <d v="2025-12-03T00:00:00"/>
    <s v="Wednesday"/>
    <s v="Morning"/>
    <x v="2"/>
    <n v="40"/>
    <n v="2"/>
    <x v="0"/>
    <x v="1"/>
    <s v="None"/>
    <n v="24.7"/>
    <x v="16"/>
    <x v="0"/>
  </r>
  <r>
    <s v="HC-01847"/>
    <s v="P-1392"/>
    <s v="Male"/>
    <n v="69"/>
    <x v="4"/>
    <s v="General Consultation"/>
    <d v="2025-08-02T00:00:00"/>
    <d v="2025-08-08T00:00:00"/>
    <s v="Friday"/>
    <s v="Morning"/>
    <x v="1"/>
    <n v="6"/>
    <n v="1"/>
    <x v="0"/>
    <x v="0"/>
    <s v="Email"/>
    <n v="14.1"/>
    <x v="2"/>
    <x v="0"/>
  </r>
  <r>
    <s v="HC-01848"/>
    <s v="P-0377"/>
    <s v="Female"/>
    <n v="37"/>
    <x v="0"/>
    <s v="Specialist Consultation"/>
    <d v="2025-09-30T00:00:00"/>
    <d v="2025-10-24T00:00:00"/>
    <s v="Friday"/>
    <s v="Evening"/>
    <x v="3"/>
    <n v="24"/>
    <n v="2"/>
    <x v="1"/>
    <x v="0"/>
    <s v="WhatsApp"/>
    <n v="7.8"/>
    <x v="36"/>
    <x v="1"/>
  </r>
  <r>
    <s v="HC-01849"/>
    <s v="P-0257"/>
    <s v="Male"/>
    <n v="37"/>
    <x v="0"/>
    <s v="Follow-up"/>
    <d v="2025-09-21T00:00:00"/>
    <d v="2025-10-12T00:00:00"/>
    <s v="Sunday"/>
    <s v="Evening"/>
    <x v="3"/>
    <n v="21"/>
    <n v="3"/>
    <x v="1"/>
    <x v="0"/>
    <s v="WhatsApp"/>
    <n v="32.4"/>
    <x v="9"/>
    <x v="0"/>
  </r>
  <r>
    <s v="HC-01850"/>
    <s v="P-0910"/>
    <s v="Male"/>
    <n v="53"/>
    <x v="2"/>
    <s v="General Consultation"/>
    <d v="2025-03-23T00:00:00"/>
    <d v="2025-04-01T00:00:00"/>
    <s v="Tuesday"/>
    <s v="Afternoon"/>
    <x v="0"/>
    <n v="9"/>
    <n v="2"/>
    <x v="0"/>
    <x v="0"/>
    <s v="SMS"/>
    <n v="5.7"/>
    <x v="15"/>
    <x v="0"/>
  </r>
  <r>
    <s v="HC-01851"/>
    <s v="P-1388"/>
    <s v="Female"/>
    <n v="48"/>
    <x v="2"/>
    <s v="Specialist Consultation"/>
    <d v="2025-01-24T00:00:00"/>
    <d v="2025-02-14T00:00:00"/>
    <s v="Friday"/>
    <s v="Morning"/>
    <x v="3"/>
    <n v="21"/>
    <n v="3"/>
    <x v="0"/>
    <x v="0"/>
    <s v="Email"/>
    <n v="12.2"/>
    <x v="14"/>
    <x v="1"/>
  </r>
  <r>
    <s v="HC-01852"/>
    <s v="P-0608"/>
    <s v="Female"/>
    <n v="28"/>
    <x v="1"/>
    <s v="Follow-up"/>
    <d v="2025-04-17T00:00:00"/>
    <d v="2025-05-19T00:00:00"/>
    <s v="Monday"/>
    <s v="Afternoon"/>
    <x v="2"/>
    <n v="32"/>
    <n v="1"/>
    <x v="0"/>
    <x v="0"/>
    <s v="SMS"/>
    <n v="11.3"/>
    <x v="0"/>
    <x v="1"/>
  </r>
  <r>
    <s v="HC-01853"/>
    <s v="P-0406"/>
    <s v="Male"/>
    <n v="49"/>
    <x v="2"/>
    <s v="General Consultation"/>
    <d v="2025-07-27T00:00:00"/>
    <d v="2025-09-06T00:00:00"/>
    <s v="Saturday"/>
    <s v="Afternoon"/>
    <x v="2"/>
    <n v="41"/>
    <n v="4"/>
    <x v="0"/>
    <x v="0"/>
    <s v="SMS"/>
    <n v="20.9"/>
    <x v="28"/>
    <x v="1"/>
  </r>
  <r>
    <s v="HC-01854"/>
    <s v="P-1672"/>
    <s v="Female"/>
    <n v="69"/>
    <x v="4"/>
    <s v="Specialist Consultation"/>
    <d v="2025-03-24T00:00:00"/>
    <d v="2025-03-29T00:00:00"/>
    <s v="Saturday"/>
    <s v="Morning"/>
    <x v="1"/>
    <n v="5"/>
    <n v="4"/>
    <x v="0"/>
    <x v="1"/>
    <s v="None"/>
    <n v="4.7"/>
    <x v="2"/>
    <x v="1"/>
  </r>
  <r>
    <s v="HC-01855"/>
    <s v="P-0795"/>
    <s v="Prefer not to say"/>
    <n v="63"/>
    <x v="3"/>
    <s v="Follow-up"/>
    <d v="2025-01-06T00:00:00"/>
    <d v="2025-02-28T00:00:00"/>
    <s v="Friday"/>
    <s v="Evening"/>
    <x v="2"/>
    <n v="53"/>
    <n v="3"/>
    <x v="2"/>
    <x v="0"/>
    <s v="WhatsApp"/>
    <n v="24.7"/>
    <x v="31"/>
    <x v="1"/>
  </r>
  <r>
    <s v="HC-01856"/>
    <s v="P-0768"/>
    <s v="Female"/>
    <n v="69"/>
    <x v="4"/>
    <s v="General Consultation"/>
    <d v="2026-02-17T00:00:00"/>
    <d v="2026-04-11T00:00:00"/>
    <s v="Saturday"/>
    <s v="Afternoon"/>
    <x v="2"/>
    <n v="53"/>
    <n v="4"/>
    <x v="0"/>
    <x v="1"/>
    <s v="None"/>
    <n v="30.3"/>
    <x v="6"/>
    <x v="1"/>
  </r>
  <r>
    <s v="HC-01857"/>
    <s v="P-0485"/>
    <s v="Female"/>
    <n v="58"/>
    <x v="3"/>
    <s v="Diagnostic Test"/>
    <d v="2025-06-12T00:00:00"/>
    <d v="2025-07-24T00:00:00"/>
    <s v="Thursday"/>
    <s v="Morning"/>
    <x v="2"/>
    <n v="42"/>
    <n v="2"/>
    <x v="1"/>
    <x v="0"/>
    <s v="SMS"/>
    <n v="18.600000000000001"/>
    <x v="1"/>
    <x v="1"/>
  </r>
  <r>
    <s v="HC-01858"/>
    <s v="P-1435"/>
    <s v="Female"/>
    <n v="73"/>
    <x v="4"/>
    <s v="Follow-up"/>
    <d v="2025-09-20T00:00:00"/>
    <d v="2025-11-15T00:00:00"/>
    <s v="Saturday"/>
    <s v="Evening"/>
    <x v="2"/>
    <n v="56"/>
    <n v="3"/>
    <x v="0"/>
    <x v="0"/>
    <s v="WhatsApp"/>
    <n v="5.0999999999999996"/>
    <x v="24"/>
    <x v="1"/>
  </r>
  <r>
    <s v="HC-01859"/>
    <s v="P-0392"/>
    <s v="Male"/>
    <n v="33"/>
    <x v="1"/>
    <s v="Follow-up"/>
    <d v="2025-09-18T00:00:00"/>
    <d v="2025-10-14T00:00:00"/>
    <s v="Tuesday"/>
    <s v="Morning"/>
    <x v="3"/>
    <n v="26"/>
    <n v="0"/>
    <x v="0"/>
    <x v="1"/>
    <s v="None"/>
    <n v="9.6999999999999993"/>
    <x v="14"/>
    <x v="0"/>
  </r>
  <r>
    <s v="HC-01860"/>
    <s v="P-0868"/>
    <s v="Male"/>
    <n v="20"/>
    <x v="5"/>
    <s v="General Consultation"/>
    <d v="2025-12-18T00:00:00"/>
    <d v="2026-02-06T00:00:00"/>
    <s v="Friday"/>
    <s v="Afternoon"/>
    <x v="2"/>
    <n v="50"/>
    <n v="2"/>
    <x v="0"/>
    <x v="0"/>
    <s v="WhatsApp"/>
    <n v="11.2"/>
    <x v="11"/>
    <x v="0"/>
  </r>
  <r>
    <s v="HC-01861"/>
    <s v="P-0153"/>
    <s v="Male"/>
    <n v="25"/>
    <x v="1"/>
    <s v="General Consultation"/>
    <d v="2025-12-26T00:00:00"/>
    <d v="2026-02-08T00:00:00"/>
    <s v="Sunday"/>
    <s v="Morning"/>
    <x v="2"/>
    <n v="44"/>
    <n v="0"/>
    <x v="0"/>
    <x v="0"/>
    <s v="SMS"/>
    <n v="11"/>
    <x v="13"/>
    <x v="0"/>
  </r>
  <r>
    <s v="HC-01862"/>
    <s v="P-0425"/>
    <s v="Male"/>
    <n v="80"/>
    <x v="4"/>
    <s v="Follow-up"/>
    <d v="2025-05-08T00:00:00"/>
    <d v="2025-06-11T00:00:00"/>
    <s v="Wednesday"/>
    <s v="Morning"/>
    <x v="2"/>
    <n v="34"/>
    <n v="5"/>
    <x v="0"/>
    <x v="0"/>
    <s v="SMS"/>
    <n v="2.5"/>
    <x v="21"/>
    <x v="0"/>
  </r>
  <r>
    <s v="HC-01863"/>
    <s v="P-1743"/>
    <s v="Male"/>
    <n v="58"/>
    <x v="3"/>
    <s v="Follow-up"/>
    <d v="2026-03-29T00:00:00"/>
    <d v="2026-04-08T00:00:00"/>
    <s v="Wednesday"/>
    <s v="Evening"/>
    <x v="0"/>
    <n v="10"/>
    <n v="2"/>
    <x v="1"/>
    <x v="0"/>
    <s v="WhatsApp"/>
    <n v="13.3"/>
    <x v="26"/>
    <x v="1"/>
  </r>
  <r>
    <s v="HC-01864"/>
    <s v="P-1194"/>
    <s v="Female"/>
    <n v="33"/>
    <x v="1"/>
    <s v="Follow-up"/>
    <d v="2025-06-18T00:00:00"/>
    <d v="2025-07-22T00:00:00"/>
    <s v="Tuesday"/>
    <s v="Afternoon"/>
    <x v="2"/>
    <n v="34"/>
    <n v="1"/>
    <x v="0"/>
    <x v="0"/>
    <s v="SMS"/>
    <n v="10.199999999999999"/>
    <x v="11"/>
    <x v="0"/>
  </r>
  <r>
    <s v="HC-01865"/>
    <s v="P-0438"/>
    <s v="Female"/>
    <n v="71"/>
    <x v="4"/>
    <s v="Specialist Consultation"/>
    <d v="2026-02-07T00:00:00"/>
    <d v="2026-04-02T00:00:00"/>
    <s v="Thursday"/>
    <s v="Morning"/>
    <x v="2"/>
    <n v="54"/>
    <n v="4"/>
    <x v="0"/>
    <x v="0"/>
    <s v="WhatsApp"/>
    <n v="7.6"/>
    <x v="7"/>
    <x v="1"/>
  </r>
  <r>
    <s v="HC-01866"/>
    <s v="P-0034"/>
    <s v="Male"/>
    <n v="37"/>
    <x v="0"/>
    <s v="General Consultation"/>
    <d v="2025-06-11T00:00:00"/>
    <d v="2025-08-10T00:00:00"/>
    <s v="Sunday"/>
    <s v="Afternoon"/>
    <x v="2"/>
    <n v="60"/>
    <n v="3"/>
    <x v="0"/>
    <x v="0"/>
    <s v="SMS"/>
    <n v="8.1"/>
    <x v="27"/>
    <x v="1"/>
  </r>
  <r>
    <s v="HC-01867"/>
    <s v="P-0595"/>
    <s v="Female"/>
    <n v="55"/>
    <x v="3"/>
    <s v="Specialist Consultation"/>
    <d v="2025-02-03T00:00:00"/>
    <d v="2025-03-02T00:00:00"/>
    <s v="Sunday"/>
    <s v="Evening"/>
    <x v="3"/>
    <n v="27"/>
    <n v="2"/>
    <x v="2"/>
    <x v="0"/>
    <s v="WhatsApp"/>
    <n v="33.1"/>
    <x v="19"/>
    <x v="0"/>
  </r>
  <r>
    <s v="HC-01868"/>
    <s v="P-1470"/>
    <s v="Male"/>
    <n v="33"/>
    <x v="1"/>
    <s v="Specialist Consultation"/>
    <d v="2026-02-04T00:00:00"/>
    <d v="2026-02-19T00:00:00"/>
    <s v="Thursday"/>
    <s v="Evening"/>
    <x v="3"/>
    <n v="15"/>
    <n v="2"/>
    <x v="0"/>
    <x v="0"/>
    <s v="WhatsApp"/>
    <n v="18.8"/>
    <x v="14"/>
    <x v="1"/>
  </r>
  <r>
    <s v="HC-01869"/>
    <s v="P-1178"/>
    <s v="Male"/>
    <n v="23"/>
    <x v="5"/>
    <s v="Specialist Consultation"/>
    <d v="2024-12-03T00:00:00"/>
    <d v="2025-01-17T00:00:00"/>
    <s v="Friday"/>
    <s v="Evening"/>
    <x v="2"/>
    <n v="45"/>
    <n v="0"/>
    <x v="0"/>
    <x v="1"/>
    <s v="None"/>
    <n v="2.2000000000000002"/>
    <x v="23"/>
    <x v="1"/>
  </r>
  <r>
    <s v="HC-01870"/>
    <s v="P-1606"/>
    <s v="Male"/>
    <n v="34"/>
    <x v="1"/>
    <s v="Specialist Consultation"/>
    <d v="2026-02-22T00:00:00"/>
    <d v="2026-02-26T00:00:00"/>
    <s v="Thursday"/>
    <s v="Evening"/>
    <x v="1"/>
    <n v="4"/>
    <n v="2"/>
    <x v="1"/>
    <x v="0"/>
    <s v="SMS"/>
    <n v="7.6"/>
    <x v="19"/>
    <x v="0"/>
  </r>
  <r>
    <s v="HC-01871"/>
    <s v="P-1306"/>
    <s v="Male"/>
    <n v="32"/>
    <x v="1"/>
    <s v="Diagnostic Test"/>
    <d v="2025-01-15T00:00:00"/>
    <d v="2025-01-24T00:00:00"/>
    <s v="Friday"/>
    <s v="Afternoon"/>
    <x v="0"/>
    <n v="9"/>
    <n v="3"/>
    <x v="1"/>
    <x v="0"/>
    <s v="WhatsApp"/>
    <n v="16.7"/>
    <x v="21"/>
    <x v="1"/>
  </r>
  <r>
    <s v="HC-01872"/>
    <s v="P-0986"/>
    <s v="Male"/>
    <n v="52"/>
    <x v="2"/>
    <s v="General Consultation"/>
    <d v="2025-03-20T00:00:00"/>
    <d v="2025-04-23T00:00:00"/>
    <s v="Wednesday"/>
    <s v="Morning"/>
    <x v="2"/>
    <n v="34"/>
    <n v="5"/>
    <x v="0"/>
    <x v="0"/>
    <s v="SMS"/>
    <n v="19.100000000000001"/>
    <x v="9"/>
    <x v="1"/>
  </r>
  <r>
    <s v="HC-01873"/>
    <s v="P-1745"/>
    <s v="Male"/>
    <n v="19"/>
    <x v="5"/>
    <s v="Follow-up"/>
    <d v="2025-09-27T00:00:00"/>
    <d v="2025-11-26T00:00:00"/>
    <s v="Wednesday"/>
    <s v="Evening"/>
    <x v="2"/>
    <n v="60"/>
    <n v="6"/>
    <x v="1"/>
    <x v="1"/>
    <s v="None"/>
    <n v="10.8"/>
    <x v="20"/>
    <x v="0"/>
  </r>
  <r>
    <s v="HC-01874"/>
    <s v="P-0446"/>
    <s v="Male"/>
    <n v="33"/>
    <x v="1"/>
    <s v="Diagnostic Test"/>
    <d v="2026-05-10T00:00:00"/>
    <d v="2026-05-30T00:00:00"/>
    <s v="Saturday"/>
    <s v="Morning"/>
    <x v="3"/>
    <n v="20"/>
    <n v="3"/>
    <x v="0"/>
    <x v="0"/>
    <s v="SMS"/>
    <n v="3.7"/>
    <x v="40"/>
    <x v="1"/>
  </r>
  <r>
    <s v="HC-01875"/>
    <s v="P-0270"/>
    <s v="Female"/>
    <n v="53"/>
    <x v="2"/>
    <s v="Follow-up"/>
    <d v="2025-07-16T00:00:00"/>
    <d v="2025-08-12T00:00:00"/>
    <s v="Tuesday"/>
    <s v="Morning"/>
    <x v="3"/>
    <n v="27"/>
    <n v="1"/>
    <x v="0"/>
    <x v="0"/>
    <s v="SMS"/>
    <n v="3.4"/>
    <x v="4"/>
    <x v="1"/>
  </r>
  <r>
    <s v="HC-01876"/>
    <s v="P-0314"/>
    <s v="Female"/>
    <n v="42"/>
    <x v="0"/>
    <s v="General Consultation"/>
    <d v="2025-02-16T00:00:00"/>
    <d v="2025-03-07T00:00:00"/>
    <s v="Friday"/>
    <s v="Morning"/>
    <x v="3"/>
    <n v="19"/>
    <n v="2"/>
    <x v="0"/>
    <x v="1"/>
    <s v="None"/>
    <n v="13.1"/>
    <x v="25"/>
    <x v="1"/>
  </r>
  <r>
    <s v="HC-01877"/>
    <s v="P-1084"/>
    <s v="Female"/>
    <n v="58"/>
    <x v="3"/>
    <s v="Diagnostic Test"/>
    <d v="2025-04-12T00:00:00"/>
    <d v="2025-05-08T00:00:00"/>
    <s v="Thursday"/>
    <s v="Morning"/>
    <x v="3"/>
    <n v="26"/>
    <n v="4"/>
    <x v="2"/>
    <x v="0"/>
    <s v="SMS"/>
    <n v="6.5"/>
    <x v="15"/>
    <x v="1"/>
  </r>
  <r>
    <s v="HC-01878"/>
    <s v="P-1299"/>
    <s v="Male"/>
    <n v="59"/>
    <x v="3"/>
    <s v="General Consultation"/>
    <d v="2026-05-05T00:00:00"/>
    <d v="2026-05-05T00:00:00"/>
    <s v="Tuesday"/>
    <s v="Afternoon"/>
    <x v="1"/>
    <n v="0"/>
    <n v="3"/>
    <x v="1"/>
    <x v="0"/>
    <s v="SMS"/>
    <n v="4.2"/>
    <x v="31"/>
    <x v="1"/>
  </r>
  <r>
    <s v="HC-01879"/>
    <s v="P-1273"/>
    <s v="Male"/>
    <n v="78"/>
    <x v="4"/>
    <s v="General Consultation"/>
    <d v="2025-12-27T00:00:00"/>
    <d v="2026-02-01T00:00:00"/>
    <s v="Sunday"/>
    <s v="Evening"/>
    <x v="2"/>
    <n v="36"/>
    <n v="3"/>
    <x v="0"/>
    <x v="0"/>
    <s v="WhatsApp"/>
    <n v="0.9"/>
    <x v="15"/>
    <x v="0"/>
  </r>
  <r>
    <s v="HC-01880"/>
    <s v="P-0386"/>
    <s v="Male"/>
    <n v="70"/>
    <x v="4"/>
    <s v="General Consultation"/>
    <d v="2025-01-19T00:00:00"/>
    <d v="2025-02-24T00:00:00"/>
    <s v="Monday"/>
    <s v="Afternoon"/>
    <x v="2"/>
    <n v="36"/>
    <n v="2"/>
    <x v="0"/>
    <x v="0"/>
    <s v="SMS"/>
    <n v="2.7"/>
    <x v="50"/>
    <x v="0"/>
  </r>
  <r>
    <s v="HC-01881"/>
    <s v="P-1292"/>
    <s v="Female"/>
    <n v="32"/>
    <x v="1"/>
    <s v="Follow-up"/>
    <d v="2025-07-11T00:00:00"/>
    <d v="2025-07-30T00:00:00"/>
    <s v="Wednesday"/>
    <s v="Afternoon"/>
    <x v="3"/>
    <n v="19"/>
    <n v="8"/>
    <x v="1"/>
    <x v="0"/>
    <s v="SMS"/>
    <n v="10"/>
    <x v="50"/>
    <x v="0"/>
  </r>
  <r>
    <s v="HC-01882"/>
    <s v="P-0920"/>
    <s v="Male"/>
    <n v="61"/>
    <x v="3"/>
    <s v="General Consultation"/>
    <d v="2025-05-09T00:00:00"/>
    <d v="2025-05-25T00:00:00"/>
    <s v="Sunday"/>
    <s v="Morning"/>
    <x v="3"/>
    <n v="16"/>
    <n v="2"/>
    <x v="1"/>
    <x v="0"/>
    <s v="WhatsApp"/>
    <n v="7.2"/>
    <x v="23"/>
    <x v="1"/>
  </r>
  <r>
    <s v="HC-01883"/>
    <s v="P-1793"/>
    <s v="Female"/>
    <n v="57"/>
    <x v="3"/>
    <s v="Follow-up"/>
    <d v="2025-02-21T00:00:00"/>
    <d v="2025-04-08T00:00:00"/>
    <s v="Tuesday"/>
    <s v="Afternoon"/>
    <x v="2"/>
    <n v="46"/>
    <n v="5"/>
    <x v="0"/>
    <x v="1"/>
    <s v="None"/>
    <n v="20.3"/>
    <x v="7"/>
    <x v="0"/>
  </r>
  <r>
    <s v="HC-01884"/>
    <s v="P-1554"/>
    <s v="Male"/>
    <n v="55"/>
    <x v="3"/>
    <s v="Diagnostic Test"/>
    <d v="2026-03-28T00:00:00"/>
    <d v="2026-04-08T00:00:00"/>
    <s v="Wednesday"/>
    <s v="Morning"/>
    <x v="0"/>
    <n v="11"/>
    <n v="1"/>
    <x v="0"/>
    <x v="1"/>
    <s v="None"/>
    <n v="3.2"/>
    <x v="11"/>
    <x v="1"/>
  </r>
  <r>
    <s v="HC-01885"/>
    <s v="P-0239"/>
    <s v="Female"/>
    <n v="68"/>
    <x v="4"/>
    <s v="Follow-up"/>
    <d v="2025-12-02T00:00:00"/>
    <d v="2025-12-04T00:00:00"/>
    <s v="Thursday"/>
    <s v="Morning"/>
    <x v="1"/>
    <n v="2"/>
    <n v="3"/>
    <x v="1"/>
    <x v="0"/>
    <s v="SMS"/>
    <m/>
    <x v="51"/>
    <x v="1"/>
  </r>
  <r>
    <s v="HC-01886"/>
    <s v="P-1376"/>
    <s v="Male"/>
    <n v="27"/>
    <x v="1"/>
    <s v="Follow-up"/>
    <d v="2025-04-07T00:00:00"/>
    <d v="2025-04-09T00:00:00"/>
    <s v="Wednesday"/>
    <s v="Afternoon"/>
    <x v="1"/>
    <n v="2"/>
    <n v="6"/>
    <x v="0"/>
    <x v="0"/>
    <s v="SMS"/>
    <n v="5.8"/>
    <x v="4"/>
    <x v="1"/>
  </r>
  <r>
    <s v="HC-01887"/>
    <s v="P-0183"/>
    <s v="Male"/>
    <n v="41"/>
    <x v="0"/>
    <s v="Diagnostic Test"/>
    <d v="2025-10-30T00:00:00"/>
    <d v="2025-12-22T00:00:00"/>
    <s v="Monday"/>
    <s v="Afternoon"/>
    <x v="2"/>
    <n v="53"/>
    <n v="3"/>
    <x v="0"/>
    <x v="0"/>
    <s v="WhatsApp"/>
    <n v="9.4"/>
    <x v="20"/>
    <x v="1"/>
  </r>
  <r>
    <s v="HC-01888"/>
    <s v="P-0027"/>
    <s v="Female"/>
    <n v="69"/>
    <x v="4"/>
    <s v="Specialist Consultation"/>
    <d v="2025-07-23T00:00:00"/>
    <d v="2025-08-14T00:00:00"/>
    <s v="Thursday"/>
    <s v="Morning"/>
    <x v="3"/>
    <n v="22"/>
    <n v="5"/>
    <x v="1"/>
    <x v="1"/>
    <s v="None"/>
    <n v="5.9"/>
    <x v="13"/>
    <x v="0"/>
  </r>
  <r>
    <s v="HC-01889"/>
    <s v="P-0332"/>
    <s v="Female"/>
    <n v="74"/>
    <x v="4"/>
    <s v="General Consultation"/>
    <d v="2025-01-28T00:00:00"/>
    <d v="2025-02-03T00:00:00"/>
    <s v="Monday"/>
    <s v="Morning"/>
    <x v="1"/>
    <n v="6"/>
    <n v="2"/>
    <x v="1"/>
    <x v="0"/>
    <s v="SMS"/>
    <n v="4.7"/>
    <x v="19"/>
    <x v="1"/>
  </r>
  <r>
    <s v="HC-01890"/>
    <s v="P-1267"/>
    <s v="Female"/>
    <n v="20"/>
    <x v="5"/>
    <s v="General Consultation"/>
    <d v="2025-07-12T00:00:00"/>
    <d v="2025-09-03T00:00:00"/>
    <s v="Wednesday"/>
    <s v="Morning"/>
    <x v="2"/>
    <n v="53"/>
    <n v="1"/>
    <x v="0"/>
    <x v="0"/>
    <s v="SMS"/>
    <n v="11"/>
    <x v="47"/>
    <x v="0"/>
  </r>
  <r>
    <s v="HC-01891"/>
    <s v="P-1599"/>
    <s v="Female"/>
    <n v="47"/>
    <x v="2"/>
    <s v="Follow-up"/>
    <d v="2025-04-03T00:00:00"/>
    <d v="2025-04-12T00:00:00"/>
    <s v="Saturday"/>
    <s v="Afternoon"/>
    <x v="0"/>
    <n v="9"/>
    <n v="0"/>
    <x v="0"/>
    <x v="1"/>
    <s v="None"/>
    <n v="9.1"/>
    <x v="19"/>
    <x v="2"/>
  </r>
  <r>
    <s v="HC-01892"/>
    <s v="P-0022"/>
    <s v="Female"/>
    <n v="34"/>
    <x v="1"/>
    <s v="Specialist Consultation"/>
    <d v="2025-04-24T00:00:00"/>
    <d v="2025-05-14T00:00:00"/>
    <s v="Wednesday"/>
    <s v="Morning"/>
    <x v="3"/>
    <n v="20"/>
    <n v="1"/>
    <x v="0"/>
    <x v="1"/>
    <s v="None"/>
    <n v="14.4"/>
    <x v="12"/>
    <x v="1"/>
  </r>
  <r>
    <s v="HC-01893"/>
    <s v="P-1754"/>
    <s v="Female"/>
    <n v="28"/>
    <x v="1"/>
    <s v="Follow-up"/>
    <d v="2026-04-24T00:00:00"/>
    <d v="2026-04-25T00:00:00"/>
    <s v="Saturday"/>
    <s v="Morning"/>
    <x v="1"/>
    <n v="1"/>
    <n v="2"/>
    <x v="1"/>
    <x v="0"/>
    <s v="SMS"/>
    <n v="7.1"/>
    <x v="14"/>
    <x v="1"/>
  </r>
  <r>
    <s v="HC-01894"/>
    <s v="P-0584"/>
    <s v="Female"/>
    <n v="21"/>
    <x v="5"/>
    <s v="General Consultation"/>
    <d v="2025-12-13T00:00:00"/>
    <d v="2026-01-23T00:00:00"/>
    <s v="Friday"/>
    <s v="Evening"/>
    <x v="2"/>
    <n v="41"/>
    <n v="3"/>
    <x v="1"/>
    <x v="0"/>
    <s v="WhatsApp"/>
    <n v="17.899999999999999"/>
    <x v="18"/>
    <x v="1"/>
  </r>
  <r>
    <s v="HC-01895"/>
    <s v="P-0499"/>
    <s v="Female"/>
    <n v="51"/>
    <x v="2"/>
    <s v="Specialist Consultation"/>
    <d v="2025-02-01T00:00:00"/>
    <d v="2025-03-15T00:00:00"/>
    <s v="Saturday"/>
    <s v="Afternoon"/>
    <x v="2"/>
    <n v="42"/>
    <n v="3"/>
    <x v="1"/>
    <x v="1"/>
    <s v="None"/>
    <n v="4.3"/>
    <x v="8"/>
    <x v="0"/>
  </r>
  <r>
    <s v="HC-01896"/>
    <s v="P-0674"/>
    <s v="Male"/>
    <n v="60"/>
    <x v="3"/>
    <s v="Follow-up"/>
    <d v="2026-02-23T00:00:00"/>
    <d v="2026-04-10T00:00:00"/>
    <s v="Friday"/>
    <s v="Morning"/>
    <x v="2"/>
    <n v="46"/>
    <n v="1"/>
    <x v="0"/>
    <x v="0"/>
    <s v="SMS"/>
    <n v="13"/>
    <x v="47"/>
    <x v="1"/>
  </r>
  <r>
    <s v="HC-01897"/>
    <s v="P-0074"/>
    <s v="Female"/>
    <n v="51"/>
    <x v="2"/>
    <s v="Follow-up"/>
    <d v="2025-10-25T00:00:00"/>
    <d v="2025-11-10T00:00:00"/>
    <s v="Monday"/>
    <s v="Afternoon"/>
    <x v="3"/>
    <n v="16"/>
    <n v="2"/>
    <x v="0"/>
    <x v="1"/>
    <s v="None"/>
    <n v="15.3"/>
    <x v="11"/>
    <x v="1"/>
  </r>
  <r>
    <s v="HC-01898"/>
    <s v="P-0850"/>
    <s v="Female"/>
    <n v="41"/>
    <x v="0"/>
    <s v="Specialist Consultation"/>
    <d v="2026-04-03T00:00:00"/>
    <d v="2026-04-23T00:00:00"/>
    <s v="Thursday"/>
    <s v="Morning"/>
    <x v="3"/>
    <n v="20"/>
    <n v="3"/>
    <x v="0"/>
    <x v="0"/>
    <s v="SMS"/>
    <n v="1.1000000000000001"/>
    <x v="7"/>
    <x v="0"/>
  </r>
  <r>
    <s v="HC-01899"/>
    <s v="P-1278"/>
    <s v="Male"/>
    <n v="66"/>
    <x v="4"/>
    <s v="Specialist Consultation"/>
    <d v="2025-12-17T00:00:00"/>
    <d v="2026-02-12T00:00:00"/>
    <s v="Thursday"/>
    <s v="Morning"/>
    <x v="2"/>
    <n v="57"/>
    <n v="4"/>
    <x v="1"/>
    <x v="0"/>
    <s v="WhatsApp"/>
    <n v="13.2"/>
    <x v="32"/>
    <x v="0"/>
  </r>
  <r>
    <s v="HC-01900"/>
    <s v="P-1179"/>
    <s v="Female"/>
    <n v="59"/>
    <x v="3"/>
    <s v="Follow-up"/>
    <d v="2025-05-16T00:00:00"/>
    <d v="2025-07-05T00:00:00"/>
    <s v="Saturday"/>
    <s v="Afternoon"/>
    <x v="2"/>
    <n v="50"/>
    <n v="6"/>
    <x v="1"/>
    <x v="1"/>
    <s v="None"/>
    <n v="7.8"/>
    <x v="8"/>
    <x v="0"/>
  </r>
  <r>
    <s v="HC-01901"/>
    <s v="P-1269"/>
    <s v="Male"/>
    <n v="75"/>
    <x v="4"/>
    <s v="Follow-up"/>
    <d v="2025-10-18T00:00:00"/>
    <d v="2025-10-20T00:00:00"/>
    <s v="Monday"/>
    <s v="Morning"/>
    <x v="1"/>
    <n v="2"/>
    <n v="6"/>
    <x v="1"/>
    <x v="1"/>
    <s v="None"/>
    <n v="9.5"/>
    <x v="21"/>
    <x v="0"/>
  </r>
  <r>
    <s v="HC-01902"/>
    <s v="P-1784"/>
    <s v="Male"/>
    <n v="39"/>
    <x v="0"/>
    <s v="Follow-up"/>
    <d v="2025-09-05T00:00:00"/>
    <d v="2025-10-17T00:00:00"/>
    <s v="Friday"/>
    <s v="Morning"/>
    <x v="2"/>
    <n v="42"/>
    <n v="2"/>
    <x v="0"/>
    <x v="0"/>
    <s v="WhatsApp"/>
    <n v="20"/>
    <x v="6"/>
    <x v="1"/>
  </r>
  <r>
    <s v="HC-01903"/>
    <s v="P-0949"/>
    <s v="Male"/>
    <n v="33"/>
    <x v="1"/>
    <s v="Follow-up"/>
    <d v="2025-12-11T00:00:00"/>
    <d v="2026-01-29T00:00:00"/>
    <s v="Thursday"/>
    <s v="Evening"/>
    <x v="2"/>
    <n v="49"/>
    <n v="1"/>
    <x v="0"/>
    <x v="1"/>
    <s v="None"/>
    <n v="8.3000000000000007"/>
    <x v="6"/>
    <x v="0"/>
  </r>
  <r>
    <s v="HC-01904"/>
    <s v="P-0319"/>
    <s v="Male"/>
    <n v="46"/>
    <x v="2"/>
    <s v="Follow-up"/>
    <d v="2025-04-12T00:00:00"/>
    <d v="2025-05-16T00:00:00"/>
    <s v="Friday"/>
    <s v="Afternoon"/>
    <x v="2"/>
    <n v="34"/>
    <n v="3"/>
    <x v="1"/>
    <x v="0"/>
    <s v="SMS"/>
    <n v="4.0999999999999996"/>
    <x v="31"/>
    <x v="1"/>
  </r>
  <r>
    <s v="HC-01905"/>
    <s v="P-0514"/>
    <s v="Male"/>
    <n v="49"/>
    <x v="2"/>
    <s v="Specialist Consultation"/>
    <d v="2025-05-23T00:00:00"/>
    <d v="2025-07-01T00:00:00"/>
    <s v="Tuesday"/>
    <s v="Evening"/>
    <x v="2"/>
    <n v="39"/>
    <n v="4"/>
    <x v="2"/>
    <x v="1"/>
    <s v="None"/>
    <n v="12.6"/>
    <x v="1"/>
    <x v="0"/>
  </r>
  <r>
    <s v="HC-01906"/>
    <s v="P-1209"/>
    <s v="Male"/>
    <n v="46"/>
    <x v="2"/>
    <s v="Follow-up"/>
    <d v="2025-05-14T00:00:00"/>
    <d v="2025-05-14T00:00:00"/>
    <s v="Wednesday"/>
    <s v="Evening"/>
    <x v="1"/>
    <n v="0"/>
    <n v="5"/>
    <x v="0"/>
    <x v="0"/>
    <s v="SMS"/>
    <n v="7.4"/>
    <x v="12"/>
    <x v="1"/>
  </r>
  <r>
    <s v="HC-01907"/>
    <s v="P-1183"/>
    <s v="Male"/>
    <n v="70"/>
    <x v="4"/>
    <s v="Follow-up"/>
    <d v="2025-06-10T00:00:00"/>
    <d v="2025-06-11T00:00:00"/>
    <s v="Wednesday"/>
    <s v="Morning"/>
    <x v="1"/>
    <n v="1"/>
    <n v="4"/>
    <x v="2"/>
    <x v="1"/>
    <s v="None"/>
    <n v="8.5"/>
    <x v="11"/>
    <x v="0"/>
  </r>
  <r>
    <s v="HC-01908"/>
    <s v="P-0327"/>
    <s v="Female"/>
    <n v="20"/>
    <x v="5"/>
    <s v="General Consultation"/>
    <d v="2025-03-28T00:00:00"/>
    <d v="2025-03-30T00:00:00"/>
    <s v="Sunday"/>
    <s v="Afternoon"/>
    <x v="1"/>
    <n v="2"/>
    <n v="7"/>
    <x v="0"/>
    <x v="1"/>
    <s v="None"/>
    <n v="7.9"/>
    <x v="0"/>
    <x v="1"/>
  </r>
  <r>
    <s v="HC-01909"/>
    <s v="P-1270"/>
    <s v="Male"/>
    <n v="51"/>
    <x v="2"/>
    <s v="Specialist Consultation"/>
    <d v="2025-01-11T00:00:00"/>
    <d v="2025-01-20T00:00:00"/>
    <s v="Monday"/>
    <s v="Morning"/>
    <x v="0"/>
    <n v="9"/>
    <n v="4"/>
    <x v="1"/>
    <x v="1"/>
    <s v="None"/>
    <n v="14"/>
    <x v="8"/>
    <x v="2"/>
  </r>
  <r>
    <s v="HC-01910"/>
    <s v="P-0599"/>
    <s v="Male"/>
    <n v="45"/>
    <x v="2"/>
    <s v="Follow-up"/>
    <d v="2026-03-30T00:00:00"/>
    <d v="2026-05-29T00:00:00"/>
    <s v="Friday"/>
    <s v="Afternoon"/>
    <x v="2"/>
    <n v="60"/>
    <n v="1"/>
    <x v="0"/>
    <x v="0"/>
    <s v="SMS"/>
    <n v="10.9"/>
    <x v="17"/>
    <x v="0"/>
  </r>
  <r>
    <s v="HC-01911"/>
    <s v="P-0204"/>
    <s v="Male"/>
    <n v="31"/>
    <x v="1"/>
    <s v="General Consultation"/>
    <d v="2025-01-03T00:00:00"/>
    <d v="2025-02-10T00:00:00"/>
    <s v="Monday"/>
    <s v="Morning"/>
    <x v="2"/>
    <n v="38"/>
    <n v="3"/>
    <x v="0"/>
    <x v="0"/>
    <s v="Email"/>
    <n v="8.5"/>
    <x v="20"/>
    <x v="0"/>
  </r>
  <r>
    <s v="HC-01912"/>
    <s v="P-1466"/>
    <s v="Female"/>
    <n v="58"/>
    <x v="3"/>
    <s v="General Consultation"/>
    <d v="2026-03-14T00:00:00"/>
    <d v="2026-04-30T00:00:00"/>
    <s v="Thursday"/>
    <s v="Morning"/>
    <x v="2"/>
    <n v="47"/>
    <n v="1"/>
    <x v="1"/>
    <x v="0"/>
    <s v="SMS"/>
    <n v="10.4"/>
    <x v="23"/>
    <x v="1"/>
  </r>
  <r>
    <s v="HC-01913"/>
    <s v="P-0554"/>
    <s v="Female"/>
    <n v="68"/>
    <x v="4"/>
    <s v="General Consultation"/>
    <d v="2024-12-15T00:00:00"/>
    <d v="2025-01-02T00:00:00"/>
    <s v="Thursday"/>
    <s v="Morning"/>
    <x v="3"/>
    <n v="18"/>
    <n v="3"/>
    <x v="0"/>
    <x v="0"/>
    <s v="WhatsApp"/>
    <n v="4.2"/>
    <x v="52"/>
    <x v="1"/>
  </r>
  <r>
    <s v="HC-01914"/>
    <s v="P-0130"/>
    <s v="Male"/>
    <n v="52"/>
    <x v="2"/>
    <s v="Diagnostic Test"/>
    <d v="2026-01-03T00:00:00"/>
    <d v="2026-03-01T00:00:00"/>
    <s v="Sunday"/>
    <s v="Afternoon"/>
    <x v="2"/>
    <n v="57"/>
    <n v="2"/>
    <x v="0"/>
    <x v="1"/>
    <s v="None"/>
    <n v="13.3"/>
    <x v="7"/>
    <x v="0"/>
  </r>
  <r>
    <s v="HC-01915"/>
    <s v="P-1723"/>
    <s v="Female"/>
    <n v="23"/>
    <x v="5"/>
    <s v="Specialist Consultation"/>
    <d v="2025-06-17T00:00:00"/>
    <d v="2025-06-29T00:00:00"/>
    <s v="Sunday"/>
    <s v="Morning"/>
    <x v="0"/>
    <n v="12"/>
    <n v="0"/>
    <x v="0"/>
    <x v="0"/>
    <s v="SMS"/>
    <n v="11.1"/>
    <x v="20"/>
    <x v="1"/>
  </r>
  <r>
    <s v="HC-01916"/>
    <s v="P-0036"/>
    <s v="Male"/>
    <n v="22"/>
    <x v="5"/>
    <s v="Follow-up"/>
    <d v="2025-08-16T00:00:00"/>
    <d v="2025-10-10T00:00:00"/>
    <s v="Friday"/>
    <s v="Afternoon"/>
    <x v="2"/>
    <n v="55"/>
    <n v="0"/>
    <x v="0"/>
    <x v="0"/>
    <s v="WhatsApp"/>
    <n v="21.7"/>
    <x v="9"/>
    <x v="1"/>
  </r>
  <r>
    <s v="HC-01917"/>
    <s v="P-0382"/>
    <s v="Female"/>
    <n v="44"/>
    <x v="0"/>
    <s v="General Consultation"/>
    <d v="2025-06-03T00:00:00"/>
    <d v="2025-06-04T00:00:00"/>
    <s v="Wednesday"/>
    <s v="Afternoon"/>
    <x v="1"/>
    <n v="1"/>
    <n v="5"/>
    <x v="1"/>
    <x v="0"/>
    <s v="SMS"/>
    <n v="5.6"/>
    <x v="44"/>
    <x v="0"/>
  </r>
  <r>
    <s v="HC-01918"/>
    <s v="P-0649"/>
    <s v="Female"/>
    <n v="60"/>
    <x v="3"/>
    <s v="Specialist Consultation"/>
    <d v="2025-09-24T00:00:00"/>
    <d v="2025-09-25T00:00:00"/>
    <s v="Thursday"/>
    <s v="Afternoon"/>
    <x v="1"/>
    <n v="1"/>
    <n v="3"/>
    <x v="0"/>
    <x v="1"/>
    <s v="None"/>
    <n v="5.7"/>
    <x v="12"/>
    <x v="0"/>
  </r>
  <r>
    <s v="HC-01919"/>
    <s v="P-0997"/>
    <s v="Female"/>
    <n v="37"/>
    <x v="0"/>
    <s v="Follow-up"/>
    <d v="2025-08-31T00:00:00"/>
    <d v="2025-09-04T00:00:00"/>
    <s v="Thursday"/>
    <s v="Morning"/>
    <x v="1"/>
    <n v="4"/>
    <n v="1"/>
    <x v="0"/>
    <x v="0"/>
    <s v="SMS"/>
    <n v="9.9"/>
    <x v="32"/>
    <x v="1"/>
  </r>
  <r>
    <s v="HC-01920"/>
    <s v="P-0792"/>
    <s v="Male"/>
    <n v="37"/>
    <x v="0"/>
    <s v="Diagnostic Test"/>
    <d v="2025-08-30T00:00:00"/>
    <d v="2025-10-17T00:00:00"/>
    <s v="Friday"/>
    <s v="Morning"/>
    <x v="2"/>
    <n v="48"/>
    <n v="4"/>
    <x v="0"/>
    <x v="1"/>
    <s v="None"/>
    <n v="8.3000000000000007"/>
    <x v="19"/>
    <x v="1"/>
  </r>
  <r>
    <s v="HC-01921"/>
    <s v="P-0547"/>
    <s v="Male"/>
    <n v="72"/>
    <x v="4"/>
    <s v="General Consultation"/>
    <d v="2025-07-19T00:00:00"/>
    <d v="2025-08-03T00:00:00"/>
    <s v="Sunday"/>
    <s v="Evening"/>
    <x v="3"/>
    <n v="15"/>
    <n v="1"/>
    <x v="0"/>
    <x v="0"/>
    <s v="WhatsApp"/>
    <n v="4.0999999999999996"/>
    <x v="42"/>
    <x v="1"/>
  </r>
  <r>
    <s v="HC-01922"/>
    <s v="P-0742"/>
    <s v="Male"/>
    <n v="18"/>
    <x v="5"/>
    <s v="General Consultation"/>
    <d v="2025-09-23T00:00:00"/>
    <d v="2025-10-20T00:00:00"/>
    <s v="Monday"/>
    <s v="Afternoon"/>
    <x v="3"/>
    <n v="27"/>
    <n v="4"/>
    <x v="1"/>
    <x v="0"/>
    <s v="WhatsApp"/>
    <n v="3.5"/>
    <x v="23"/>
    <x v="1"/>
  </r>
  <r>
    <s v="HC-01923"/>
    <s v="P-1427"/>
    <s v="Male"/>
    <n v="23"/>
    <x v="5"/>
    <s v="Follow-up"/>
    <d v="2026-02-27T00:00:00"/>
    <d v="2026-03-27T00:00:00"/>
    <s v="Friday"/>
    <s v="Morning"/>
    <x v="3"/>
    <n v="28"/>
    <n v="6"/>
    <x v="2"/>
    <x v="0"/>
    <s v="WhatsApp"/>
    <n v="17.3"/>
    <x v="49"/>
    <x v="0"/>
  </r>
  <r>
    <s v="HC-01924"/>
    <s v="P-1057"/>
    <s v="Male"/>
    <n v="27"/>
    <x v="1"/>
    <s v="General Consultation"/>
    <d v="2025-07-09T00:00:00"/>
    <d v="2025-08-26T00:00:00"/>
    <s v="Tuesday"/>
    <s v="Evening"/>
    <x v="2"/>
    <n v="48"/>
    <n v="4"/>
    <x v="0"/>
    <x v="0"/>
    <s v="SMS"/>
    <n v="5.0999999999999996"/>
    <x v="10"/>
    <x v="0"/>
  </r>
  <r>
    <s v="HC-01925"/>
    <s v="P-0814"/>
    <s v="Female"/>
    <n v="79"/>
    <x v="4"/>
    <s v="Follow-up"/>
    <d v="2025-06-26T00:00:00"/>
    <d v="2025-07-17T00:00:00"/>
    <s v="Thursday"/>
    <s v="Morning"/>
    <x v="3"/>
    <n v="21"/>
    <n v="4"/>
    <x v="1"/>
    <x v="0"/>
    <s v="SMS"/>
    <n v="7.1"/>
    <x v="21"/>
    <x v="1"/>
  </r>
  <r>
    <s v="HC-01926"/>
    <s v="P-1323"/>
    <s v="Female"/>
    <n v="49"/>
    <x v="2"/>
    <s v="Specialist Consultation"/>
    <d v="2025-03-13T00:00:00"/>
    <d v="2025-03-13T00:00:00"/>
    <s v="Thursday"/>
    <s v="Morning"/>
    <x v="1"/>
    <n v="0"/>
    <n v="4"/>
    <x v="2"/>
    <x v="0"/>
    <s v="SMS"/>
    <n v="3.3"/>
    <x v="9"/>
    <x v="1"/>
  </r>
  <r>
    <s v="HC-01927"/>
    <s v="P-0872"/>
    <s v="Male"/>
    <n v="27"/>
    <x v="1"/>
    <s v="General Consultation"/>
    <d v="2025-06-23T00:00:00"/>
    <d v="2025-07-16T00:00:00"/>
    <s v="Wednesday"/>
    <s v="Morning"/>
    <x v="3"/>
    <n v="23"/>
    <n v="3"/>
    <x v="0"/>
    <x v="0"/>
    <s v="SMS"/>
    <n v="30.4"/>
    <x v="12"/>
    <x v="0"/>
  </r>
  <r>
    <s v="HC-01928"/>
    <s v="P-1157"/>
    <s v="Male"/>
    <n v="37"/>
    <x v="0"/>
    <s v="Follow-up"/>
    <d v="2025-02-21T00:00:00"/>
    <d v="2025-03-10T00:00:00"/>
    <s v="Monday"/>
    <s v="Morning"/>
    <x v="3"/>
    <n v="17"/>
    <n v="2"/>
    <x v="0"/>
    <x v="1"/>
    <s v="None"/>
    <n v="5.4"/>
    <x v="31"/>
    <x v="1"/>
  </r>
  <r>
    <s v="HC-01929"/>
    <s v="P-1166"/>
    <s v="Female"/>
    <n v="79"/>
    <x v="4"/>
    <s v="Follow-up"/>
    <d v="2025-02-25T00:00:00"/>
    <d v="2025-04-10T00:00:00"/>
    <s v="Thursday"/>
    <s v="Morning"/>
    <x v="2"/>
    <n v="44"/>
    <n v="7"/>
    <x v="4"/>
    <x v="1"/>
    <s v="None"/>
    <n v="7.7"/>
    <x v="7"/>
    <x v="0"/>
  </r>
  <r>
    <s v="HC-01930"/>
    <s v="P-1329"/>
    <s v="Male"/>
    <n v="61"/>
    <x v="3"/>
    <s v="Specialist Consultation"/>
    <d v="2026-04-20T00:00:00"/>
    <d v="2026-06-04T00:00:00"/>
    <s v="Thursday"/>
    <s v="Afternoon"/>
    <x v="2"/>
    <n v="45"/>
    <n v="3"/>
    <x v="0"/>
    <x v="1"/>
    <s v="None"/>
    <n v="2.4"/>
    <x v="13"/>
    <x v="0"/>
  </r>
  <r>
    <s v="HC-01931"/>
    <s v="P-0590"/>
    <s v="Female"/>
    <n v="32"/>
    <x v="1"/>
    <s v="Follow-up"/>
    <d v="2025-02-13T00:00:00"/>
    <d v="2025-02-18T00:00:00"/>
    <s v="Tuesday"/>
    <s v="Morning"/>
    <x v="1"/>
    <n v="5"/>
    <n v="3"/>
    <x v="1"/>
    <x v="0"/>
    <s v="WhatsApp"/>
    <n v="9.5"/>
    <x v="37"/>
    <x v="2"/>
  </r>
  <r>
    <s v="HC-01932"/>
    <s v="P-0936"/>
    <s v="Male"/>
    <n v="33"/>
    <x v="1"/>
    <s v="General Consultation"/>
    <d v="2025-08-04T00:00:00"/>
    <d v="2025-09-21T00:00:00"/>
    <s v="Sunday"/>
    <s v="Afternoon"/>
    <x v="2"/>
    <n v="48"/>
    <n v="3"/>
    <x v="0"/>
    <x v="0"/>
    <s v="Email"/>
    <n v="25.5"/>
    <x v="36"/>
    <x v="0"/>
  </r>
  <r>
    <s v="HC-01933"/>
    <s v="P-0394"/>
    <s v="Male"/>
    <n v="22"/>
    <x v="5"/>
    <s v="Follow-up"/>
    <d v="2026-03-28T00:00:00"/>
    <d v="2026-04-01T00:00:00"/>
    <s v="Wednesday"/>
    <s v="Afternoon"/>
    <x v="1"/>
    <n v="4"/>
    <n v="0"/>
    <x v="0"/>
    <x v="0"/>
    <s v="WhatsApp"/>
    <n v="3.6"/>
    <x v="12"/>
    <x v="1"/>
  </r>
  <r>
    <s v="HC-01934"/>
    <s v="P-0796"/>
    <s v="Female"/>
    <n v="66"/>
    <x v="4"/>
    <s v="Follow-up"/>
    <d v="2026-04-29T00:00:00"/>
    <d v="2026-06-05T00:00:00"/>
    <s v="Friday"/>
    <s v="Evening"/>
    <x v="2"/>
    <n v="37"/>
    <n v="3"/>
    <x v="1"/>
    <x v="0"/>
    <s v="WhatsApp"/>
    <n v="9.8000000000000007"/>
    <x v="8"/>
    <x v="0"/>
  </r>
  <r>
    <s v="HC-01935"/>
    <s v="P-0010"/>
    <s v="Male"/>
    <n v="26"/>
    <x v="1"/>
    <s v="Specialist Consultation"/>
    <d v="2025-02-27T00:00:00"/>
    <d v="2025-03-22T00:00:00"/>
    <s v="Saturday"/>
    <s v="Morning"/>
    <x v="3"/>
    <n v="23"/>
    <n v="4"/>
    <x v="0"/>
    <x v="0"/>
    <s v="SMS"/>
    <n v="6.3"/>
    <x v="53"/>
    <x v="2"/>
  </r>
  <r>
    <s v="HC-01936"/>
    <s v="P-0236"/>
    <s v="Male"/>
    <n v="36"/>
    <x v="0"/>
    <s v="Follow-up"/>
    <d v="2025-03-13T00:00:00"/>
    <d v="2025-03-31T00:00:00"/>
    <s v="Monday"/>
    <s v="Afternoon"/>
    <x v="3"/>
    <n v="18"/>
    <n v="2"/>
    <x v="1"/>
    <x v="0"/>
    <s v="WhatsApp"/>
    <n v="8.6"/>
    <x v="3"/>
    <x v="1"/>
  </r>
  <r>
    <s v="HC-01937"/>
    <s v="P-0581"/>
    <s v="Male"/>
    <n v="39"/>
    <x v="0"/>
    <s v="General Consultation"/>
    <d v="2025-06-24T00:00:00"/>
    <d v="2025-07-23T00:00:00"/>
    <s v="Wednesday"/>
    <s v="Morning"/>
    <x v="3"/>
    <n v="29"/>
    <n v="0"/>
    <x v="0"/>
    <x v="0"/>
    <s v="WhatsApp"/>
    <n v="6.6"/>
    <x v="3"/>
    <x v="1"/>
  </r>
  <r>
    <s v="HC-01938"/>
    <s v="P-1775"/>
    <s v="Male"/>
    <n v="57"/>
    <x v="3"/>
    <s v="Specialist Consultation"/>
    <d v="2025-10-12T00:00:00"/>
    <d v="2025-10-30T00:00:00"/>
    <s v="Thursday"/>
    <s v="Afternoon"/>
    <x v="3"/>
    <n v="18"/>
    <n v="3"/>
    <x v="0"/>
    <x v="0"/>
    <s v="WhatsApp"/>
    <n v="3.1"/>
    <x v="12"/>
    <x v="1"/>
  </r>
  <r>
    <s v="HC-01939"/>
    <s v="P-1273"/>
    <s v="Female"/>
    <n v="56"/>
    <x v="3"/>
    <s v="Follow-up"/>
    <d v="2026-04-22T00:00:00"/>
    <d v="2026-06-09T00:00:00"/>
    <s v="Tuesday"/>
    <s v="Morning"/>
    <x v="2"/>
    <n v="48"/>
    <n v="4"/>
    <x v="0"/>
    <x v="0"/>
    <s v="WhatsApp"/>
    <n v="10.4"/>
    <x v="51"/>
    <x v="0"/>
  </r>
  <r>
    <s v="HC-01940"/>
    <s v="P-1183"/>
    <s v="Female"/>
    <n v="68"/>
    <x v="4"/>
    <s v="General Consultation"/>
    <d v="2025-02-25T00:00:00"/>
    <d v="2025-04-24T00:00:00"/>
    <s v="Thursday"/>
    <s v="Afternoon"/>
    <x v="2"/>
    <n v="58"/>
    <n v="2"/>
    <x v="1"/>
    <x v="1"/>
    <s v="None"/>
    <n v="14.6"/>
    <x v="1"/>
    <x v="0"/>
  </r>
  <r>
    <s v="HC-01941"/>
    <s v="P-1444"/>
    <s v="Female"/>
    <n v="36"/>
    <x v="0"/>
    <s v="Follow-up"/>
    <d v="2025-02-10T00:00:00"/>
    <d v="2025-03-31T00:00:00"/>
    <s v="Monday"/>
    <s v="Morning"/>
    <x v="2"/>
    <n v="49"/>
    <n v="3"/>
    <x v="0"/>
    <x v="0"/>
    <s v="SMS"/>
    <n v="6.4"/>
    <x v="46"/>
    <x v="1"/>
  </r>
  <r>
    <s v="HC-01942"/>
    <s v="P-0415"/>
    <s v="Female"/>
    <n v="42"/>
    <x v="0"/>
    <s v="Diagnostic Test"/>
    <d v="2025-04-23T00:00:00"/>
    <d v="2025-05-19T00:00:00"/>
    <s v="Monday"/>
    <s v="Afternoon"/>
    <x v="3"/>
    <n v="26"/>
    <n v="3"/>
    <x v="0"/>
    <x v="0"/>
    <s v="WhatsApp"/>
    <n v="17.2"/>
    <x v="23"/>
    <x v="1"/>
  </r>
  <r>
    <s v="HC-01943"/>
    <s v="P-1777"/>
    <s v="Female"/>
    <n v="42"/>
    <x v="0"/>
    <s v="Specialist Consultation"/>
    <d v="2026-03-24T00:00:00"/>
    <d v="2026-04-23T00:00:00"/>
    <s v="Thursday"/>
    <s v="Morning"/>
    <x v="3"/>
    <n v="30"/>
    <n v="4"/>
    <x v="0"/>
    <x v="0"/>
    <s v="SMS"/>
    <n v="17.399999999999999"/>
    <x v="6"/>
    <x v="1"/>
  </r>
  <r>
    <s v="HC-01944"/>
    <s v="P-1238"/>
    <s v="Male"/>
    <n v="20"/>
    <x v="5"/>
    <s v="General Consultation"/>
    <d v="2024-12-21T00:00:00"/>
    <d v="2025-01-17T00:00:00"/>
    <s v="Friday"/>
    <s v="Morning"/>
    <x v="3"/>
    <n v="27"/>
    <n v="3"/>
    <x v="1"/>
    <x v="0"/>
    <s v="WhatsApp"/>
    <n v="14.6"/>
    <x v="33"/>
    <x v="0"/>
  </r>
  <r>
    <s v="HC-01945"/>
    <s v="P-0753"/>
    <s v="Female"/>
    <n v="64"/>
    <x v="3"/>
    <s v="Specialist Consultation"/>
    <d v="2025-06-09T00:00:00"/>
    <d v="2025-07-27T00:00:00"/>
    <s v="Sunday"/>
    <s v="Afternoon"/>
    <x v="2"/>
    <n v="48"/>
    <n v="0"/>
    <x v="0"/>
    <x v="0"/>
    <s v="SMS"/>
    <n v="3.9"/>
    <x v="50"/>
    <x v="0"/>
  </r>
  <r>
    <s v="HC-01946"/>
    <s v="P-0968"/>
    <s v="Male"/>
    <n v="51"/>
    <x v="2"/>
    <s v="General Consultation"/>
    <d v="2025-02-01T00:00:00"/>
    <d v="2025-03-06T00:00:00"/>
    <s v="Thursday"/>
    <s v="Morning"/>
    <x v="2"/>
    <n v="33"/>
    <n v="1"/>
    <x v="1"/>
    <x v="0"/>
    <s v="SMS"/>
    <n v="12.4"/>
    <x v="13"/>
    <x v="0"/>
  </r>
  <r>
    <s v="HC-01947"/>
    <s v="P-0615"/>
    <s v="Female"/>
    <n v="47"/>
    <x v="2"/>
    <s v="Follow-up"/>
    <d v="2025-02-27T00:00:00"/>
    <d v="2025-03-27T00:00:00"/>
    <s v="Thursday"/>
    <s v="Afternoon"/>
    <x v="3"/>
    <n v="28"/>
    <n v="2"/>
    <x v="0"/>
    <x v="0"/>
    <s v="WhatsApp"/>
    <n v="11.6"/>
    <x v="44"/>
    <x v="1"/>
  </r>
  <r>
    <s v="HC-01948"/>
    <s v="P-0728"/>
    <s v="Female"/>
    <n v="80"/>
    <x v="4"/>
    <s v="Follow-up"/>
    <d v="2026-04-22T00:00:00"/>
    <d v="2026-05-16T00:00:00"/>
    <s v="Saturday"/>
    <s v="Afternoon"/>
    <x v="3"/>
    <n v="24"/>
    <n v="3"/>
    <x v="0"/>
    <x v="0"/>
    <s v="SMS"/>
    <n v="4.5"/>
    <x v="15"/>
    <x v="1"/>
  </r>
  <r>
    <s v="HC-01949"/>
    <s v="P-1652"/>
    <s v="Male"/>
    <n v="29"/>
    <x v="1"/>
    <s v="General Consultation"/>
    <d v="2024-12-10T00:00:00"/>
    <d v="2025-01-01T00:00:00"/>
    <s v="Wednesday"/>
    <s v="Afternoon"/>
    <x v="3"/>
    <n v="22"/>
    <n v="3"/>
    <x v="0"/>
    <x v="0"/>
    <s v="SMS"/>
    <n v="6"/>
    <x v="0"/>
    <x v="1"/>
  </r>
  <r>
    <s v="HC-01950"/>
    <s v="P-1108"/>
    <s v="Prefer not to say"/>
    <n v="79"/>
    <x v="4"/>
    <s v="General Consultation"/>
    <d v="2025-05-23T00:00:00"/>
    <d v="2025-06-25T00:00:00"/>
    <s v="Wednesday"/>
    <s v="Afternoon"/>
    <x v="2"/>
    <n v="33"/>
    <n v="5"/>
    <x v="0"/>
    <x v="0"/>
    <s v="WhatsApp"/>
    <n v="8.6999999999999993"/>
    <x v="49"/>
    <x v="0"/>
  </r>
  <r>
    <s v="HC-01951"/>
    <s v="P-0935"/>
    <s v="Male"/>
    <n v="60"/>
    <x v="3"/>
    <s v="Diagnostic Test"/>
    <d v="2026-04-03T00:00:00"/>
    <d v="2026-05-15T00:00:00"/>
    <s v="Friday"/>
    <s v="Afternoon"/>
    <x v="2"/>
    <n v="42"/>
    <n v="1"/>
    <x v="0"/>
    <x v="1"/>
    <s v="None"/>
    <n v="5.8"/>
    <x v="51"/>
    <x v="0"/>
  </r>
  <r>
    <s v="HC-01952"/>
    <s v="P-0401"/>
    <s v="Female"/>
    <n v="31"/>
    <x v="1"/>
    <s v="General Consultation"/>
    <d v="2025-11-03T00:00:00"/>
    <d v="2025-11-29T00:00:00"/>
    <s v="Saturday"/>
    <s v="Evening"/>
    <x v="3"/>
    <n v="26"/>
    <n v="3"/>
    <x v="2"/>
    <x v="0"/>
    <s v="WhatsApp"/>
    <n v="7.8"/>
    <x v="25"/>
    <x v="0"/>
  </r>
  <r>
    <s v="HC-01953"/>
    <s v="P-1452"/>
    <s v="Male"/>
    <n v="60"/>
    <x v="3"/>
    <s v="Specialist Consultation"/>
    <d v="2024-12-22T00:00:00"/>
    <d v="2025-02-09T00:00:00"/>
    <s v="Sunday"/>
    <s v="Morning"/>
    <x v="2"/>
    <n v="49"/>
    <n v="4"/>
    <x v="1"/>
    <x v="0"/>
    <s v="WhatsApp"/>
    <n v="22.3"/>
    <x v="0"/>
    <x v="0"/>
  </r>
  <r>
    <s v="HC-01954"/>
    <s v="P-1749"/>
    <s v="Female"/>
    <n v="65"/>
    <x v="4"/>
    <s v="Follow-up"/>
    <d v="2025-07-23T00:00:00"/>
    <d v="2025-09-11T00:00:00"/>
    <s v="Thursday"/>
    <s v="Afternoon"/>
    <x v="2"/>
    <n v="50"/>
    <n v="2"/>
    <x v="1"/>
    <x v="0"/>
    <s v="SMS"/>
    <n v="4.8"/>
    <x v="0"/>
    <x v="0"/>
  </r>
  <r>
    <s v="HC-01955"/>
    <s v="P-1449"/>
    <s v="Male"/>
    <n v="40"/>
    <x v="0"/>
    <s v="Follow-up"/>
    <d v="2026-05-20T00:00:00"/>
    <d v="2026-06-15T00:00:00"/>
    <s v="Monday"/>
    <s v="Afternoon"/>
    <x v="3"/>
    <n v="26"/>
    <n v="4"/>
    <x v="1"/>
    <x v="1"/>
    <s v="None"/>
    <n v="4.7"/>
    <x v="16"/>
    <x v="2"/>
  </r>
  <r>
    <s v="HC-01956"/>
    <s v="P-0789"/>
    <s v="Male"/>
    <n v="39"/>
    <x v="0"/>
    <s v="General Consultation"/>
    <d v="2025-06-13T00:00:00"/>
    <d v="2025-08-07T00:00:00"/>
    <s v="Thursday"/>
    <s v="Morning"/>
    <x v="2"/>
    <n v="55"/>
    <n v="1"/>
    <x v="0"/>
    <x v="0"/>
    <s v="SMS"/>
    <n v="16.5"/>
    <x v="0"/>
    <x v="1"/>
  </r>
  <r>
    <s v="HC-01957"/>
    <s v="P-1593"/>
    <s v="Female"/>
    <n v="70"/>
    <x v="4"/>
    <s v="General Consultation"/>
    <d v="2025-10-06T00:00:00"/>
    <d v="2025-10-16T00:00:00"/>
    <s v="Thursday"/>
    <s v="Morning"/>
    <x v="0"/>
    <n v="10"/>
    <n v="3"/>
    <x v="0"/>
    <x v="0"/>
    <s v="WhatsApp"/>
    <n v="9"/>
    <x v="4"/>
    <x v="1"/>
  </r>
  <r>
    <s v="HC-01958"/>
    <s v="P-1030"/>
    <s v="Male"/>
    <n v="28"/>
    <x v="1"/>
    <s v="General Consultation"/>
    <d v="2025-08-23T00:00:00"/>
    <d v="2025-10-18T00:00:00"/>
    <s v="Saturday"/>
    <s v="Morning"/>
    <x v="2"/>
    <n v="56"/>
    <n v="2"/>
    <x v="0"/>
    <x v="0"/>
    <s v="SMS"/>
    <n v="9.6999999999999993"/>
    <x v="23"/>
    <x v="0"/>
  </r>
  <r>
    <s v="HC-01959"/>
    <s v="P-0673"/>
    <s v="Male"/>
    <n v="18"/>
    <x v="5"/>
    <s v="Follow-up"/>
    <d v="2025-12-10T00:00:00"/>
    <d v="2025-12-27T00:00:00"/>
    <s v="Saturday"/>
    <s v="Afternoon"/>
    <x v="3"/>
    <n v="17"/>
    <n v="7"/>
    <x v="4"/>
    <x v="1"/>
    <s v="None"/>
    <n v="7.2"/>
    <x v="9"/>
    <x v="0"/>
  </r>
  <r>
    <s v="HC-01960"/>
    <s v="P-0186"/>
    <s v="Female"/>
    <n v="59"/>
    <x v="3"/>
    <s v="Diagnostic Test"/>
    <d v="2025-03-10T00:00:00"/>
    <d v="2025-04-13T00:00:00"/>
    <s v="Sunday"/>
    <s v="Morning"/>
    <x v="2"/>
    <n v="34"/>
    <n v="3"/>
    <x v="1"/>
    <x v="0"/>
    <s v="WhatsApp"/>
    <n v="7.2"/>
    <x v="24"/>
    <x v="1"/>
  </r>
  <r>
    <s v="HC-01961"/>
    <s v="P-1072"/>
    <s v="Female"/>
    <n v="75"/>
    <x v="4"/>
    <s v="Specialist Consultation"/>
    <d v="2026-03-18T00:00:00"/>
    <d v="2026-04-04T00:00:00"/>
    <s v="Saturday"/>
    <s v="Afternoon"/>
    <x v="3"/>
    <n v="17"/>
    <n v="5"/>
    <x v="1"/>
    <x v="0"/>
    <s v="SMS"/>
    <n v="8"/>
    <x v="11"/>
    <x v="1"/>
  </r>
  <r>
    <s v="HC-01962"/>
    <s v="P-1584"/>
    <s v="Male"/>
    <n v="49"/>
    <x v="2"/>
    <s v="General Consultation"/>
    <d v="2026-05-29T00:00:00"/>
    <d v="2026-06-24T00:00:00"/>
    <s v="Wednesday"/>
    <s v="Afternoon"/>
    <x v="3"/>
    <n v="26"/>
    <n v="3"/>
    <x v="0"/>
    <x v="0"/>
    <s v="WhatsApp"/>
    <n v="9.6999999999999993"/>
    <x v="0"/>
    <x v="0"/>
  </r>
  <r>
    <s v="HC-01963"/>
    <s v="P-1779"/>
    <s v="Female"/>
    <n v="26"/>
    <x v="1"/>
    <s v="General Consultation"/>
    <d v="2025-02-27T00:00:00"/>
    <d v="2025-03-19T00:00:00"/>
    <s v="Wednesday"/>
    <s v="Afternoon"/>
    <x v="3"/>
    <n v="20"/>
    <n v="3"/>
    <x v="1"/>
    <x v="0"/>
    <s v="SMS"/>
    <n v="14.5"/>
    <x v="24"/>
    <x v="0"/>
  </r>
  <r>
    <s v="HC-01964"/>
    <s v="P-1225"/>
    <s v="Female"/>
    <n v="51"/>
    <x v="2"/>
    <s v="General Consultation"/>
    <d v="2026-02-08T00:00:00"/>
    <d v="2026-03-23T00:00:00"/>
    <s v="Monday"/>
    <s v="Morning"/>
    <x v="2"/>
    <n v="43"/>
    <n v="2"/>
    <x v="1"/>
    <x v="0"/>
    <s v="WhatsApp"/>
    <n v="4.2"/>
    <x v="24"/>
    <x v="0"/>
  </r>
  <r>
    <s v="HC-01965"/>
    <s v="P-0545"/>
    <s v="Female"/>
    <n v="33"/>
    <x v="1"/>
    <s v="Diagnostic Test"/>
    <d v="2026-03-19T00:00:00"/>
    <d v="2026-03-23T00:00:00"/>
    <s v="Monday"/>
    <s v="Afternoon"/>
    <x v="1"/>
    <n v="4"/>
    <n v="0"/>
    <x v="0"/>
    <x v="0"/>
    <s v="Email"/>
    <n v="5"/>
    <x v="12"/>
    <x v="0"/>
  </r>
  <r>
    <s v="HC-01966"/>
    <s v="P-0179"/>
    <s v="Male"/>
    <n v="70"/>
    <x v="4"/>
    <s v="General Consultation"/>
    <d v="2025-12-20T00:00:00"/>
    <d v="2026-02-09T00:00:00"/>
    <s v="Monday"/>
    <s v="Afternoon"/>
    <x v="2"/>
    <n v="51"/>
    <n v="5"/>
    <x v="1"/>
    <x v="0"/>
    <s v="Email"/>
    <n v="16.7"/>
    <x v="5"/>
    <x v="1"/>
  </r>
  <r>
    <s v="HC-01967"/>
    <s v="P-1233"/>
    <s v="Female"/>
    <n v="56"/>
    <x v="3"/>
    <s v="General Consultation"/>
    <d v="2025-05-28T00:00:00"/>
    <d v="2025-07-22T00:00:00"/>
    <s v="Tuesday"/>
    <s v="Morning"/>
    <x v="2"/>
    <n v="55"/>
    <n v="3"/>
    <x v="0"/>
    <x v="0"/>
    <s v="SMS"/>
    <n v="9.3000000000000007"/>
    <x v="7"/>
    <x v="0"/>
  </r>
  <r>
    <s v="HC-01968"/>
    <s v="P-0770"/>
    <s v="Male"/>
    <n v="39"/>
    <x v="0"/>
    <s v="Follow-up"/>
    <d v="2025-08-10T00:00:00"/>
    <d v="2025-09-13T00:00:00"/>
    <s v="Saturday"/>
    <s v="Morning"/>
    <x v="2"/>
    <n v="34"/>
    <n v="3"/>
    <x v="1"/>
    <x v="0"/>
    <s v="WhatsApp"/>
    <n v="6.7"/>
    <x v="9"/>
    <x v="0"/>
  </r>
  <r>
    <s v="HC-01969"/>
    <s v="P-0763"/>
    <s v="Male"/>
    <n v="57"/>
    <x v="3"/>
    <s v="Follow-up"/>
    <d v="2026-03-02T00:00:00"/>
    <d v="2026-04-04T00:00:00"/>
    <s v="Saturday"/>
    <s v="Morning"/>
    <x v="2"/>
    <n v="33"/>
    <n v="2"/>
    <x v="0"/>
    <x v="1"/>
    <s v="None"/>
    <n v="10.6"/>
    <x v="11"/>
    <x v="0"/>
  </r>
  <r>
    <s v="HC-01970"/>
    <s v="P-0470"/>
    <s v="Female"/>
    <n v="60"/>
    <x v="3"/>
    <s v="General Consultation"/>
    <d v="2025-02-11T00:00:00"/>
    <d v="2025-03-25T00:00:00"/>
    <s v="Tuesday"/>
    <s v="Evening"/>
    <x v="2"/>
    <n v="42"/>
    <n v="8"/>
    <x v="1"/>
    <x v="0"/>
    <s v="WhatsApp"/>
    <n v="5.9"/>
    <x v="37"/>
    <x v="0"/>
  </r>
  <r>
    <s v="HC-01971"/>
    <s v="P-0140"/>
    <s v="Female"/>
    <n v="60"/>
    <x v="3"/>
    <s v="Follow-up"/>
    <d v="2026-03-17T00:00:00"/>
    <d v="2026-03-29T00:00:00"/>
    <s v="Sunday"/>
    <s v="Morning"/>
    <x v="0"/>
    <n v="12"/>
    <n v="1"/>
    <x v="0"/>
    <x v="0"/>
    <s v="WhatsApp"/>
    <n v="16.100000000000001"/>
    <x v="6"/>
    <x v="0"/>
  </r>
  <r>
    <s v="HC-01972"/>
    <s v="P-0872"/>
    <s v="Male"/>
    <n v="41"/>
    <x v="0"/>
    <s v="General Consultation"/>
    <d v="2026-04-03T00:00:00"/>
    <d v="2026-05-18T00:00:00"/>
    <s v="Monday"/>
    <s v="Morning"/>
    <x v="2"/>
    <n v="45"/>
    <n v="2"/>
    <x v="1"/>
    <x v="0"/>
    <s v="WhatsApp"/>
    <n v="5.3"/>
    <x v="47"/>
    <x v="1"/>
  </r>
  <r>
    <s v="HC-01973"/>
    <s v="P-0699"/>
    <s v="Female"/>
    <n v="53"/>
    <x v="2"/>
    <s v="General Consultation"/>
    <d v="2025-12-26T00:00:00"/>
    <d v="2026-01-08T00:00:00"/>
    <s v="Thursday"/>
    <s v="Morning"/>
    <x v="0"/>
    <n v="13"/>
    <n v="2"/>
    <x v="1"/>
    <x v="0"/>
    <s v="SMS"/>
    <n v="5.8"/>
    <x v="18"/>
    <x v="0"/>
  </r>
  <r>
    <s v="HC-01974"/>
    <s v="P-0750"/>
    <s v="Female"/>
    <n v="20"/>
    <x v="5"/>
    <s v="General Consultation"/>
    <d v="2025-05-26T00:00:00"/>
    <d v="2025-07-06T00:00:00"/>
    <s v="Sunday"/>
    <s v="Morning"/>
    <x v="2"/>
    <n v="41"/>
    <n v="1"/>
    <x v="0"/>
    <x v="0"/>
    <s v="WhatsApp"/>
    <n v="6.5"/>
    <x v="10"/>
    <x v="0"/>
  </r>
  <r>
    <s v="HC-01975"/>
    <s v="P-0196"/>
    <s v="Female"/>
    <n v="43"/>
    <x v="0"/>
    <s v="General Consultation"/>
    <d v="2025-10-15T00:00:00"/>
    <d v="2025-11-02T00:00:00"/>
    <s v="Sunday"/>
    <s v="Morning"/>
    <x v="3"/>
    <n v="18"/>
    <n v="2"/>
    <x v="0"/>
    <x v="0"/>
    <s v="WhatsApp"/>
    <n v="11.6"/>
    <x v="27"/>
    <x v="1"/>
  </r>
  <r>
    <s v="HC-01976"/>
    <s v="P-1399"/>
    <s v="Male"/>
    <n v="41"/>
    <x v="0"/>
    <s v="Diagnostic Test"/>
    <d v="2024-12-14T00:00:00"/>
    <d v="2025-01-28T00:00:00"/>
    <s v="Tuesday"/>
    <s v="Afternoon"/>
    <x v="2"/>
    <n v="45"/>
    <n v="4"/>
    <x v="0"/>
    <x v="0"/>
    <s v="WhatsApp"/>
    <n v="17.3"/>
    <x v="47"/>
    <x v="1"/>
  </r>
  <r>
    <s v="HC-01977"/>
    <s v="P-1107"/>
    <s v="Male"/>
    <n v="51"/>
    <x v="2"/>
    <s v="Follow-up"/>
    <d v="2026-04-06T00:00:00"/>
    <d v="2026-05-24T00:00:00"/>
    <s v="Sunday"/>
    <s v="Afternoon"/>
    <x v="2"/>
    <n v="48"/>
    <n v="1"/>
    <x v="0"/>
    <x v="1"/>
    <s v="None"/>
    <n v="12.4"/>
    <x v="49"/>
    <x v="0"/>
  </r>
  <r>
    <s v="HC-01978"/>
    <s v="P-1022"/>
    <s v="Female"/>
    <n v="77"/>
    <x v="4"/>
    <s v="Specialist Consultation"/>
    <d v="2025-06-24T00:00:00"/>
    <d v="2025-07-06T00:00:00"/>
    <s v="Sunday"/>
    <s v="Afternoon"/>
    <x v="0"/>
    <n v="12"/>
    <n v="3"/>
    <x v="1"/>
    <x v="0"/>
    <s v="SMS"/>
    <n v="14.6"/>
    <x v="32"/>
    <x v="1"/>
  </r>
  <r>
    <s v="HC-01979"/>
    <s v="P-0101"/>
    <s v="Female"/>
    <n v="78"/>
    <x v="4"/>
    <s v="General Consultation"/>
    <d v="2024-12-26T00:00:00"/>
    <d v="2025-02-01T00:00:00"/>
    <s v="Saturday"/>
    <s v="Morning"/>
    <x v="2"/>
    <n v="37"/>
    <n v="1"/>
    <x v="0"/>
    <x v="1"/>
    <s v="None"/>
    <n v="2.5"/>
    <x v="7"/>
    <x v="0"/>
  </r>
  <r>
    <s v="HC-01980"/>
    <s v="P-0795"/>
    <s v="Female"/>
    <n v="48"/>
    <x v="2"/>
    <s v="Specialist Consultation"/>
    <d v="2026-02-08T00:00:00"/>
    <d v="2026-03-10T00:00:00"/>
    <s v="Tuesday"/>
    <s v="Afternoon"/>
    <x v="3"/>
    <n v="30"/>
    <n v="3"/>
    <x v="0"/>
    <x v="1"/>
    <s v="None"/>
    <n v="2.4"/>
    <x v="36"/>
    <x v="0"/>
  </r>
  <r>
    <s v="HC-01981"/>
    <s v="P-0635"/>
    <s v="Male"/>
    <n v="58"/>
    <x v="3"/>
    <s v="Diagnostic Test"/>
    <d v="2025-12-09T00:00:00"/>
    <d v="2025-12-26T00:00:00"/>
    <s v="Friday"/>
    <s v="Afternoon"/>
    <x v="3"/>
    <n v="17"/>
    <n v="1"/>
    <x v="0"/>
    <x v="0"/>
    <s v="WhatsApp"/>
    <n v="3.1"/>
    <x v="4"/>
    <x v="2"/>
  </r>
  <r>
    <s v="HC-01982"/>
    <s v="P-0314"/>
    <s v="Female"/>
    <n v="24"/>
    <x v="5"/>
    <s v="General Consultation"/>
    <d v="2025-11-01T00:00:00"/>
    <d v="2025-12-06T00:00:00"/>
    <s v="Saturday"/>
    <s v="Afternoon"/>
    <x v="2"/>
    <n v="35"/>
    <n v="3"/>
    <x v="0"/>
    <x v="1"/>
    <s v="None"/>
    <n v="8.1999999999999993"/>
    <x v="24"/>
    <x v="1"/>
  </r>
  <r>
    <s v="HC-01983"/>
    <s v="P-1671"/>
    <s v="Prefer not to say"/>
    <n v="48"/>
    <x v="2"/>
    <s v="Diagnostic Test"/>
    <d v="2024-12-01T00:00:00"/>
    <d v="2025-01-30T00:00:00"/>
    <s v="Thursday"/>
    <s v="Afternoon"/>
    <x v="2"/>
    <n v="60"/>
    <n v="1"/>
    <x v="0"/>
    <x v="0"/>
    <s v="WhatsApp"/>
    <n v="6.2"/>
    <x v="7"/>
    <x v="0"/>
  </r>
  <r>
    <s v="HC-01984"/>
    <s v="P-1702"/>
    <s v="Male"/>
    <n v="61"/>
    <x v="3"/>
    <s v="Follow-up"/>
    <d v="2026-02-14T00:00:00"/>
    <d v="2026-02-14T00:00:00"/>
    <s v="Saturday"/>
    <s v="Morning"/>
    <x v="1"/>
    <n v="0"/>
    <n v="5"/>
    <x v="2"/>
    <x v="0"/>
    <s v="SMS"/>
    <n v="3.2"/>
    <x v="23"/>
    <x v="0"/>
  </r>
  <r>
    <s v="HC-01985"/>
    <s v="P-1677"/>
    <s v="Female"/>
    <n v="61"/>
    <x v="3"/>
    <s v="Specialist Consultation"/>
    <d v="2025-10-17T00:00:00"/>
    <d v="2025-12-14T00:00:00"/>
    <s v="Sunday"/>
    <s v="Afternoon"/>
    <x v="2"/>
    <n v="58"/>
    <n v="3"/>
    <x v="0"/>
    <x v="0"/>
    <s v="Email"/>
    <n v="0.5"/>
    <x v="25"/>
    <x v="0"/>
  </r>
  <r>
    <s v="HC-01986"/>
    <s v="P-0546"/>
    <s v="Male"/>
    <n v="78"/>
    <x v="4"/>
    <s v="General Consultation"/>
    <d v="2026-01-17T00:00:00"/>
    <d v="2026-03-10T00:00:00"/>
    <s v="Tuesday"/>
    <s v="Afternoon"/>
    <x v="2"/>
    <n v="52"/>
    <n v="6"/>
    <x v="0"/>
    <x v="0"/>
    <s v="SMS"/>
    <n v="12.1"/>
    <x v="27"/>
    <x v="1"/>
  </r>
  <r>
    <s v="HC-01987"/>
    <s v="P-0312"/>
    <s v="Male"/>
    <n v="47"/>
    <x v="2"/>
    <s v="Follow-up"/>
    <d v="2026-02-24T00:00:00"/>
    <d v="2026-03-28T00:00:00"/>
    <s v="Saturday"/>
    <s v="Morning"/>
    <x v="2"/>
    <n v="32"/>
    <n v="5"/>
    <x v="1"/>
    <x v="0"/>
    <s v="SMS"/>
    <n v="19.2"/>
    <x v="9"/>
    <x v="0"/>
  </r>
  <r>
    <s v="HC-01988"/>
    <s v="P-0112"/>
    <s v="Male"/>
    <n v="75"/>
    <x v="4"/>
    <s v="Follow-up"/>
    <d v="2025-03-20T00:00:00"/>
    <d v="2025-04-26T00:00:00"/>
    <s v="Saturday"/>
    <s v="Afternoon"/>
    <x v="2"/>
    <n v="37"/>
    <n v="2"/>
    <x v="0"/>
    <x v="0"/>
    <s v="SMS"/>
    <n v="14.9"/>
    <x v="5"/>
    <x v="0"/>
  </r>
  <r>
    <s v="HC-01989"/>
    <s v="P-0976"/>
    <s v="Female"/>
    <n v="79"/>
    <x v="4"/>
    <s v="Diagnostic Test"/>
    <d v="2025-04-04T00:00:00"/>
    <d v="2025-04-26T00:00:00"/>
    <s v="Saturday"/>
    <s v="Morning"/>
    <x v="3"/>
    <n v="22"/>
    <n v="5"/>
    <x v="1"/>
    <x v="0"/>
    <s v="Email"/>
    <n v="7.9"/>
    <x v="20"/>
    <x v="0"/>
  </r>
  <r>
    <s v="HC-01990"/>
    <s v="P-0534"/>
    <s v="Male"/>
    <n v="54"/>
    <x v="2"/>
    <s v="Diagnostic Test"/>
    <d v="2026-05-13T00:00:00"/>
    <d v="2026-05-20T00:00:00"/>
    <s v="Wednesday"/>
    <s v="Morning"/>
    <x v="1"/>
    <n v="7"/>
    <n v="1"/>
    <x v="1"/>
    <x v="0"/>
    <s v="SMS"/>
    <n v="9.9"/>
    <x v="15"/>
    <x v="1"/>
  </r>
  <r>
    <s v="HC-01991"/>
    <s v="P-1636"/>
    <s v="Female"/>
    <n v="23"/>
    <x v="5"/>
    <s v="General Consultation"/>
    <d v="2025-09-13T00:00:00"/>
    <d v="2025-10-17T00:00:00"/>
    <s v="Friday"/>
    <s v="Afternoon"/>
    <x v="2"/>
    <n v="34"/>
    <n v="2"/>
    <x v="0"/>
    <x v="0"/>
    <s v="WhatsApp"/>
    <n v="5.3"/>
    <x v="7"/>
    <x v="1"/>
  </r>
  <r>
    <s v="HC-01992"/>
    <s v="P-0331"/>
    <s v="Male"/>
    <n v="41"/>
    <x v="0"/>
    <s v="Diagnostic Test"/>
    <d v="2025-07-10T00:00:00"/>
    <d v="2025-08-28T00:00:00"/>
    <s v="Thursday"/>
    <s v="Afternoon"/>
    <x v="2"/>
    <n v="49"/>
    <n v="5"/>
    <x v="2"/>
    <x v="0"/>
    <s v="SMS"/>
    <n v="8.5"/>
    <x v="7"/>
    <x v="1"/>
  </r>
  <r>
    <s v="HC-01993"/>
    <s v="P-1693"/>
    <s v="Female"/>
    <n v="66"/>
    <x v="4"/>
    <s v="Diagnostic Test"/>
    <d v="2025-05-23T00:00:00"/>
    <d v="2025-06-06T00:00:00"/>
    <s v="Friday"/>
    <s v="Evening"/>
    <x v="0"/>
    <n v="14"/>
    <n v="1"/>
    <x v="0"/>
    <x v="1"/>
    <s v="None"/>
    <n v="8.1"/>
    <x v="19"/>
    <x v="0"/>
  </r>
  <r>
    <s v="HC-01994"/>
    <s v="P-0661"/>
    <s v="Female"/>
    <n v="54"/>
    <x v="2"/>
    <s v="Follow-up"/>
    <d v="2025-11-02T00:00:00"/>
    <d v="2025-12-15T00:00:00"/>
    <s v="Monday"/>
    <s v="Evening"/>
    <x v="2"/>
    <n v="43"/>
    <n v="5"/>
    <x v="1"/>
    <x v="1"/>
    <s v="None"/>
    <n v="11.1"/>
    <x v="37"/>
    <x v="0"/>
  </r>
  <r>
    <s v="HC-01995"/>
    <s v="P-1593"/>
    <s v="Male"/>
    <n v="76"/>
    <x v="4"/>
    <s v="General Consultation"/>
    <d v="2026-01-02T00:00:00"/>
    <d v="2026-02-16T00:00:00"/>
    <s v="Monday"/>
    <s v="Morning"/>
    <x v="2"/>
    <n v="45"/>
    <n v="0"/>
    <x v="0"/>
    <x v="0"/>
    <s v="SMS"/>
    <n v="5.0999999999999996"/>
    <x v="0"/>
    <x v="0"/>
  </r>
  <r>
    <s v="HC-01996"/>
    <s v="P-1472"/>
    <s v="Female"/>
    <n v="69"/>
    <x v="4"/>
    <s v="General Consultation"/>
    <d v="2024-11-17T00:00:00"/>
    <d v="2025-01-02T00:00:00"/>
    <s v="Thursday"/>
    <s v="Afternoon"/>
    <x v="2"/>
    <n v="46"/>
    <n v="3"/>
    <x v="1"/>
    <x v="1"/>
    <s v="None"/>
    <n v="30"/>
    <x v="8"/>
    <x v="0"/>
  </r>
  <r>
    <s v="HC-01997"/>
    <s v="P-1233"/>
    <s v="Female"/>
    <n v="21"/>
    <x v="5"/>
    <s v="General Consultation"/>
    <d v="2025-10-09T00:00:00"/>
    <d v="2025-10-29T00:00:00"/>
    <s v="Wednesday"/>
    <s v="Evening"/>
    <x v="3"/>
    <n v="20"/>
    <n v="3"/>
    <x v="3"/>
    <x v="1"/>
    <s v="None"/>
    <n v="3.5"/>
    <x v="20"/>
    <x v="0"/>
  </r>
  <r>
    <s v="HC-01998"/>
    <s v="P-0681"/>
    <s v="Male"/>
    <n v="72"/>
    <x v="4"/>
    <s v="General Consultation"/>
    <d v="2026-06-04T00:00:00"/>
    <d v="2026-06-27T00:00:00"/>
    <s v="Saturday"/>
    <s v="Morning"/>
    <x v="3"/>
    <n v="23"/>
    <n v="4"/>
    <x v="0"/>
    <x v="0"/>
    <s v="SMS"/>
    <n v="9.9"/>
    <x v="23"/>
    <x v="1"/>
  </r>
  <r>
    <s v="HC-01999"/>
    <s v="P-1331"/>
    <s v="Female"/>
    <n v="40"/>
    <x v="0"/>
    <s v="Diagnostic Test"/>
    <d v="2025-05-09T00:00:00"/>
    <d v="2025-06-03T00:00:00"/>
    <s v="Tuesday"/>
    <s v="Afternoon"/>
    <x v="3"/>
    <n v="25"/>
    <n v="5"/>
    <x v="2"/>
    <x v="1"/>
    <s v="None"/>
    <n v="13.3"/>
    <x v="25"/>
    <x v="1"/>
  </r>
  <r>
    <s v="HC-02000"/>
    <s v="P-0826"/>
    <s v="Male"/>
    <n v="69"/>
    <x v="4"/>
    <s v="General Consultation"/>
    <d v="2025-04-12T00:00:00"/>
    <d v="2025-06-03T00:00:00"/>
    <s v="Tuesday"/>
    <s v="Evening"/>
    <x v="2"/>
    <n v="52"/>
    <n v="4"/>
    <x v="1"/>
    <x v="1"/>
    <s v="None"/>
    <n v="3.7"/>
    <x v="24"/>
    <x v="1"/>
  </r>
  <r>
    <s v="HC-02001"/>
    <s v="P-1740"/>
    <s v="Male"/>
    <n v="49"/>
    <x v="2"/>
    <s v="Follow-up"/>
    <d v="2026-03-02T00:00:00"/>
    <d v="2026-04-25T00:00:00"/>
    <s v="Saturday"/>
    <s v="Morning"/>
    <x v="2"/>
    <n v="54"/>
    <n v="3"/>
    <x v="2"/>
    <x v="1"/>
    <s v="None"/>
    <n v="2.2000000000000002"/>
    <x v="26"/>
    <x v="0"/>
  </r>
  <r>
    <s v="HC-02002"/>
    <s v="P-1432"/>
    <s v="Female"/>
    <n v="46"/>
    <x v="2"/>
    <s v="Follow-up"/>
    <d v="2025-01-09T00:00:00"/>
    <d v="2025-02-03T00:00:00"/>
    <s v="Monday"/>
    <s v="Evening"/>
    <x v="3"/>
    <n v="25"/>
    <n v="1"/>
    <x v="0"/>
    <x v="0"/>
    <s v="SMS"/>
    <n v="13.4"/>
    <x v="46"/>
    <x v="0"/>
  </r>
  <r>
    <s v="HC-02003"/>
    <s v="P-1016"/>
    <s v="Male"/>
    <n v="22"/>
    <x v="5"/>
    <s v="Follow-up"/>
    <d v="2025-06-08T00:00:00"/>
    <d v="2025-08-06T00:00:00"/>
    <s v="Wednesday"/>
    <s v="Afternoon"/>
    <x v="2"/>
    <n v="59"/>
    <n v="7"/>
    <x v="2"/>
    <x v="1"/>
    <s v="None"/>
    <n v="30.3"/>
    <x v="20"/>
    <x v="1"/>
  </r>
  <r>
    <s v="HC-02004"/>
    <s v="P-0916"/>
    <s v="Prefer not to say"/>
    <n v="25"/>
    <x v="1"/>
    <s v="General Consultation"/>
    <d v="2025-08-05T00:00:00"/>
    <d v="2025-09-08T00:00:00"/>
    <s v="Monday"/>
    <s v="Evening"/>
    <x v="2"/>
    <n v="34"/>
    <n v="4"/>
    <x v="2"/>
    <x v="0"/>
    <s v="SMS"/>
    <n v="1.7"/>
    <x v="26"/>
    <x v="1"/>
  </r>
  <r>
    <s v="HC-02005"/>
    <s v="P-0128"/>
    <s v="Male"/>
    <n v="55"/>
    <x v="3"/>
    <s v="Follow-up"/>
    <d v="2026-02-17T00:00:00"/>
    <d v="2026-03-12T00:00:00"/>
    <s v="Thursday"/>
    <s v="Afternoon"/>
    <x v="3"/>
    <n v="23"/>
    <n v="4"/>
    <x v="1"/>
    <x v="1"/>
    <s v="None"/>
    <n v="30.2"/>
    <x v="19"/>
    <x v="0"/>
  </r>
  <r>
    <s v="HC-02006"/>
    <s v="P-1305"/>
    <s v="Male"/>
    <n v="53"/>
    <x v="2"/>
    <s v="Follow-up"/>
    <d v="2025-03-12T00:00:00"/>
    <d v="2025-03-12T00:00:00"/>
    <s v="Wednesday"/>
    <s v="Afternoon"/>
    <x v="1"/>
    <n v="0"/>
    <n v="9"/>
    <x v="3"/>
    <x v="0"/>
    <s v="SMS"/>
    <n v="13.7"/>
    <x v="11"/>
    <x v="1"/>
  </r>
  <r>
    <s v="HC-02007"/>
    <s v="P-1457"/>
    <s v="Male"/>
    <n v="52"/>
    <x v="2"/>
    <s v="Follow-up"/>
    <d v="2025-07-19T00:00:00"/>
    <d v="2025-08-25T00:00:00"/>
    <s v="Monday"/>
    <s v="Afternoon"/>
    <x v="2"/>
    <n v="37"/>
    <n v="1"/>
    <x v="0"/>
    <x v="1"/>
    <s v="None"/>
    <n v="8.4"/>
    <x v="19"/>
    <x v="0"/>
  </r>
  <r>
    <s v="HC-02008"/>
    <s v="P-0869"/>
    <s v="Male"/>
    <n v="27"/>
    <x v="1"/>
    <s v="General Consultation"/>
    <d v="2025-02-14T00:00:00"/>
    <d v="2025-03-25T00:00:00"/>
    <s v="Tuesday"/>
    <s v="Morning"/>
    <x v="2"/>
    <n v="39"/>
    <n v="6"/>
    <x v="0"/>
    <x v="1"/>
    <s v="None"/>
    <n v="14.9"/>
    <x v="9"/>
    <x v="1"/>
  </r>
  <r>
    <s v="HC-02009"/>
    <s v="P-0793"/>
    <s v="Female"/>
    <n v="50"/>
    <x v="2"/>
    <s v="Specialist Consultation"/>
    <d v="2026-01-07T00:00:00"/>
    <d v="2026-03-07T00:00:00"/>
    <s v="Saturday"/>
    <s v="Afternoon"/>
    <x v="2"/>
    <n v="59"/>
    <n v="5"/>
    <x v="1"/>
    <x v="0"/>
    <s v="Email"/>
    <n v="17.7"/>
    <x v="7"/>
    <x v="0"/>
  </r>
  <r>
    <s v="HC-02010"/>
    <s v="P-0621"/>
    <s v="Male"/>
    <n v="21"/>
    <x v="5"/>
    <s v="General Consultation"/>
    <d v="2025-10-30T00:00:00"/>
    <d v="2025-12-12T00:00:00"/>
    <s v="Friday"/>
    <s v="Evening"/>
    <x v="2"/>
    <n v="43"/>
    <n v="5"/>
    <x v="0"/>
    <x v="0"/>
    <s v="SMS"/>
    <n v="7.5"/>
    <x v="24"/>
    <x v="1"/>
  </r>
  <r>
    <s v="HC-02011"/>
    <s v="P-0961"/>
    <s v="Female"/>
    <n v="27"/>
    <x v="1"/>
    <s v="Follow-up"/>
    <d v="2025-09-28T00:00:00"/>
    <d v="2025-09-29T00:00:00"/>
    <s v="Monday"/>
    <s v="Evening"/>
    <x v="1"/>
    <n v="1"/>
    <n v="2"/>
    <x v="0"/>
    <x v="0"/>
    <s v="SMS"/>
    <n v="35.700000000000003"/>
    <x v="17"/>
    <x v="0"/>
  </r>
  <r>
    <s v="HC-02012"/>
    <s v="P-0906"/>
    <s v="Female"/>
    <n v="49"/>
    <x v="2"/>
    <s v="Follow-up"/>
    <d v="2025-06-30T00:00:00"/>
    <d v="2025-08-03T00:00:00"/>
    <s v="Sunday"/>
    <s v="Evening"/>
    <x v="2"/>
    <n v="34"/>
    <n v="4"/>
    <x v="2"/>
    <x v="0"/>
    <s v="SMS"/>
    <n v="29.6"/>
    <x v="16"/>
    <x v="0"/>
  </r>
  <r>
    <s v="HC-02013"/>
    <s v="P-1522"/>
    <s v="Female"/>
    <n v="56"/>
    <x v="3"/>
    <s v="General Consultation"/>
    <d v="2025-02-08T00:00:00"/>
    <d v="2025-03-25T00:00:00"/>
    <s v="Tuesday"/>
    <s v="Afternoon"/>
    <x v="2"/>
    <n v="45"/>
    <n v="7"/>
    <x v="1"/>
    <x v="1"/>
    <s v="None"/>
    <n v="5.6"/>
    <x v="7"/>
    <x v="0"/>
  </r>
  <r>
    <s v="HC-02014"/>
    <s v="P-1762"/>
    <s v="Male"/>
    <n v="59"/>
    <x v="3"/>
    <s v="Specialist Consultation"/>
    <d v="2026-04-19T00:00:00"/>
    <d v="2026-05-19T00:00:00"/>
    <s v="Tuesday"/>
    <s v="Afternoon"/>
    <x v="3"/>
    <n v="30"/>
    <n v="3"/>
    <x v="2"/>
    <x v="1"/>
    <s v="None"/>
    <n v="10.6"/>
    <x v="27"/>
    <x v="0"/>
  </r>
  <r>
    <s v="HC-02015"/>
    <s v="P-0539"/>
    <s v="Female"/>
    <n v="79"/>
    <x v="4"/>
    <s v="General Consultation"/>
    <d v="2025-11-24T00:00:00"/>
    <d v="2025-12-20T00:00:00"/>
    <s v="Saturday"/>
    <s v="Afternoon"/>
    <x v="3"/>
    <n v="26"/>
    <n v="2"/>
    <x v="0"/>
    <x v="1"/>
    <s v="None"/>
    <n v="3.6"/>
    <x v="20"/>
    <x v="0"/>
  </r>
  <r>
    <s v="HC-02016"/>
    <s v="P-0195"/>
    <s v="Female"/>
    <n v="71"/>
    <x v="4"/>
    <s v="Diagnostic Test"/>
    <d v="2025-05-06T00:00:00"/>
    <d v="2025-06-24T00:00:00"/>
    <s v="Tuesday"/>
    <s v="Afternoon"/>
    <x v="2"/>
    <n v="49"/>
    <n v="5"/>
    <x v="0"/>
    <x v="1"/>
    <s v="None"/>
    <n v="2.9"/>
    <x v="8"/>
    <x v="1"/>
  </r>
  <r>
    <s v="HC-02017"/>
    <s v="P-0939"/>
    <s v="Female"/>
    <n v="41"/>
    <x v="0"/>
    <s v="Diagnostic Test"/>
    <d v="2025-07-09T00:00:00"/>
    <d v="2025-08-15T00:00:00"/>
    <s v="Friday"/>
    <s v="Afternoon"/>
    <x v="2"/>
    <n v="37"/>
    <n v="2"/>
    <x v="0"/>
    <x v="0"/>
    <s v="WhatsApp"/>
    <n v="6.9"/>
    <x v="18"/>
    <x v="0"/>
  </r>
  <r>
    <s v="HC-02018"/>
    <s v="P-1595"/>
    <s v="Female"/>
    <n v="67"/>
    <x v="4"/>
    <s v="General Consultation"/>
    <d v="2025-12-22T00:00:00"/>
    <d v="2026-02-01T00:00:00"/>
    <s v="Sunday"/>
    <s v="Morning"/>
    <x v="2"/>
    <n v="41"/>
    <n v="4"/>
    <x v="2"/>
    <x v="0"/>
    <s v="WhatsApp"/>
    <n v="10.3"/>
    <x v="42"/>
    <x v="0"/>
  </r>
  <r>
    <s v="HC-02019"/>
    <s v="P-0398"/>
    <s v="Male"/>
    <n v="24"/>
    <x v="5"/>
    <s v="General Consultation"/>
    <d v="2025-12-31T00:00:00"/>
    <d v="2026-01-28T00:00:00"/>
    <s v="Wednesday"/>
    <s v="Morning"/>
    <x v="3"/>
    <n v="28"/>
    <n v="1"/>
    <x v="0"/>
    <x v="0"/>
    <s v="SMS"/>
    <n v="4.5"/>
    <x v="18"/>
    <x v="0"/>
  </r>
  <r>
    <s v="HC-02020"/>
    <s v="P-1127"/>
    <s v="Female"/>
    <n v="72"/>
    <x v="4"/>
    <s v="General Consultation"/>
    <d v="2025-08-24T00:00:00"/>
    <d v="2025-09-09T00:00:00"/>
    <s v="Tuesday"/>
    <s v="Afternoon"/>
    <x v="3"/>
    <n v="16"/>
    <n v="3"/>
    <x v="2"/>
    <x v="0"/>
    <s v="WhatsApp"/>
    <n v="14.6"/>
    <x v="26"/>
    <x v="1"/>
  </r>
  <r>
    <s v="HC-02021"/>
    <s v="P-0123"/>
    <s v="Female"/>
    <n v="42"/>
    <x v="0"/>
    <s v="Diagnostic Test"/>
    <d v="2025-05-15T00:00:00"/>
    <d v="2025-06-15T00:00:00"/>
    <s v="Sunday"/>
    <s v="Morning"/>
    <x v="2"/>
    <n v="31"/>
    <n v="3"/>
    <x v="0"/>
    <x v="1"/>
    <s v="None"/>
    <n v="10.9"/>
    <x v="38"/>
    <x v="0"/>
  </r>
  <r>
    <s v="HC-02022"/>
    <s v="P-1743"/>
    <s v="Male"/>
    <n v="65"/>
    <x v="4"/>
    <s v="Follow-up"/>
    <d v="2025-10-30T00:00:00"/>
    <d v="2025-12-27T00:00:00"/>
    <s v="Saturday"/>
    <s v="Morning"/>
    <x v="2"/>
    <n v="58"/>
    <n v="5"/>
    <x v="0"/>
    <x v="1"/>
    <s v="None"/>
    <n v="8.9"/>
    <x v="12"/>
    <x v="0"/>
  </r>
  <r>
    <s v="HC-02023"/>
    <s v="P-0252"/>
    <s v="Female"/>
    <n v="79"/>
    <x v="4"/>
    <s v="General Consultation"/>
    <d v="2025-11-20T00:00:00"/>
    <d v="2025-12-26T00:00:00"/>
    <s v="Friday"/>
    <s v="Morning"/>
    <x v="2"/>
    <n v="36"/>
    <n v="4"/>
    <x v="1"/>
    <x v="0"/>
    <s v="WhatsApp"/>
    <n v="4.9000000000000004"/>
    <x v="25"/>
    <x v="0"/>
  </r>
  <r>
    <s v="HC-02024"/>
    <s v="P-0450"/>
    <s v="Female"/>
    <n v="62"/>
    <x v="3"/>
    <s v="Follow-up"/>
    <d v="2025-10-12T00:00:00"/>
    <d v="2025-11-24T00:00:00"/>
    <s v="Monday"/>
    <s v="Afternoon"/>
    <x v="2"/>
    <n v="43"/>
    <n v="2"/>
    <x v="0"/>
    <x v="0"/>
    <s v="WhatsApp"/>
    <n v="5.3"/>
    <x v="13"/>
    <x v="0"/>
  </r>
  <r>
    <s v="HC-02025"/>
    <s v="P-0464"/>
    <s v="Male"/>
    <n v="75"/>
    <x v="4"/>
    <s v="General Consultation"/>
    <d v="2025-02-02T00:00:00"/>
    <d v="2025-02-09T00:00:00"/>
    <s v="Sunday"/>
    <s v="Evening"/>
    <x v="1"/>
    <n v="7"/>
    <n v="2"/>
    <x v="0"/>
    <x v="0"/>
    <s v="SMS"/>
    <n v="7.2"/>
    <x v="27"/>
    <x v="1"/>
  </r>
  <r>
    <s v="HC-02026"/>
    <s v="P-0687"/>
    <s v="Male"/>
    <n v="18"/>
    <x v="5"/>
    <s v="Follow-up"/>
    <d v="2025-07-18T00:00:00"/>
    <d v="2025-09-16T00:00:00"/>
    <s v="Tuesday"/>
    <s v="Afternoon"/>
    <x v="2"/>
    <n v="60"/>
    <n v="2"/>
    <x v="0"/>
    <x v="0"/>
    <s v="SMS"/>
    <n v="5.6"/>
    <x v="5"/>
    <x v="0"/>
  </r>
  <r>
    <s v="HC-02027"/>
    <s v="P-1400"/>
    <s v="Female"/>
    <n v="28"/>
    <x v="1"/>
    <s v="Follow-up"/>
    <d v="2025-11-18T00:00:00"/>
    <d v="2025-12-02T00:00:00"/>
    <s v="Tuesday"/>
    <s v="Evening"/>
    <x v="0"/>
    <n v="14"/>
    <n v="3"/>
    <x v="0"/>
    <x v="0"/>
    <s v="WhatsApp"/>
    <n v="6.6"/>
    <x v="19"/>
    <x v="1"/>
  </r>
  <r>
    <s v="HC-02028"/>
    <s v="P-0198"/>
    <s v="Male"/>
    <n v="57"/>
    <x v="3"/>
    <s v="General Consultation"/>
    <d v="2026-04-05T00:00:00"/>
    <d v="2026-06-03T00:00:00"/>
    <s v="Wednesday"/>
    <s v="Evening"/>
    <x v="2"/>
    <n v="59"/>
    <n v="5"/>
    <x v="2"/>
    <x v="0"/>
    <s v="SMS"/>
    <n v="5"/>
    <x v="22"/>
    <x v="2"/>
  </r>
  <r>
    <s v="HC-02029"/>
    <s v="P-0252"/>
    <s v="Male"/>
    <n v="52"/>
    <x v="2"/>
    <s v="Specialist Consultation"/>
    <d v="2025-09-17T00:00:00"/>
    <d v="2025-10-14T00:00:00"/>
    <s v="Tuesday"/>
    <s v="Morning"/>
    <x v="3"/>
    <n v="27"/>
    <n v="3"/>
    <x v="0"/>
    <x v="0"/>
    <s v="WhatsApp"/>
    <n v="11.6"/>
    <x v="19"/>
    <x v="0"/>
  </r>
  <r>
    <s v="HC-02030"/>
    <s v="P-0095"/>
    <s v="Male"/>
    <n v="25"/>
    <x v="1"/>
    <s v="General Consultation"/>
    <d v="2025-05-12T00:00:00"/>
    <d v="2025-07-07T00:00:00"/>
    <s v="Monday"/>
    <s v="Morning"/>
    <x v="2"/>
    <n v="56"/>
    <n v="3"/>
    <x v="0"/>
    <x v="1"/>
    <s v="None"/>
    <n v="3.3"/>
    <x v="31"/>
    <x v="0"/>
  </r>
  <r>
    <s v="HC-02031"/>
    <s v="P-0159"/>
    <s v="Female"/>
    <n v="63"/>
    <x v="3"/>
    <s v="Follow-up"/>
    <d v="2025-09-07T00:00:00"/>
    <d v="2025-10-31T00:00:00"/>
    <s v="Friday"/>
    <s v="Morning"/>
    <x v="2"/>
    <n v="54"/>
    <n v="2"/>
    <x v="0"/>
    <x v="0"/>
    <s v="WhatsApp"/>
    <n v="15.9"/>
    <x v="8"/>
    <x v="0"/>
  </r>
  <r>
    <s v="HC-02032"/>
    <s v="P-0837"/>
    <s v="Male"/>
    <n v="21"/>
    <x v="5"/>
    <s v="Follow-up"/>
    <d v="2025-02-20T00:00:00"/>
    <d v="2025-04-07T00:00:00"/>
    <s v="Monday"/>
    <s v="Morning"/>
    <x v="2"/>
    <n v="46"/>
    <n v="7"/>
    <x v="1"/>
    <x v="0"/>
    <s v="SMS"/>
    <n v="5.9"/>
    <x v="14"/>
    <x v="2"/>
  </r>
  <r>
    <s v="HC-02033"/>
    <s v="P-0346"/>
    <s v="Male"/>
    <n v="80"/>
    <x v="4"/>
    <s v="Diagnostic Test"/>
    <d v="2024-12-26T00:00:00"/>
    <d v="2025-02-19T00:00:00"/>
    <s v="Wednesday"/>
    <s v="Afternoon"/>
    <x v="2"/>
    <n v="55"/>
    <n v="4"/>
    <x v="1"/>
    <x v="0"/>
    <s v="WhatsApp"/>
    <n v="11.9"/>
    <x v="27"/>
    <x v="0"/>
  </r>
  <r>
    <s v="HC-02034"/>
    <s v="P-0162"/>
    <s v="Male"/>
    <n v="27"/>
    <x v="1"/>
    <s v="Follow-up"/>
    <d v="2025-11-30T00:00:00"/>
    <d v="2026-01-06T00:00:00"/>
    <s v="Tuesday"/>
    <s v="Morning"/>
    <x v="2"/>
    <n v="37"/>
    <n v="1"/>
    <x v="0"/>
    <x v="1"/>
    <s v="None"/>
    <n v="8.6999999999999993"/>
    <x v="10"/>
    <x v="0"/>
  </r>
  <r>
    <s v="HC-02035"/>
    <s v="P-1260"/>
    <s v="Male"/>
    <n v="46"/>
    <x v="2"/>
    <s v="Diagnostic Test"/>
    <d v="2026-05-03T00:00:00"/>
    <d v="2026-06-23T00:00:00"/>
    <s v="Tuesday"/>
    <s v="Evening"/>
    <x v="2"/>
    <n v="51"/>
    <n v="4"/>
    <x v="3"/>
    <x v="1"/>
    <s v="None"/>
    <n v="2.9"/>
    <x v="18"/>
    <x v="0"/>
  </r>
  <r>
    <s v="HC-02036"/>
    <s v="P-1085"/>
    <s v="Male"/>
    <n v="69"/>
    <x v="4"/>
    <s v="General Consultation"/>
    <d v="2026-03-28T00:00:00"/>
    <d v="2026-04-07T00:00:00"/>
    <s v="Tuesday"/>
    <s v="Afternoon"/>
    <x v="0"/>
    <n v="10"/>
    <n v="2"/>
    <x v="0"/>
    <x v="0"/>
    <s v="SMS"/>
    <n v="15.3"/>
    <x v="5"/>
    <x v="1"/>
  </r>
  <r>
    <s v="HC-02037"/>
    <s v="P-0108"/>
    <s v="Male"/>
    <n v="50"/>
    <x v="2"/>
    <s v="Specialist Consultation"/>
    <d v="2025-11-11T00:00:00"/>
    <d v="2025-11-15T00:00:00"/>
    <s v="Saturday"/>
    <s v="Morning"/>
    <x v="1"/>
    <n v="4"/>
    <n v="2"/>
    <x v="0"/>
    <x v="0"/>
    <s v="SMS"/>
    <n v="23.6"/>
    <x v="26"/>
    <x v="1"/>
  </r>
  <r>
    <s v="HC-02038"/>
    <s v="P-1015"/>
    <s v="Female"/>
    <n v="64"/>
    <x v="3"/>
    <s v="General Consultation"/>
    <d v="2024-12-20T00:00:00"/>
    <d v="2025-01-22T00:00:00"/>
    <s v="Wednesday"/>
    <s v="Evening"/>
    <x v="2"/>
    <n v="33"/>
    <n v="2"/>
    <x v="0"/>
    <x v="1"/>
    <s v="None"/>
    <n v="7.7"/>
    <x v="6"/>
    <x v="1"/>
  </r>
  <r>
    <s v="HC-02039"/>
    <s v="P-0662"/>
    <s v="Female"/>
    <n v="62"/>
    <x v="3"/>
    <s v="Specialist Consultation"/>
    <d v="2026-05-06T00:00:00"/>
    <d v="2026-06-24T00:00:00"/>
    <s v="Wednesday"/>
    <s v="Evening"/>
    <x v="2"/>
    <n v="49"/>
    <n v="6"/>
    <x v="2"/>
    <x v="0"/>
    <s v="WhatsApp"/>
    <n v="1.9"/>
    <x v="8"/>
    <x v="1"/>
  </r>
  <r>
    <s v="HC-02040"/>
    <s v="P-1702"/>
    <s v="Male"/>
    <n v="77"/>
    <x v="4"/>
    <s v="General Consultation"/>
    <d v="2025-07-19T00:00:00"/>
    <d v="2025-09-03T00:00:00"/>
    <s v="Wednesday"/>
    <s v="Afternoon"/>
    <x v="2"/>
    <n v="46"/>
    <n v="4"/>
    <x v="0"/>
    <x v="0"/>
    <s v="SMS"/>
    <n v="11.1"/>
    <x v="20"/>
    <x v="1"/>
  </r>
  <r>
    <s v="HC-02041"/>
    <s v="P-1281"/>
    <s v="Female"/>
    <n v="47"/>
    <x v="2"/>
    <s v="Diagnostic Test"/>
    <d v="2025-05-07T00:00:00"/>
    <d v="2025-06-08T00:00:00"/>
    <s v="Sunday"/>
    <s v="Afternoon"/>
    <x v="2"/>
    <n v="32"/>
    <n v="2"/>
    <x v="0"/>
    <x v="0"/>
    <s v="SMS"/>
    <n v="9.1"/>
    <x v="21"/>
    <x v="0"/>
  </r>
  <r>
    <s v="HC-02042"/>
    <s v="P-1641"/>
    <s v="Male"/>
    <n v="79"/>
    <x v="4"/>
    <s v="Diagnostic Test"/>
    <d v="2026-04-02T00:00:00"/>
    <d v="2026-05-03T00:00:00"/>
    <s v="Sunday"/>
    <s v="Evening"/>
    <x v="2"/>
    <n v="31"/>
    <n v="3"/>
    <x v="0"/>
    <x v="0"/>
    <s v="SMS"/>
    <n v="4.5999999999999996"/>
    <x v="15"/>
    <x v="1"/>
  </r>
  <r>
    <s v="HC-02043"/>
    <s v="P-1198"/>
    <s v="Male"/>
    <n v="50"/>
    <x v="2"/>
    <s v="Follow-up"/>
    <d v="2026-01-06T00:00:00"/>
    <d v="2026-02-12T00:00:00"/>
    <s v="Thursday"/>
    <s v="Afternoon"/>
    <x v="2"/>
    <n v="37"/>
    <n v="1"/>
    <x v="1"/>
    <x v="1"/>
    <s v="None"/>
    <n v="9.1999999999999993"/>
    <x v="20"/>
    <x v="0"/>
  </r>
  <r>
    <s v="HC-02044"/>
    <s v="P-0531"/>
    <s v="Male"/>
    <n v="74"/>
    <x v="4"/>
    <s v="Follow-up"/>
    <d v="2025-12-24T00:00:00"/>
    <d v="2026-02-14T00:00:00"/>
    <s v="Saturday"/>
    <s v="Evening"/>
    <x v="2"/>
    <n v="52"/>
    <n v="4"/>
    <x v="0"/>
    <x v="0"/>
    <s v="WhatsApp"/>
    <n v="19.5"/>
    <x v="37"/>
    <x v="0"/>
  </r>
  <r>
    <s v="HC-02045"/>
    <s v="P-0760"/>
    <s v="Female"/>
    <n v="64"/>
    <x v="3"/>
    <s v="Follow-up"/>
    <d v="2025-04-11T00:00:00"/>
    <d v="2025-06-01T00:00:00"/>
    <s v="Sunday"/>
    <s v="Morning"/>
    <x v="2"/>
    <n v="51"/>
    <n v="2"/>
    <x v="0"/>
    <x v="1"/>
    <s v="None"/>
    <n v="17.2"/>
    <x v="30"/>
    <x v="0"/>
  </r>
  <r>
    <s v="HC-02046"/>
    <s v="P-1664"/>
    <s v="Male"/>
    <n v="26"/>
    <x v="1"/>
    <s v="General Consultation"/>
    <d v="2026-06-20T00:00:00"/>
    <d v="2026-06-26T00:00:00"/>
    <s v="Friday"/>
    <s v="Afternoon"/>
    <x v="1"/>
    <n v="6"/>
    <n v="1"/>
    <x v="0"/>
    <x v="1"/>
    <s v="None"/>
    <n v="6.8"/>
    <x v="11"/>
    <x v="1"/>
  </r>
  <r>
    <s v="HC-02047"/>
    <s v="P-1310"/>
    <s v="Male"/>
    <n v="58"/>
    <x v="3"/>
    <s v="Follow-up"/>
    <d v="2025-07-31T00:00:00"/>
    <d v="2025-09-05T00:00:00"/>
    <s v="Friday"/>
    <s v="Afternoon"/>
    <x v="2"/>
    <n v="36"/>
    <n v="5"/>
    <x v="1"/>
    <x v="0"/>
    <s v="SMS"/>
    <n v="6.7"/>
    <x v="26"/>
    <x v="0"/>
  </r>
  <r>
    <s v="HC-02048"/>
    <s v="P-0099"/>
    <s v="Male"/>
    <n v="73"/>
    <x v="4"/>
    <s v="Follow-up"/>
    <d v="2025-09-25T00:00:00"/>
    <d v="2025-10-18T00:00:00"/>
    <s v="Saturday"/>
    <s v="Morning"/>
    <x v="3"/>
    <n v="23"/>
    <n v="3"/>
    <x v="0"/>
    <x v="0"/>
    <s v="WhatsApp"/>
    <n v="4.3"/>
    <x v="22"/>
    <x v="1"/>
  </r>
  <r>
    <s v="HC-02049"/>
    <s v="P-0379"/>
    <s v="Male"/>
    <n v="26"/>
    <x v="1"/>
    <s v="Follow-up"/>
    <d v="2025-12-29T00:00:00"/>
    <d v="2026-02-15T00:00:00"/>
    <s v="Sunday"/>
    <s v="Morning"/>
    <x v="2"/>
    <n v="48"/>
    <n v="1"/>
    <x v="0"/>
    <x v="0"/>
    <s v="WhatsApp"/>
    <n v="6.9"/>
    <x v="27"/>
    <x v="0"/>
  </r>
  <r>
    <s v="HC-02050"/>
    <s v="P-1320"/>
    <s v="Female"/>
    <n v="70"/>
    <x v="4"/>
    <s v="General Consultation"/>
    <d v="2025-11-27T00:00:00"/>
    <d v="2025-12-27T00:00:00"/>
    <s v="Saturday"/>
    <s v="Morning"/>
    <x v="3"/>
    <n v="30"/>
    <n v="3"/>
    <x v="1"/>
    <x v="1"/>
    <s v="None"/>
    <n v="10"/>
    <x v="50"/>
    <x v="1"/>
  </r>
  <r>
    <s v="HC-02051"/>
    <s v="P-0776"/>
    <s v="Male"/>
    <n v="24"/>
    <x v="5"/>
    <s v="Diagnostic Test"/>
    <d v="2025-02-04T00:00:00"/>
    <d v="2025-04-05T00:00:00"/>
    <s v="Saturday"/>
    <s v="Morning"/>
    <x v="2"/>
    <n v="60"/>
    <n v="1"/>
    <x v="0"/>
    <x v="0"/>
    <s v="SMS"/>
    <n v="9.6999999999999993"/>
    <x v="14"/>
    <x v="1"/>
  </r>
  <r>
    <s v="HC-02052"/>
    <s v="P-1045"/>
    <s v="Female"/>
    <n v="72"/>
    <x v="4"/>
    <s v="General Consultation"/>
    <d v="2025-05-20T00:00:00"/>
    <d v="2025-06-15T00:00:00"/>
    <s v="Sunday"/>
    <s v="Morning"/>
    <x v="3"/>
    <n v="26"/>
    <n v="4"/>
    <x v="0"/>
    <x v="0"/>
    <s v="Email"/>
    <n v="10.7"/>
    <x v="27"/>
    <x v="0"/>
  </r>
  <r>
    <s v="HC-02053"/>
    <s v="P-0826"/>
    <s v="Male"/>
    <n v="67"/>
    <x v="4"/>
    <s v="Follow-up"/>
    <d v="2025-06-06T00:00:00"/>
    <d v="2025-07-17T00:00:00"/>
    <s v="Thursday"/>
    <s v="Morning"/>
    <x v="2"/>
    <n v="41"/>
    <n v="3"/>
    <x v="0"/>
    <x v="1"/>
    <s v="None"/>
    <n v="10.6"/>
    <x v="16"/>
    <x v="0"/>
  </r>
  <r>
    <s v="HC-02054"/>
    <s v="P-0640"/>
    <s v="Female"/>
    <n v="27"/>
    <x v="1"/>
    <s v="General Consultation"/>
    <d v="2026-05-27T00:00:00"/>
    <d v="2026-06-02T00:00:00"/>
    <s v="Tuesday"/>
    <s v="Afternoon"/>
    <x v="1"/>
    <n v="6"/>
    <n v="1"/>
    <x v="0"/>
    <x v="0"/>
    <s v="WhatsApp"/>
    <n v="5"/>
    <x v="52"/>
    <x v="1"/>
  </r>
  <r>
    <s v="HC-02055"/>
    <s v="P-0626"/>
    <s v="Female"/>
    <n v="63"/>
    <x v="3"/>
    <s v="General Consultation"/>
    <d v="2025-12-01T00:00:00"/>
    <d v="2026-01-26T00:00:00"/>
    <s v="Monday"/>
    <s v="Afternoon"/>
    <x v="2"/>
    <n v="56"/>
    <n v="2"/>
    <x v="0"/>
    <x v="0"/>
    <s v="SMS"/>
    <n v="15.2"/>
    <x v="0"/>
    <x v="0"/>
  </r>
  <r>
    <s v="HC-02056"/>
    <s v="P-1479"/>
    <s v="Female"/>
    <n v="25"/>
    <x v="1"/>
    <s v="General Consultation"/>
    <d v="2025-07-11T00:00:00"/>
    <d v="2025-07-20T00:00:00"/>
    <s v="Sunday"/>
    <s v="Afternoon"/>
    <x v="0"/>
    <n v="9"/>
    <n v="2"/>
    <x v="0"/>
    <x v="0"/>
    <s v="SMS"/>
    <n v="16.899999999999999"/>
    <x v="27"/>
    <x v="1"/>
  </r>
  <r>
    <s v="HC-02057"/>
    <s v="P-0821"/>
    <s v="Female"/>
    <n v="53"/>
    <x v="2"/>
    <s v="General Consultation"/>
    <d v="2026-01-14T00:00:00"/>
    <d v="2026-02-06T00:00:00"/>
    <s v="Friday"/>
    <s v="Morning"/>
    <x v="3"/>
    <n v="23"/>
    <n v="1"/>
    <x v="0"/>
    <x v="0"/>
    <s v="SMS"/>
    <n v="9"/>
    <x v="23"/>
    <x v="1"/>
  </r>
  <r>
    <s v="HC-02058"/>
    <s v="P-0637"/>
    <s v="Male"/>
    <n v="76"/>
    <x v="4"/>
    <s v="Follow-up"/>
    <d v="2025-12-19T00:00:00"/>
    <d v="2026-02-08T00:00:00"/>
    <s v="Sunday"/>
    <s v="Afternoon"/>
    <x v="2"/>
    <n v="51"/>
    <n v="2"/>
    <x v="0"/>
    <x v="0"/>
    <s v="SMS"/>
    <n v="36.299999999999997"/>
    <x v="12"/>
    <x v="1"/>
  </r>
  <r>
    <s v="HC-02059"/>
    <s v="P-1664"/>
    <s v="Male"/>
    <n v="30"/>
    <x v="1"/>
    <s v="Follow-up"/>
    <d v="2025-06-06T00:00:00"/>
    <d v="2025-08-04T00:00:00"/>
    <s v="Monday"/>
    <s v="Morning"/>
    <x v="2"/>
    <n v="59"/>
    <n v="4"/>
    <x v="1"/>
    <x v="0"/>
    <s v="WhatsApp"/>
    <n v="11.5"/>
    <x v="6"/>
    <x v="1"/>
  </r>
  <r>
    <s v="HC-02060"/>
    <s v="P-0955"/>
    <s v="Female"/>
    <n v="28"/>
    <x v="1"/>
    <s v="Follow-up"/>
    <d v="2025-07-11T00:00:00"/>
    <d v="2025-08-09T00:00:00"/>
    <s v="Saturday"/>
    <s v="Morning"/>
    <x v="3"/>
    <n v="29"/>
    <n v="2"/>
    <x v="0"/>
    <x v="1"/>
    <s v="None"/>
    <n v="3.4"/>
    <x v="20"/>
    <x v="1"/>
  </r>
  <r>
    <s v="HC-02061"/>
    <s v="P-1290"/>
    <s v="Female"/>
    <n v="44"/>
    <x v="0"/>
    <s v="Follow-up"/>
    <d v="2026-04-05T00:00:00"/>
    <d v="2026-05-04T00:00:00"/>
    <s v="Monday"/>
    <s v="Afternoon"/>
    <x v="3"/>
    <n v="29"/>
    <n v="1"/>
    <x v="0"/>
    <x v="1"/>
    <s v="None"/>
    <n v="7.2"/>
    <x v="42"/>
    <x v="0"/>
  </r>
  <r>
    <s v="HC-02062"/>
    <s v="P-1234"/>
    <s v="Male"/>
    <n v="41"/>
    <x v="0"/>
    <s v="General Consultation"/>
    <d v="2025-11-01T00:00:00"/>
    <d v="2025-11-03T00:00:00"/>
    <s v="Monday"/>
    <s v="Evening"/>
    <x v="1"/>
    <n v="2"/>
    <n v="1"/>
    <x v="1"/>
    <x v="0"/>
    <s v="SMS"/>
    <n v="6.9"/>
    <x v="17"/>
    <x v="1"/>
  </r>
  <r>
    <s v="HC-02063"/>
    <s v="P-0478"/>
    <s v="Female"/>
    <n v="21"/>
    <x v="5"/>
    <s v="General Consultation"/>
    <d v="2025-01-23T00:00:00"/>
    <d v="2025-03-23T00:00:00"/>
    <s v="Sunday"/>
    <s v="Evening"/>
    <x v="2"/>
    <n v="59"/>
    <n v="3"/>
    <x v="1"/>
    <x v="0"/>
    <s v="Email"/>
    <n v="1.9"/>
    <x v="36"/>
    <x v="1"/>
  </r>
  <r>
    <s v="HC-02064"/>
    <s v="P-0482"/>
    <s v="Female"/>
    <n v="46"/>
    <x v="2"/>
    <s v="Follow-up"/>
    <d v="2026-01-28T00:00:00"/>
    <d v="2026-01-29T00:00:00"/>
    <s v="Thursday"/>
    <s v="Afternoon"/>
    <x v="1"/>
    <n v="1"/>
    <n v="2"/>
    <x v="1"/>
    <x v="0"/>
    <s v="SMS"/>
    <n v="7.4"/>
    <x v="18"/>
    <x v="1"/>
  </r>
  <r>
    <s v="HC-02065"/>
    <s v="P-0922"/>
    <s v="Female"/>
    <n v="34"/>
    <x v="1"/>
    <s v="Follow-up"/>
    <d v="2025-11-17T00:00:00"/>
    <d v="2025-11-18T00:00:00"/>
    <s v="Tuesday"/>
    <s v="Afternoon"/>
    <x v="1"/>
    <n v="1"/>
    <n v="4"/>
    <x v="1"/>
    <x v="0"/>
    <s v="WhatsApp"/>
    <n v="14.8"/>
    <x v="23"/>
    <x v="1"/>
  </r>
  <r>
    <s v="HC-02066"/>
    <s v="P-0210"/>
    <s v="Male"/>
    <n v="25"/>
    <x v="1"/>
    <s v="Follow-up"/>
    <d v="2025-09-07T00:00:00"/>
    <d v="2025-10-05T00:00:00"/>
    <s v="Sunday"/>
    <s v="Afternoon"/>
    <x v="3"/>
    <n v="28"/>
    <n v="1"/>
    <x v="0"/>
    <x v="1"/>
    <s v="None"/>
    <n v="16.399999999999999"/>
    <x v="23"/>
    <x v="1"/>
  </r>
  <r>
    <s v="HC-02067"/>
    <s v="P-0572"/>
    <s v="Prefer not to say"/>
    <n v="35"/>
    <x v="0"/>
    <s v="General Consultation"/>
    <d v="2026-01-31T00:00:00"/>
    <d v="2026-01-31T00:00:00"/>
    <s v="Saturday"/>
    <s v="Afternoon"/>
    <x v="1"/>
    <n v="0"/>
    <n v="3"/>
    <x v="0"/>
    <x v="0"/>
    <s v="Email"/>
    <n v="24.7"/>
    <x v="7"/>
    <x v="1"/>
  </r>
  <r>
    <s v="HC-02068"/>
    <s v="P-1251"/>
    <s v="Female"/>
    <n v="19"/>
    <x v="5"/>
    <s v="Specialist Consultation"/>
    <d v="2026-05-01T00:00:00"/>
    <d v="2026-05-11T00:00:00"/>
    <s v="Monday"/>
    <s v="Morning"/>
    <x v="0"/>
    <n v="10"/>
    <n v="4"/>
    <x v="0"/>
    <x v="0"/>
    <s v="SMS"/>
    <n v="12"/>
    <x v="10"/>
    <x v="1"/>
  </r>
  <r>
    <s v="HC-02069"/>
    <s v="P-0387"/>
    <s v="Male"/>
    <n v="75"/>
    <x v="4"/>
    <s v="General Consultation"/>
    <d v="2025-05-23T00:00:00"/>
    <d v="2025-06-30T00:00:00"/>
    <s v="Monday"/>
    <s v="Morning"/>
    <x v="2"/>
    <n v="38"/>
    <n v="3"/>
    <x v="1"/>
    <x v="0"/>
    <s v="Email"/>
    <n v="14"/>
    <x v="38"/>
    <x v="0"/>
  </r>
  <r>
    <s v="HC-02070"/>
    <s v="P-0335"/>
    <s v="Male"/>
    <n v="80"/>
    <x v="4"/>
    <s v="Follow-up"/>
    <d v="2025-07-05T00:00:00"/>
    <d v="2025-08-17T00:00:00"/>
    <s v="Sunday"/>
    <s v="Evening"/>
    <x v="2"/>
    <n v="43"/>
    <n v="5"/>
    <x v="1"/>
    <x v="0"/>
    <s v="Email"/>
    <n v="5.7"/>
    <x v="5"/>
    <x v="0"/>
  </r>
  <r>
    <s v="HC-02071"/>
    <s v="P-1704"/>
    <s v="Prefer not to say"/>
    <n v="41"/>
    <x v="0"/>
    <s v="General Consultation"/>
    <d v="2025-03-27T00:00:00"/>
    <d v="2025-04-14T00:00:00"/>
    <s v="Monday"/>
    <s v="Evening"/>
    <x v="3"/>
    <n v="18"/>
    <n v="3"/>
    <x v="0"/>
    <x v="0"/>
    <s v="Email"/>
    <n v="12.9"/>
    <x v="31"/>
    <x v="0"/>
  </r>
  <r>
    <s v="HC-02072"/>
    <s v="P-0383"/>
    <s v="Male"/>
    <n v="73"/>
    <x v="4"/>
    <s v="Follow-up"/>
    <d v="2025-11-02T00:00:00"/>
    <d v="2025-12-20T00:00:00"/>
    <s v="Saturday"/>
    <s v="Morning"/>
    <x v="2"/>
    <n v="48"/>
    <n v="7"/>
    <x v="3"/>
    <x v="1"/>
    <s v="None"/>
    <n v="11.3"/>
    <x v="22"/>
    <x v="0"/>
  </r>
  <r>
    <s v="HC-02073"/>
    <s v="P-1092"/>
    <s v="Male"/>
    <n v="47"/>
    <x v="2"/>
    <s v="General Consultation"/>
    <d v="2025-07-02T00:00:00"/>
    <d v="2025-08-08T00:00:00"/>
    <s v="Friday"/>
    <s v="Morning"/>
    <x v="2"/>
    <n v="37"/>
    <n v="2"/>
    <x v="0"/>
    <x v="1"/>
    <s v="None"/>
    <n v="6.9"/>
    <x v="25"/>
    <x v="1"/>
  </r>
  <r>
    <s v="HC-02074"/>
    <s v="P-0360"/>
    <s v="Male"/>
    <n v="75"/>
    <x v="4"/>
    <s v="Specialist Consultation"/>
    <d v="2025-06-23T00:00:00"/>
    <d v="2025-07-06T00:00:00"/>
    <s v="Sunday"/>
    <s v="Morning"/>
    <x v="0"/>
    <n v="13"/>
    <n v="8"/>
    <x v="1"/>
    <x v="0"/>
    <s v="SMS"/>
    <n v="25.3"/>
    <x v="9"/>
    <x v="0"/>
  </r>
  <r>
    <s v="HC-02075"/>
    <s v="P-1617"/>
    <s v="Male"/>
    <n v="28"/>
    <x v="1"/>
    <s v="General Consultation"/>
    <d v="2025-12-04T00:00:00"/>
    <d v="2026-01-16T00:00:00"/>
    <s v="Friday"/>
    <s v="Afternoon"/>
    <x v="2"/>
    <n v="43"/>
    <n v="9"/>
    <x v="1"/>
    <x v="1"/>
    <s v="None"/>
    <n v="3.3"/>
    <x v="16"/>
    <x v="0"/>
  </r>
  <r>
    <s v="HC-02076"/>
    <s v="P-1346"/>
    <s v="Female"/>
    <n v="35"/>
    <x v="0"/>
    <s v="Follow-up"/>
    <d v="2025-07-06T00:00:00"/>
    <d v="2025-08-11T00:00:00"/>
    <s v="Monday"/>
    <s v="Morning"/>
    <x v="2"/>
    <n v="36"/>
    <n v="2"/>
    <x v="1"/>
    <x v="0"/>
    <s v="SMS"/>
    <n v="9.1999999999999993"/>
    <x v="2"/>
    <x v="0"/>
  </r>
  <r>
    <s v="HC-02077"/>
    <s v="P-1294"/>
    <s v="Male"/>
    <n v="64"/>
    <x v="3"/>
    <s v="General Consultation"/>
    <d v="2025-07-24T00:00:00"/>
    <d v="2025-09-11T00:00:00"/>
    <s v="Thursday"/>
    <s v="Afternoon"/>
    <x v="2"/>
    <n v="49"/>
    <n v="1"/>
    <x v="0"/>
    <x v="0"/>
    <s v="WhatsApp"/>
    <n v="19.5"/>
    <x v="16"/>
    <x v="0"/>
  </r>
  <r>
    <s v="HC-02078"/>
    <s v="P-0567"/>
    <s v="Male"/>
    <n v="31"/>
    <x v="1"/>
    <s v="Follow-up"/>
    <d v="2025-08-20T00:00:00"/>
    <d v="2025-08-29T00:00:00"/>
    <s v="Friday"/>
    <s v="Morning"/>
    <x v="0"/>
    <n v="9"/>
    <n v="3"/>
    <x v="0"/>
    <x v="0"/>
    <s v="SMS"/>
    <n v="4.5999999999999996"/>
    <x v="45"/>
    <x v="1"/>
  </r>
  <r>
    <s v="HC-02079"/>
    <s v="P-1146"/>
    <s v="Female"/>
    <n v="69"/>
    <x v="4"/>
    <s v="General Consultation"/>
    <d v="2025-05-08T00:00:00"/>
    <d v="2025-05-22T00:00:00"/>
    <s v="Thursday"/>
    <s v="Morning"/>
    <x v="0"/>
    <n v="14"/>
    <n v="4"/>
    <x v="1"/>
    <x v="0"/>
    <s v="SMS"/>
    <n v="6.1"/>
    <x v="5"/>
    <x v="1"/>
  </r>
  <r>
    <s v="HC-02080"/>
    <s v="P-1334"/>
    <s v="Female"/>
    <n v="44"/>
    <x v="0"/>
    <s v="General Consultation"/>
    <d v="2025-02-20T00:00:00"/>
    <d v="2025-03-10T00:00:00"/>
    <s v="Monday"/>
    <s v="Morning"/>
    <x v="3"/>
    <n v="18"/>
    <n v="3"/>
    <x v="1"/>
    <x v="1"/>
    <s v="None"/>
    <n v="14.4"/>
    <x v="47"/>
    <x v="0"/>
  </r>
  <r>
    <s v="HC-02081"/>
    <s v="P-1146"/>
    <s v="Female"/>
    <n v="43"/>
    <x v="0"/>
    <s v="Specialist Consultation"/>
    <d v="2026-03-08T00:00:00"/>
    <d v="2026-03-28T00:00:00"/>
    <s v="Saturday"/>
    <s v="Afternoon"/>
    <x v="3"/>
    <n v="20"/>
    <n v="3"/>
    <x v="0"/>
    <x v="0"/>
    <s v="WhatsApp"/>
    <n v="14.4"/>
    <x v="8"/>
    <x v="1"/>
  </r>
  <r>
    <s v="HC-02082"/>
    <s v="P-1022"/>
    <s v="Female"/>
    <n v="46"/>
    <x v="2"/>
    <s v="General Consultation"/>
    <d v="2024-12-28T00:00:00"/>
    <d v="2025-02-20T00:00:00"/>
    <s v="Thursday"/>
    <s v="Morning"/>
    <x v="2"/>
    <n v="54"/>
    <n v="1"/>
    <x v="0"/>
    <x v="0"/>
    <s v="Email"/>
    <n v="8"/>
    <x v="19"/>
    <x v="0"/>
  </r>
  <r>
    <s v="HC-02083"/>
    <s v="P-0962"/>
    <s v="Female"/>
    <n v="68"/>
    <x v="4"/>
    <s v="General Consultation"/>
    <d v="2025-05-14T00:00:00"/>
    <d v="2025-06-27T00:00:00"/>
    <s v="Friday"/>
    <s v="Afternoon"/>
    <x v="2"/>
    <n v="44"/>
    <n v="5"/>
    <x v="2"/>
    <x v="0"/>
    <s v="SMS"/>
    <n v="10.7"/>
    <x v="17"/>
    <x v="0"/>
  </r>
  <r>
    <s v="HC-02084"/>
    <s v="P-0913"/>
    <s v="Female"/>
    <n v="18"/>
    <x v="5"/>
    <s v="Specialist Consultation"/>
    <d v="2025-11-28T00:00:00"/>
    <d v="2025-12-31T00:00:00"/>
    <s v="Wednesday"/>
    <s v="Afternoon"/>
    <x v="2"/>
    <n v="33"/>
    <n v="3"/>
    <x v="0"/>
    <x v="1"/>
    <s v="None"/>
    <n v="9.1999999999999993"/>
    <x v="40"/>
    <x v="0"/>
  </r>
  <r>
    <s v="HC-02085"/>
    <s v="P-1044"/>
    <s v="Female"/>
    <n v="65"/>
    <x v="4"/>
    <s v="Specialist Consultation"/>
    <d v="2025-02-09T00:00:00"/>
    <d v="2025-03-13T00:00:00"/>
    <s v="Thursday"/>
    <s v="Afternoon"/>
    <x v="2"/>
    <n v="32"/>
    <n v="2"/>
    <x v="1"/>
    <x v="1"/>
    <s v="None"/>
    <n v="15.4"/>
    <x v="15"/>
    <x v="0"/>
  </r>
  <r>
    <s v="HC-02086"/>
    <s v="P-1628"/>
    <s v="Male"/>
    <n v="67"/>
    <x v="4"/>
    <s v="Specialist Consultation"/>
    <d v="2025-10-31T00:00:00"/>
    <d v="2025-12-24T00:00:00"/>
    <s v="Wednesday"/>
    <s v="Morning"/>
    <x v="2"/>
    <n v="54"/>
    <n v="3"/>
    <x v="0"/>
    <x v="0"/>
    <s v="WhatsApp"/>
    <n v="15.8"/>
    <x v="23"/>
    <x v="0"/>
  </r>
  <r>
    <s v="HC-02087"/>
    <s v="P-0430"/>
    <s v="Female"/>
    <n v="69"/>
    <x v="4"/>
    <s v="General Consultation"/>
    <d v="2026-01-09T00:00:00"/>
    <d v="2026-02-05T00:00:00"/>
    <s v="Thursday"/>
    <s v="Afternoon"/>
    <x v="3"/>
    <n v="27"/>
    <n v="2"/>
    <x v="0"/>
    <x v="0"/>
    <s v="WhatsApp"/>
    <n v="20.7"/>
    <x v="19"/>
    <x v="1"/>
  </r>
  <r>
    <s v="HC-02088"/>
    <s v="P-1041"/>
    <s v="Female"/>
    <n v="80"/>
    <x v="4"/>
    <s v="Follow-up"/>
    <d v="2025-12-15T00:00:00"/>
    <d v="2025-12-28T00:00:00"/>
    <s v="Sunday"/>
    <s v="Morning"/>
    <x v="0"/>
    <n v="13"/>
    <n v="2"/>
    <x v="0"/>
    <x v="0"/>
    <s v="WhatsApp"/>
    <n v="20.6"/>
    <x v="22"/>
    <x v="1"/>
  </r>
  <r>
    <s v="HC-02089"/>
    <s v="P-1473"/>
    <s v="Female"/>
    <n v="67"/>
    <x v="4"/>
    <s v="Specialist Consultation"/>
    <d v="2025-06-08T00:00:00"/>
    <d v="2025-06-16T00:00:00"/>
    <s v="Monday"/>
    <s v="Afternoon"/>
    <x v="0"/>
    <n v="8"/>
    <n v="4"/>
    <x v="3"/>
    <x v="0"/>
    <s v="SMS"/>
    <n v="10.9"/>
    <x v="4"/>
    <x v="1"/>
  </r>
  <r>
    <s v="HC-02090"/>
    <s v="P-0426"/>
    <s v="Female"/>
    <n v="51"/>
    <x v="2"/>
    <s v="General Consultation"/>
    <d v="2024-12-22T00:00:00"/>
    <d v="2025-01-11T00:00:00"/>
    <s v="Saturday"/>
    <s v="Afternoon"/>
    <x v="3"/>
    <n v="20"/>
    <n v="3"/>
    <x v="0"/>
    <x v="1"/>
    <s v="None"/>
    <n v="3.9"/>
    <x v="49"/>
    <x v="1"/>
  </r>
  <r>
    <s v="HC-02091"/>
    <s v="P-0193"/>
    <s v="Female"/>
    <n v="47"/>
    <x v="2"/>
    <s v="Specialist Consultation"/>
    <d v="2026-03-22T00:00:00"/>
    <d v="2026-04-30T00:00:00"/>
    <s v="Thursday"/>
    <s v="Evening"/>
    <x v="2"/>
    <n v="39"/>
    <n v="2"/>
    <x v="1"/>
    <x v="1"/>
    <s v="None"/>
    <n v="5.2"/>
    <x v="12"/>
    <x v="1"/>
  </r>
  <r>
    <s v="HC-02092"/>
    <s v="P-1771"/>
    <s v="Prefer not to say"/>
    <n v="42"/>
    <x v="0"/>
    <s v="General Consultation"/>
    <d v="2025-05-31T00:00:00"/>
    <d v="2025-06-28T00:00:00"/>
    <s v="Saturday"/>
    <s v="Evening"/>
    <x v="3"/>
    <n v="28"/>
    <n v="4"/>
    <x v="0"/>
    <x v="1"/>
    <s v="None"/>
    <n v="5.8"/>
    <x v="9"/>
    <x v="1"/>
  </r>
  <r>
    <s v="HC-02093"/>
    <s v="P-1407"/>
    <s v="Female"/>
    <n v="70"/>
    <x v="4"/>
    <s v="Diagnostic Test"/>
    <d v="2026-02-19T00:00:00"/>
    <d v="2026-03-16T00:00:00"/>
    <s v="Monday"/>
    <s v="Afternoon"/>
    <x v="3"/>
    <n v="25"/>
    <n v="5"/>
    <x v="1"/>
    <x v="0"/>
    <s v="SMS"/>
    <n v="8.1999999999999993"/>
    <x v="27"/>
    <x v="0"/>
  </r>
  <r>
    <s v="HC-02094"/>
    <s v="P-0559"/>
    <s v="Female"/>
    <n v="42"/>
    <x v="0"/>
    <s v="Follow-up"/>
    <d v="2025-03-21T00:00:00"/>
    <d v="2025-04-19T00:00:00"/>
    <s v="Saturday"/>
    <s v="Evening"/>
    <x v="3"/>
    <n v="29"/>
    <n v="2"/>
    <x v="0"/>
    <x v="0"/>
    <s v="SMS"/>
    <n v="9.6"/>
    <x v="36"/>
    <x v="1"/>
  </r>
  <r>
    <s v="HC-02095"/>
    <s v="P-0114"/>
    <s v="Male"/>
    <n v="54"/>
    <x v="2"/>
    <s v="Follow-up"/>
    <d v="2025-01-30T00:00:00"/>
    <d v="2025-03-30T00:00:00"/>
    <s v="Sunday"/>
    <s v="Morning"/>
    <x v="2"/>
    <n v="59"/>
    <n v="3"/>
    <x v="0"/>
    <x v="1"/>
    <s v="None"/>
    <n v="4.4000000000000004"/>
    <x v="14"/>
    <x v="0"/>
  </r>
  <r>
    <s v="HC-02096"/>
    <s v="P-0853"/>
    <s v="Male"/>
    <n v="24"/>
    <x v="5"/>
    <s v="Follow-up"/>
    <d v="2025-12-31T00:00:00"/>
    <d v="2026-03-01T00:00:00"/>
    <s v="Sunday"/>
    <s v="Afternoon"/>
    <x v="2"/>
    <n v="60"/>
    <n v="4"/>
    <x v="0"/>
    <x v="0"/>
    <s v="SMS"/>
    <n v="1.7"/>
    <x v="48"/>
    <x v="0"/>
  </r>
  <r>
    <s v="HC-02097"/>
    <s v="P-1273"/>
    <s v="Female"/>
    <n v="37"/>
    <x v="0"/>
    <s v="General Consultation"/>
    <d v="2026-05-20T00:00:00"/>
    <d v="2026-05-29T00:00:00"/>
    <s v="Friday"/>
    <s v="Morning"/>
    <x v="0"/>
    <n v="9"/>
    <n v="1"/>
    <x v="0"/>
    <x v="0"/>
    <s v="WhatsApp"/>
    <n v="12.4"/>
    <x v="25"/>
    <x v="1"/>
  </r>
  <r>
    <s v="HC-02098"/>
    <s v="P-0678"/>
    <s v="Female"/>
    <n v="34"/>
    <x v="1"/>
    <s v="General Consultation"/>
    <d v="2026-04-09T00:00:00"/>
    <d v="2026-04-15T00:00:00"/>
    <s v="Wednesday"/>
    <s v="Morning"/>
    <x v="1"/>
    <n v="6"/>
    <n v="3"/>
    <x v="1"/>
    <x v="0"/>
    <s v="Email"/>
    <n v="8.8000000000000007"/>
    <x v="7"/>
    <x v="1"/>
  </r>
  <r>
    <s v="HC-02099"/>
    <s v="P-1305"/>
    <s v="Male"/>
    <n v="45"/>
    <x v="2"/>
    <s v="Specialist Consultation"/>
    <d v="2026-02-01T00:00:00"/>
    <d v="2026-02-15T00:00:00"/>
    <s v="Sunday"/>
    <s v="Afternoon"/>
    <x v="0"/>
    <n v="14"/>
    <n v="1"/>
    <x v="0"/>
    <x v="0"/>
    <s v="WhatsApp"/>
    <n v="26.4"/>
    <x v="4"/>
    <x v="1"/>
  </r>
  <r>
    <s v="HC-02100"/>
    <s v="P-1331"/>
    <s v="Female"/>
    <n v="49"/>
    <x v="2"/>
    <s v="Follow-up"/>
    <d v="2025-03-25T00:00:00"/>
    <d v="2025-05-15T00:00:00"/>
    <s v="Thursday"/>
    <s v="Afternoon"/>
    <x v="2"/>
    <n v="51"/>
    <n v="6"/>
    <x v="4"/>
    <x v="1"/>
    <s v="None"/>
    <n v="5.7"/>
    <x v="7"/>
    <x v="0"/>
  </r>
  <r>
    <s v="HC-02101"/>
    <s v="P-0513"/>
    <s v="Female"/>
    <n v="63"/>
    <x v="3"/>
    <s v="Follow-up"/>
    <d v="2026-04-16T00:00:00"/>
    <d v="2026-05-14T00:00:00"/>
    <s v="Thursday"/>
    <s v="Afternoon"/>
    <x v="3"/>
    <n v="28"/>
    <n v="2"/>
    <x v="0"/>
    <x v="0"/>
    <s v="SMS"/>
    <n v="23.7"/>
    <x v="12"/>
    <x v="1"/>
  </r>
  <r>
    <s v="HC-02102"/>
    <s v="P-0836"/>
    <s v="Prefer not to say"/>
    <n v="45"/>
    <x v="2"/>
    <s v="General Consultation"/>
    <d v="2025-11-09T00:00:00"/>
    <d v="2025-12-31T00:00:00"/>
    <s v="Wednesday"/>
    <s v="Afternoon"/>
    <x v="2"/>
    <n v="52"/>
    <n v="4"/>
    <x v="1"/>
    <x v="1"/>
    <s v="None"/>
    <n v="4.7"/>
    <x v="27"/>
    <x v="0"/>
  </r>
  <r>
    <s v="HC-02103"/>
    <s v="P-1413"/>
    <s v="Prefer not to say"/>
    <n v="27"/>
    <x v="1"/>
    <s v="Follow-up"/>
    <d v="2025-02-25T00:00:00"/>
    <d v="2025-04-05T00:00:00"/>
    <s v="Saturday"/>
    <s v="Afternoon"/>
    <x v="2"/>
    <n v="39"/>
    <n v="4"/>
    <x v="0"/>
    <x v="0"/>
    <s v="WhatsApp"/>
    <n v="8.5"/>
    <x v="28"/>
    <x v="0"/>
  </r>
  <r>
    <s v="HC-02104"/>
    <s v="P-0631"/>
    <s v="Male"/>
    <n v="52"/>
    <x v="2"/>
    <s v="General Consultation"/>
    <d v="2025-02-07T00:00:00"/>
    <d v="2025-03-12T00:00:00"/>
    <s v="Wednesday"/>
    <s v="Evening"/>
    <x v="2"/>
    <n v="33"/>
    <n v="4"/>
    <x v="1"/>
    <x v="0"/>
    <s v="SMS"/>
    <n v="9.1"/>
    <x v="6"/>
    <x v="0"/>
  </r>
  <r>
    <s v="HC-02105"/>
    <s v="P-0650"/>
    <s v="Female"/>
    <n v="21"/>
    <x v="5"/>
    <s v="General Consultation"/>
    <d v="2026-04-04T00:00:00"/>
    <d v="2026-04-21T00:00:00"/>
    <s v="Tuesday"/>
    <s v="Evening"/>
    <x v="3"/>
    <n v="17"/>
    <n v="2"/>
    <x v="0"/>
    <x v="1"/>
    <s v="None"/>
    <n v="2.7"/>
    <x v="45"/>
    <x v="1"/>
  </r>
  <r>
    <s v="HC-02106"/>
    <s v="P-1166"/>
    <s v="Male"/>
    <n v="71"/>
    <x v="4"/>
    <s v="Diagnostic Test"/>
    <d v="2025-05-11T00:00:00"/>
    <d v="2025-05-31T00:00:00"/>
    <s v="Saturday"/>
    <s v="Afternoon"/>
    <x v="3"/>
    <n v="20"/>
    <n v="2"/>
    <x v="1"/>
    <x v="1"/>
    <s v="None"/>
    <n v="10.4"/>
    <x v="16"/>
    <x v="0"/>
  </r>
  <r>
    <s v="HC-02107"/>
    <s v="P-0714"/>
    <s v="Male"/>
    <n v="66"/>
    <x v="4"/>
    <s v="Follow-up"/>
    <d v="2026-02-14T00:00:00"/>
    <d v="2026-02-23T00:00:00"/>
    <s v="Monday"/>
    <s v="Morning"/>
    <x v="0"/>
    <n v="9"/>
    <n v="0"/>
    <x v="0"/>
    <x v="0"/>
    <s v="WhatsApp"/>
    <n v="5.2"/>
    <x v="15"/>
    <x v="0"/>
  </r>
  <r>
    <s v="HC-02108"/>
    <s v="P-0887"/>
    <s v="Male"/>
    <n v="32"/>
    <x v="1"/>
    <s v="Follow-up"/>
    <d v="2025-02-14T00:00:00"/>
    <d v="2025-03-17T00:00:00"/>
    <s v="Monday"/>
    <s v="Afternoon"/>
    <x v="2"/>
    <n v="31"/>
    <n v="6"/>
    <x v="1"/>
    <x v="0"/>
    <s v="Email"/>
    <n v="17.899999999999999"/>
    <x v="8"/>
    <x v="0"/>
  </r>
  <r>
    <s v="HC-02109"/>
    <s v="P-1063"/>
    <s v="Female"/>
    <n v="34"/>
    <x v="1"/>
    <s v="Diagnostic Test"/>
    <d v="2025-05-17T00:00:00"/>
    <d v="2025-06-03T00:00:00"/>
    <s v="Tuesday"/>
    <s v="Afternoon"/>
    <x v="3"/>
    <n v="17"/>
    <n v="3"/>
    <x v="0"/>
    <x v="0"/>
    <s v="SMS"/>
    <n v="14.2"/>
    <x v="18"/>
    <x v="1"/>
  </r>
  <r>
    <s v="HC-02110"/>
    <s v="P-0032"/>
    <s v="Female"/>
    <n v="19"/>
    <x v="5"/>
    <s v="General Consultation"/>
    <d v="2025-05-18T00:00:00"/>
    <d v="2025-06-04T00:00:00"/>
    <s v="Wednesday"/>
    <s v="Evening"/>
    <x v="3"/>
    <n v="17"/>
    <n v="3"/>
    <x v="0"/>
    <x v="0"/>
    <s v="WhatsApp"/>
    <n v="11.4"/>
    <x v="4"/>
    <x v="0"/>
  </r>
  <r>
    <s v="HC-02111"/>
    <s v="P-1243"/>
    <s v="Female"/>
    <n v="40"/>
    <x v="0"/>
    <s v="Diagnostic Test"/>
    <d v="2025-06-01T00:00:00"/>
    <d v="2025-06-03T00:00:00"/>
    <s v="Tuesday"/>
    <s v="Morning"/>
    <x v="1"/>
    <n v="2"/>
    <n v="4"/>
    <x v="0"/>
    <x v="0"/>
    <s v="WhatsApp"/>
    <n v="6.1"/>
    <x v="17"/>
    <x v="1"/>
  </r>
  <r>
    <s v="HC-02112"/>
    <s v="P-1161"/>
    <s v="Male"/>
    <n v="20"/>
    <x v="5"/>
    <s v="Follow-up"/>
    <d v="2025-11-17T00:00:00"/>
    <d v="2026-01-04T00:00:00"/>
    <s v="Sunday"/>
    <s v="Morning"/>
    <x v="2"/>
    <n v="48"/>
    <n v="1"/>
    <x v="0"/>
    <x v="0"/>
    <s v="WhatsApp"/>
    <n v="3.6"/>
    <x v="42"/>
    <x v="0"/>
  </r>
  <r>
    <s v="HC-02113"/>
    <s v="P-1435"/>
    <s v="Female"/>
    <n v="76"/>
    <x v="4"/>
    <s v="Follow-up"/>
    <d v="2026-03-19T00:00:00"/>
    <d v="2026-05-15T00:00:00"/>
    <s v="Friday"/>
    <s v="Morning"/>
    <x v="2"/>
    <n v="57"/>
    <n v="5"/>
    <x v="1"/>
    <x v="0"/>
    <s v="SMS"/>
    <n v="22.9"/>
    <x v="55"/>
    <x v="0"/>
  </r>
  <r>
    <s v="HC-02114"/>
    <s v="P-0287"/>
    <s v="Female"/>
    <n v="26"/>
    <x v="1"/>
    <s v="General Consultation"/>
    <d v="2026-04-13T00:00:00"/>
    <d v="2026-05-13T00:00:00"/>
    <s v="Wednesday"/>
    <s v="Morning"/>
    <x v="3"/>
    <n v="30"/>
    <n v="2"/>
    <x v="0"/>
    <x v="1"/>
    <s v="None"/>
    <n v="21.8"/>
    <x v="20"/>
    <x v="0"/>
  </r>
  <r>
    <s v="HC-02115"/>
    <s v="P-0044"/>
    <s v="Female"/>
    <n v="59"/>
    <x v="3"/>
    <s v="General Consultation"/>
    <d v="2026-01-08T00:00:00"/>
    <d v="2026-02-09T00:00:00"/>
    <s v="Monday"/>
    <s v="Afternoon"/>
    <x v="2"/>
    <n v="32"/>
    <n v="1"/>
    <x v="0"/>
    <x v="1"/>
    <s v="None"/>
    <n v="6"/>
    <x v="47"/>
    <x v="0"/>
  </r>
  <r>
    <s v="HC-02116"/>
    <s v="P-1729"/>
    <s v="Female"/>
    <n v="53"/>
    <x v="2"/>
    <s v="Follow-up"/>
    <d v="2025-02-24T00:00:00"/>
    <d v="2025-04-21T00:00:00"/>
    <s v="Monday"/>
    <s v="Morning"/>
    <x v="2"/>
    <n v="56"/>
    <n v="1"/>
    <x v="0"/>
    <x v="0"/>
    <s v="SMS"/>
    <n v="15.7"/>
    <x v="27"/>
    <x v="0"/>
  </r>
  <r>
    <s v="HC-02117"/>
    <s v="P-0086"/>
    <s v="Male"/>
    <n v="32"/>
    <x v="1"/>
    <s v="General Consultation"/>
    <d v="2026-05-09T00:00:00"/>
    <d v="2026-06-09T00:00:00"/>
    <s v="Tuesday"/>
    <s v="Morning"/>
    <x v="2"/>
    <n v="31"/>
    <n v="2"/>
    <x v="0"/>
    <x v="0"/>
    <s v="Email"/>
    <n v="4.5"/>
    <x v="8"/>
    <x v="0"/>
  </r>
  <r>
    <s v="HC-02118"/>
    <s v="P-1340"/>
    <s v="Female"/>
    <n v="68"/>
    <x v="4"/>
    <s v="General Consultation"/>
    <d v="2025-09-16T00:00:00"/>
    <d v="2025-10-23T00:00:00"/>
    <s v="Thursday"/>
    <s v="Afternoon"/>
    <x v="2"/>
    <n v="37"/>
    <n v="2"/>
    <x v="0"/>
    <x v="0"/>
    <s v="WhatsApp"/>
    <n v="5.3"/>
    <x v="15"/>
    <x v="2"/>
  </r>
  <r>
    <s v="HC-02119"/>
    <s v="P-1316"/>
    <s v="Female"/>
    <n v="24"/>
    <x v="5"/>
    <s v="Follow-up"/>
    <d v="2025-09-30T00:00:00"/>
    <d v="2025-10-26T00:00:00"/>
    <s v="Sunday"/>
    <s v="Morning"/>
    <x v="3"/>
    <n v="26"/>
    <n v="4"/>
    <x v="0"/>
    <x v="0"/>
    <s v="SMS"/>
    <n v="8.8000000000000007"/>
    <x v="15"/>
    <x v="0"/>
  </r>
  <r>
    <s v="HC-02120"/>
    <s v="P-0673"/>
    <s v="Male"/>
    <n v="73"/>
    <x v="4"/>
    <s v="Specialist Consultation"/>
    <d v="2025-12-18T00:00:00"/>
    <d v="2026-01-18T00:00:00"/>
    <s v="Sunday"/>
    <s v="Morning"/>
    <x v="2"/>
    <n v="31"/>
    <n v="2"/>
    <x v="0"/>
    <x v="0"/>
    <s v="SMS"/>
    <n v="11.8"/>
    <x v="9"/>
    <x v="1"/>
  </r>
  <r>
    <s v="HC-02121"/>
    <s v="P-0647"/>
    <s v="Male"/>
    <n v="64"/>
    <x v="3"/>
    <s v="General Consultation"/>
    <d v="2026-01-24T00:00:00"/>
    <d v="2026-02-24T00:00:00"/>
    <s v="Tuesday"/>
    <s v="Afternoon"/>
    <x v="2"/>
    <n v="31"/>
    <n v="2"/>
    <x v="0"/>
    <x v="1"/>
    <s v="None"/>
    <n v="3.4"/>
    <x v="7"/>
    <x v="0"/>
  </r>
  <r>
    <s v="HC-02122"/>
    <s v="P-0109"/>
    <s v="Male"/>
    <n v="58"/>
    <x v="3"/>
    <s v="Specialist Consultation"/>
    <d v="2026-04-23T00:00:00"/>
    <d v="2026-06-05T00:00:00"/>
    <s v="Friday"/>
    <s v="Afternoon"/>
    <x v="2"/>
    <n v="43"/>
    <n v="9"/>
    <x v="2"/>
    <x v="1"/>
    <s v="None"/>
    <n v="1.8"/>
    <x v="15"/>
    <x v="0"/>
  </r>
  <r>
    <s v="HC-02123"/>
    <s v="P-1475"/>
    <s v="Male"/>
    <n v="73"/>
    <x v="4"/>
    <s v="Diagnostic Test"/>
    <d v="2025-10-09T00:00:00"/>
    <d v="2025-11-14T00:00:00"/>
    <s v="Friday"/>
    <s v="Evening"/>
    <x v="2"/>
    <n v="36"/>
    <n v="4"/>
    <x v="1"/>
    <x v="0"/>
    <s v="WhatsApp"/>
    <n v="5.0999999999999996"/>
    <x v="20"/>
    <x v="0"/>
  </r>
  <r>
    <s v="HC-02124"/>
    <s v="P-0590"/>
    <s v="Female"/>
    <n v="43"/>
    <x v="0"/>
    <s v="Specialist Consultation"/>
    <d v="2025-10-31T00:00:00"/>
    <d v="2025-11-30T00:00:00"/>
    <s v="Sunday"/>
    <s v="Afternoon"/>
    <x v="3"/>
    <n v="30"/>
    <n v="2"/>
    <x v="0"/>
    <x v="0"/>
    <s v="SMS"/>
    <n v="8.1999999999999993"/>
    <x v="20"/>
    <x v="0"/>
  </r>
  <r>
    <s v="HC-02125"/>
    <s v="P-1710"/>
    <s v="Female"/>
    <n v="35"/>
    <x v="0"/>
    <s v="Specialist Consultation"/>
    <d v="2026-02-08T00:00:00"/>
    <d v="2026-02-12T00:00:00"/>
    <s v="Thursday"/>
    <s v="Evening"/>
    <x v="1"/>
    <n v="4"/>
    <n v="2"/>
    <x v="0"/>
    <x v="0"/>
    <s v="SMS"/>
    <n v="3.3"/>
    <x v="2"/>
    <x v="1"/>
  </r>
  <r>
    <s v="HC-02126"/>
    <s v="P-1173"/>
    <s v="Female"/>
    <n v="27"/>
    <x v="1"/>
    <s v="Specialist Consultation"/>
    <d v="2025-03-26T00:00:00"/>
    <d v="2025-05-20T00:00:00"/>
    <s v="Tuesday"/>
    <s v="Morning"/>
    <x v="2"/>
    <n v="55"/>
    <n v="3"/>
    <x v="1"/>
    <x v="1"/>
    <s v="None"/>
    <n v="6.4"/>
    <x v="3"/>
    <x v="0"/>
  </r>
  <r>
    <s v="HC-02127"/>
    <s v="P-0041"/>
    <s v="Male"/>
    <n v="76"/>
    <x v="4"/>
    <s v="General Consultation"/>
    <d v="2025-04-25T00:00:00"/>
    <d v="2025-06-18T00:00:00"/>
    <s v="Wednesday"/>
    <s v="Afternoon"/>
    <x v="2"/>
    <n v="54"/>
    <n v="5"/>
    <x v="0"/>
    <x v="0"/>
    <s v="WhatsApp"/>
    <n v="6.6"/>
    <x v="23"/>
    <x v="2"/>
  </r>
  <r>
    <s v="HC-02128"/>
    <s v="P-1618"/>
    <s v="Male"/>
    <n v="43"/>
    <x v="0"/>
    <s v="General Consultation"/>
    <d v="2025-11-27T00:00:00"/>
    <d v="2025-12-08T00:00:00"/>
    <s v="Monday"/>
    <s v="Afternoon"/>
    <x v="0"/>
    <n v="11"/>
    <n v="6"/>
    <x v="3"/>
    <x v="0"/>
    <s v="WhatsApp"/>
    <n v="29.6"/>
    <x v="19"/>
    <x v="0"/>
  </r>
  <r>
    <s v="HC-02129"/>
    <s v="P-1626"/>
    <s v="Female"/>
    <n v="70"/>
    <x v="4"/>
    <s v="Diagnostic Test"/>
    <d v="2025-01-19T00:00:00"/>
    <d v="2025-02-05T00:00:00"/>
    <s v="Wednesday"/>
    <s v="Afternoon"/>
    <x v="3"/>
    <n v="17"/>
    <n v="0"/>
    <x v="0"/>
    <x v="1"/>
    <s v="None"/>
    <n v="12"/>
    <x v="49"/>
    <x v="0"/>
  </r>
  <r>
    <s v="HC-02130"/>
    <s v="P-1346"/>
    <s v="Male"/>
    <n v="38"/>
    <x v="0"/>
    <s v="Follow-up"/>
    <d v="2025-04-26T00:00:00"/>
    <d v="2025-06-24T00:00:00"/>
    <s v="Tuesday"/>
    <s v="Afternoon"/>
    <x v="2"/>
    <n v="59"/>
    <n v="1"/>
    <x v="0"/>
    <x v="0"/>
    <s v="WhatsApp"/>
    <n v="10.1"/>
    <x v="41"/>
    <x v="0"/>
  </r>
  <r>
    <s v="HC-02131"/>
    <s v="P-1655"/>
    <s v="Male"/>
    <n v="78"/>
    <x v="4"/>
    <s v="Specialist Consultation"/>
    <d v="2026-01-09T00:00:00"/>
    <d v="2026-01-28T00:00:00"/>
    <s v="Wednesday"/>
    <s v="Morning"/>
    <x v="3"/>
    <n v="19"/>
    <n v="1"/>
    <x v="0"/>
    <x v="0"/>
    <s v="SMS"/>
    <n v="7.2"/>
    <x v="0"/>
    <x v="1"/>
  </r>
  <r>
    <s v="HC-02132"/>
    <s v="P-1387"/>
    <s v="Male"/>
    <n v="72"/>
    <x v="4"/>
    <s v="Diagnostic Test"/>
    <d v="2026-04-29T00:00:00"/>
    <d v="2026-06-17T00:00:00"/>
    <s v="Wednesday"/>
    <s v="Morning"/>
    <x v="2"/>
    <n v="49"/>
    <n v="1"/>
    <x v="0"/>
    <x v="0"/>
    <s v="SMS"/>
    <n v="20.7"/>
    <x v="42"/>
    <x v="0"/>
  </r>
  <r>
    <s v="HC-02133"/>
    <s v="P-1084"/>
    <s v="Female"/>
    <n v="37"/>
    <x v="0"/>
    <s v="General Consultation"/>
    <d v="2025-08-25T00:00:00"/>
    <d v="2025-10-11T00:00:00"/>
    <s v="Saturday"/>
    <s v="Afternoon"/>
    <x v="2"/>
    <n v="47"/>
    <n v="3"/>
    <x v="0"/>
    <x v="0"/>
    <s v="SMS"/>
    <n v="3.6"/>
    <x v="7"/>
    <x v="1"/>
  </r>
  <r>
    <s v="HC-02134"/>
    <s v="P-0235"/>
    <s v="Female"/>
    <n v="48"/>
    <x v="2"/>
    <s v="General Consultation"/>
    <d v="2025-06-16T00:00:00"/>
    <d v="2025-08-07T00:00:00"/>
    <s v="Thursday"/>
    <s v="Afternoon"/>
    <x v="2"/>
    <n v="52"/>
    <n v="3"/>
    <x v="0"/>
    <x v="0"/>
    <s v="WhatsApp"/>
    <n v="13.3"/>
    <x v="50"/>
    <x v="1"/>
  </r>
  <r>
    <s v="HC-02135"/>
    <s v="P-0821"/>
    <s v="Male"/>
    <n v="68"/>
    <x v="4"/>
    <s v="Follow-up"/>
    <d v="2025-08-29T00:00:00"/>
    <d v="2025-08-29T00:00:00"/>
    <s v="Friday"/>
    <s v="Morning"/>
    <x v="1"/>
    <n v="0"/>
    <n v="4"/>
    <x v="1"/>
    <x v="1"/>
    <s v="None"/>
    <n v="21.4"/>
    <x v="7"/>
    <x v="2"/>
  </r>
  <r>
    <s v="HC-02136"/>
    <s v="P-0413"/>
    <s v="Male"/>
    <n v="32"/>
    <x v="1"/>
    <s v="General Consultation"/>
    <d v="2025-12-12T00:00:00"/>
    <d v="2026-01-10T00:00:00"/>
    <s v="Saturday"/>
    <s v="Afternoon"/>
    <x v="3"/>
    <n v="29"/>
    <n v="2"/>
    <x v="1"/>
    <x v="1"/>
    <s v="None"/>
    <n v="15"/>
    <x v="9"/>
    <x v="0"/>
  </r>
  <r>
    <s v="HC-02137"/>
    <s v="P-0672"/>
    <s v="Male"/>
    <n v="19"/>
    <x v="5"/>
    <s v="Follow-up"/>
    <d v="2025-09-21T00:00:00"/>
    <d v="2025-10-25T00:00:00"/>
    <s v="Saturday"/>
    <s v="Afternoon"/>
    <x v="2"/>
    <n v="34"/>
    <n v="4"/>
    <x v="2"/>
    <x v="1"/>
    <s v="None"/>
    <n v="5.4"/>
    <x v="9"/>
    <x v="2"/>
  </r>
  <r>
    <s v="HC-02138"/>
    <s v="P-1423"/>
    <s v="Male"/>
    <n v="36"/>
    <x v="0"/>
    <s v="Specialist Consultation"/>
    <d v="2024-11-23T00:00:00"/>
    <d v="2025-01-13T00:00:00"/>
    <s v="Monday"/>
    <s v="Afternoon"/>
    <x v="2"/>
    <n v="51"/>
    <n v="4"/>
    <x v="0"/>
    <x v="0"/>
    <s v="WhatsApp"/>
    <n v="3.3"/>
    <x v="11"/>
    <x v="0"/>
  </r>
  <r>
    <s v="HC-02139"/>
    <s v="P-1529"/>
    <s v="Female"/>
    <n v="55"/>
    <x v="3"/>
    <s v="Follow-up"/>
    <d v="2025-10-09T00:00:00"/>
    <d v="2025-10-22T00:00:00"/>
    <s v="Wednesday"/>
    <s v="Morning"/>
    <x v="0"/>
    <n v="13"/>
    <n v="3"/>
    <x v="2"/>
    <x v="0"/>
    <s v="SMS"/>
    <n v="15.5"/>
    <x v="29"/>
    <x v="0"/>
  </r>
  <r>
    <s v="HC-02140"/>
    <s v="P-0678"/>
    <s v="Male"/>
    <n v="26"/>
    <x v="1"/>
    <s v="General Consultation"/>
    <d v="2025-07-20T00:00:00"/>
    <d v="2025-08-07T00:00:00"/>
    <s v="Thursday"/>
    <s v="Evening"/>
    <x v="3"/>
    <n v="18"/>
    <n v="3"/>
    <x v="1"/>
    <x v="0"/>
    <s v="SMS"/>
    <n v="13.5"/>
    <x v="0"/>
    <x v="1"/>
  </r>
  <r>
    <s v="HC-02141"/>
    <s v="P-0348"/>
    <s v="Female"/>
    <n v="39"/>
    <x v="0"/>
    <s v="Specialist Consultation"/>
    <d v="2026-01-08T00:00:00"/>
    <d v="2026-01-18T00:00:00"/>
    <s v="Sunday"/>
    <s v="Afternoon"/>
    <x v="0"/>
    <n v="10"/>
    <n v="6"/>
    <x v="1"/>
    <x v="0"/>
    <s v="SMS"/>
    <n v="17.3"/>
    <x v="20"/>
    <x v="1"/>
  </r>
  <r>
    <s v="HC-02142"/>
    <s v="P-1546"/>
    <s v="Female"/>
    <n v="75"/>
    <x v="4"/>
    <s v="General Consultation"/>
    <d v="2026-03-08T00:00:00"/>
    <d v="2026-04-23T00:00:00"/>
    <s v="Thursday"/>
    <s v="Afternoon"/>
    <x v="2"/>
    <n v="46"/>
    <n v="3"/>
    <x v="2"/>
    <x v="0"/>
    <s v="SMS"/>
    <n v="14.3"/>
    <x v="12"/>
    <x v="0"/>
  </r>
  <r>
    <s v="HC-02143"/>
    <s v="P-1185"/>
    <s v="Female"/>
    <n v="22"/>
    <x v="5"/>
    <s v="Diagnostic Test"/>
    <d v="2026-04-11T00:00:00"/>
    <d v="2026-06-10T00:00:00"/>
    <s v="Wednesday"/>
    <s v="Afternoon"/>
    <x v="2"/>
    <n v="60"/>
    <n v="5"/>
    <x v="3"/>
    <x v="1"/>
    <s v="None"/>
    <n v="18.2"/>
    <x v="2"/>
    <x v="0"/>
  </r>
  <r>
    <s v="HC-02144"/>
    <s v="P-0073"/>
    <s v="Female"/>
    <n v="21"/>
    <x v="5"/>
    <s v="General Consultation"/>
    <d v="2025-11-22T00:00:00"/>
    <d v="2025-11-30T00:00:00"/>
    <s v="Sunday"/>
    <s v="Afternoon"/>
    <x v="0"/>
    <n v="8"/>
    <n v="4"/>
    <x v="1"/>
    <x v="0"/>
    <s v="Email"/>
    <n v="7.2"/>
    <x v="10"/>
    <x v="0"/>
  </r>
  <r>
    <s v="HC-02145"/>
    <s v="P-0776"/>
    <s v="Female"/>
    <n v="44"/>
    <x v="0"/>
    <s v="Specialist Consultation"/>
    <d v="2025-07-03T00:00:00"/>
    <d v="2025-07-17T00:00:00"/>
    <s v="Thursday"/>
    <s v="Morning"/>
    <x v="0"/>
    <n v="14"/>
    <n v="4"/>
    <x v="1"/>
    <x v="1"/>
    <s v="None"/>
    <n v="9.3000000000000007"/>
    <x v="16"/>
    <x v="1"/>
  </r>
  <r>
    <s v="HC-02146"/>
    <s v="P-1111"/>
    <s v="Male"/>
    <n v="18"/>
    <x v="5"/>
    <s v="Follow-up"/>
    <d v="2025-08-13T00:00:00"/>
    <d v="2025-08-31T00:00:00"/>
    <s v="Sunday"/>
    <s v="Evening"/>
    <x v="3"/>
    <n v="18"/>
    <n v="3"/>
    <x v="1"/>
    <x v="1"/>
    <s v="None"/>
    <n v="3.8"/>
    <x v="40"/>
    <x v="0"/>
  </r>
  <r>
    <s v="HC-02147"/>
    <s v="P-0222"/>
    <s v="Male"/>
    <n v="19"/>
    <x v="5"/>
    <s v="Follow-up"/>
    <d v="2025-02-12T00:00:00"/>
    <d v="2025-04-07T00:00:00"/>
    <s v="Monday"/>
    <s v="Morning"/>
    <x v="2"/>
    <n v="54"/>
    <n v="1"/>
    <x v="0"/>
    <x v="0"/>
    <s v="SMS"/>
    <n v="3.2"/>
    <x v="3"/>
    <x v="1"/>
  </r>
  <r>
    <s v="HC-02148"/>
    <s v="P-0917"/>
    <s v="Female"/>
    <n v="29"/>
    <x v="1"/>
    <s v="Follow-up"/>
    <d v="2026-04-30T00:00:00"/>
    <d v="2026-05-27T00:00:00"/>
    <s v="Wednesday"/>
    <s v="Afternoon"/>
    <x v="3"/>
    <n v="27"/>
    <n v="4"/>
    <x v="0"/>
    <x v="0"/>
    <s v="SMS"/>
    <n v="11.3"/>
    <x v="16"/>
    <x v="2"/>
  </r>
  <r>
    <s v="HC-02149"/>
    <s v="P-0918"/>
    <s v="Female"/>
    <n v="24"/>
    <x v="5"/>
    <s v="General Consultation"/>
    <d v="2026-03-22T00:00:00"/>
    <d v="2026-04-08T00:00:00"/>
    <s v="Wednesday"/>
    <s v="Evening"/>
    <x v="3"/>
    <n v="17"/>
    <n v="2"/>
    <x v="0"/>
    <x v="1"/>
    <s v="None"/>
    <n v="5.9"/>
    <x v="39"/>
    <x v="0"/>
  </r>
  <r>
    <s v="HC-02150"/>
    <s v="P-1449"/>
    <s v="Female"/>
    <n v="69"/>
    <x v="4"/>
    <s v="Follow-up"/>
    <d v="2026-03-24T00:00:00"/>
    <d v="2026-04-12T00:00:00"/>
    <s v="Sunday"/>
    <s v="Afternoon"/>
    <x v="3"/>
    <n v="19"/>
    <n v="2"/>
    <x v="2"/>
    <x v="0"/>
    <s v="WhatsApp"/>
    <n v="21.9"/>
    <x v="24"/>
    <x v="1"/>
  </r>
  <r>
    <s v="HC-02151"/>
    <s v="P-0716"/>
    <s v="Female"/>
    <n v="25"/>
    <x v="1"/>
    <s v="Specialist Consultation"/>
    <d v="2025-05-24T00:00:00"/>
    <d v="2025-06-29T00:00:00"/>
    <s v="Sunday"/>
    <s v="Afternoon"/>
    <x v="2"/>
    <n v="36"/>
    <n v="1"/>
    <x v="0"/>
    <x v="0"/>
    <s v="SMS"/>
    <n v="13.4"/>
    <x v="17"/>
    <x v="0"/>
  </r>
  <r>
    <s v="HC-02152"/>
    <s v="P-0306"/>
    <s v="Female"/>
    <n v="50"/>
    <x v="2"/>
    <s v="Specialist Consultation"/>
    <d v="2025-06-02T00:00:00"/>
    <d v="2025-06-25T00:00:00"/>
    <s v="Wednesday"/>
    <s v="Morning"/>
    <x v="3"/>
    <n v="23"/>
    <n v="3"/>
    <x v="0"/>
    <x v="0"/>
    <s v="SMS"/>
    <n v="9.8000000000000007"/>
    <x v="6"/>
    <x v="0"/>
  </r>
  <r>
    <s v="HC-02153"/>
    <s v="P-0737"/>
    <s v="Male"/>
    <n v="62"/>
    <x v="3"/>
    <s v="General Consultation"/>
    <d v="2026-04-05T00:00:00"/>
    <d v="2026-04-13T00:00:00"/>
    <s v="Monday"/>
    <s v="Morning"/>
    <x v="0"/>
    <n v="8"/>
    <n v="3"/>
    <x v="0"/>
    <x v="1"/>
    <s v="None"/>
    <n v="2.6"/>
    <x v="17"/>
    <x v="1"/>
  </r>
  <r>
    <s v="HC-02154"/>
    <s v="P-0357"/>
    <s v="Male"/>
    <n v="57"/>
    <x v="3"/>
    <s v="Follow-up"/>
    <d v="2025-09-05T00:00:00"/>
    <d v="2025-10-25T00:00:00"/>
    <s v="Saturday"/>
    <s v="Afternoon"/>
    <x v="2"/>
    <n v="50"/>
    <n v="1"/>
    <x v="0"/>
    <x v="0"/>
    <s v="WhatsApp"/>
    <n v="4.3"/>
    <x v="3"/>
    <x v="0"/>
  </r>
  <r>
    <s v="HC-02155"/>
    <s v="P-1411"/>
    <s v="Female"/>
    <n v="59"/>
    <x v="3"/>
    <s v="Specialist Consultation"/>
    <d v="2025-12-26T00:00:00"/>
    <d v="2026-01-20T00:00:00"/>
    <s v="Tuesday"/>
    <s v="Morning"/>
    <x v="3"/>
    <n v="25"/>
    <n v="3"/>
    <x v="0"/>
    <x v="0"/>
    <s v="SMS"/>
    <n v="5.3"/>
    <x v="0"/>
    <x v="0"/>
  </r>
  <r>
    <s v="HC-02156"/>
    <s v="P-0887"/>
    <s v="Male"/>
    <n v="40"/>
    <x v="0"/>
    <s v="Specialist Consultation"/>
    <d v="2025-09-10T00:00:00"/>
    <d v="2025-09-25T00:00:00"/>
    <s v="Thursday"/>
    <s v="Morning"/>
    <x v="3"/>
    <n v="15"/>
    <n v="3"/>
    <x v="0"/>
    <x v="1"/>
    <s v="None"/>
    <n v="6.9"/>
    <x v="15"/>
    <x v="0"/>
  </r>
  <r>
    <s v="HC-02157"/>
    <s v="P-0916"/>
    <s v="Male"/>
    <n v="73"/>
    <x v="4"/>
    <s v="Follow-up"/>
    <d v="2025-07-17T00:00:00"/>
    <d v="2025-08-30T00:00:00"/>
    <s v="Saturday"/>
    <s v="Evening"/>
    <x v="2"/>
    <n v="44"/>
    <n v="1"/>
    <x v="1"/>
    <x v="1"/>
    <s v="None"/>
    <n v="16.2"/>
    <x v="22"/>
    <x v="0"/>
  </r>
  <r>
    <s v="HC-02158"/>
    <s v="P-1088"/>
    <s v="Female"/>
    <n v="22"/>
    <x v="5"/>
    <s v="General Consultation"/>
    <d v="2025-10-28T00:00:00"/>
    <d v="2025-12-12T00:00:00"/>
    <s v="Friday"/>
    <s v="Morning"/>
    <x v="2"/>
    <n v="45"/>
    <n v="2"/>
    <x v="0"/>
    <x v="0"/>
    <s v="WhatsApp"/>
    <n v="3.1"/>
    <x v="19"/>
    <x v="1"/>
  </r>
  <r>
    <s v="HC-02159"/>
    <s v="P-1559"/>
    <s v="Female"/>
    <n v="24"/>
    <x v="5"/>
    <s v="Diagnostic Test"/>
    <d v="2026-03-11T00:00:00"/>
    <d v="2026-03-20T00:00:00"/>
    <s v="Friday"/>
    <s v="Morning"/>
    <x v="0"/>
    <n v="9"/>
    <n v="2"/>
    <x v="2"/>
    <x v="1"/>
    <s v="None"/>
    <n v="29.3"/>
    <x v="0"/>
    <x v="0"/>
  </r>
  <r>
    <s v="HC-02160"/>
    <s v="P-0293"/>
    <s v="Female"/>
    <n v="71"/>
    <x v="4"/>
    <s v="General Consultation"/>
    <d v="2025-06-28T00:00:00"/>
    <d v="2025-07-02T00:00:00"/>
    <s v="Wednesday"/>
    <s v="Morning"/>
    <x v="1"/>
    <n v="4"/>
    <n v="2"/>
    <x v="1"/>
    <x v="1"/>
    <s v="None"/>
    <n v="14.7"/>
    <x v="35"/>
    <x v="0"/>
  </r>
  <r>
    <s v="HC-02161"/>
    <s v="P-0072"/>
    <s v="Female"/>
    <n v="22"/>
    <x v="5"/>
    <s v="General Consultation"/>
    <d v="2026-03-16T00:00:00"/>
    <d v="2026-03-18T00:00:00"/>
    <s v="Wednesday"/>
    <s v="Afternoon"/>
    <x v="1"/>
    <n v="2"/>
    <n v="0"/>
    <x v="0"/>
    <x v="1"/>
    <s v="None"/>
    <n v="3.9"/>
    <x v="13"/>
    <x v="1"/>
  </r>
  <r>
    <s v="HC-02162"/>
    <s v="P-1632"/>
    <s v="Male"/>
    <n v="30"/>
    <x v="1"/>
    <s v="Specialist Consultation"/>
    <d v="2025-03-29T00:00:00"/>
    <d v="2025-05-14T00:00:00"/>
    <s v="Wednesday"/>
    <s v="Afternoon"/>
    <x v="2"/>
    <n v="46"/>
    <n v="0"/>
    <x v="0"/>
    <x v="1"/>
    <s v="None"/>
    <n v="20.9"/>
    <x v="47"/>
    <x v="0"/>
  </r>
  <r>
    <s v="HC-02163"/>
    <s v="P-1729"/>
    <s v="Female"/>
    <n v="28"/>
    <x v="1"/>
    <s v="General Consultation"/>
    <d v="2025-07-01T00:00:00"/>
    <d v="2025-08-08T00:00:00"/>
    <s v="Friday"/>
    <s v="Afternoon"/>
    <x v="2"/>
    <n v="38"/>
    <n v="1"/>
    <x v="0"/>
    <x v="0"/>
    <s v="SMS"/>
    <n v="13.3"/>
    <x v="11"/>
    <x v="1"/>
  </r>
  <r>
    <s v="HC-02164"/>
    <s v="P-1518"/>
    <s v="Female"/>
    <n v="20"/>
    <x v="5"/>
    <s v="Specialist Consultation"/>
    <d v="2026-03-27T00:00:00"/>
    <d v="2026-05-14T00:00:00"/>
    <s v="Thursday"/>
    <s v="Afternoon"/>
    <x v="2"/>
    <n v="48"/>
    <n v="3"/>
    <x v="2"/>
    <x v="1"/>
    <s v="None"/>
    <n v="5.8"/>
    <x v="27"/>
    <x v="0"/>
  </r>
  <r>
    <s v="HC-02165"/>
    <s v="P-0336"/>
    <s v="Female"/>
    <n v="25"/>
    <x v="1"/>
    <s v="General Consultation"/>
    <d v="2026-04-29T00:00:00"/>
    <d v="2026-06-06T00:00:00"/>
    <s v="Saturday"/>
    <s v="Morning"/>
    <x v="2"/>
    <n v="38"/>
    <n v="3"/>
    <x v="1"/>
    <x v="1"/>
    <s v="None"/>
    <n v="14.8"/>
    <x v="42"/>
    <x v="0"/>
  </r>
  <r>
    <s v="HC-02166"/>
    <s v="P-0227"/>
    <s v="Female"/>
    <n v="54"/>
    <x v="2"/>
    <s v="Specialist Consultation"/>
    <d v="2026-04-26T00:00:00"/>
    <d v="2026-05-20T00:00:00"/>
    <s v="Wednesday"/>
    <s v="Afternoon"/>
    <x v="3"/>
    <n v="24"/>
    <n v="1"/>
    <x v="1"/>
    <x v="0"/>
    <s v="SMS"/>
    <n v="4.0999999999999996"/>
    <x v="7"/>
    <x v="1"/>
  </r>
  <r>
    <s v="HC-02167"/>
    <s v="P-0646"/>
    <s v="Male"/>
    <n v="59"/>
    <x v="3"/>
    <s v="Diagnostic Test"/>
    <d v="2025-05-18T00:00:00"/>
    <d v="2025-06-22T00:00:00"/>
    <s v="Sunday"/>
    <s v="Morning"/>
    <x v="2"/>
    <n v="35"/>
    <n v="1"/>
    <x v="1"/>
    <x v="0"/>
    <s v="WhatsApp"/>
    <n v="9.3000000000000007"/>
    <x v="10"/>
    <x v="1"/>
  </r>
  <r>
    <s v="HC-02168"/>
    <s v="P-1530"/>
    <s v="Female"/>
    <n v="23"/>
    <x v="5"/>
    <s v="Diagnostic Test"/>
    <d v="2026-02-21T00:00:00"/>
    <d v="2026-04-06T00:00:00"/>
    <s v="Monday"/>
    <s v="Afternoon"/>
    <x v="2"/>
    <n v="44"/>
    <n v="3"/>
    <x v="0"/>
    <x v="0"/>
    <s v="SMS"/>
    <n v="12.6"/>
    <x v="19"/>
    <x v="0"/>
  </r>
  <r>
    <s v="HC-02169"/>
    <s v="P-1585"/>
    <s v="Male"/>
    <n v="77"/>
    <x v="4"/>
    <s v="Diagnostic Test"/>
    <d v="2026-05-03T00:00:00"/>
    <d v="2026-05-27T00:00:00"/>
    <s v="Wednesday"/>
    <s v="Morning"/>
    <x v="3"/>
    <n v="24"/>
    <n v="3"/>
    <x v="2"/>
    <x v="0"/>
    <s v="SMS"/>
    <n v="4.3"/>
    <x v="18"/>
    <x v="1"/>
  </r>
  <r>
    <s v="HC-02170"/>
    <s v="P-1647"/>
    <s v="Female"/>
    <n v="24"/>
    <x v="5"/>
    <s v="Specialist Consultation"/>
    <d v="2026-04-25T00:00:00"/>
    <d v="2026-06-19T00:00:00"/>
    <s v="Friday"/>
    <s v="Morning"/>
    <x v="2"/>
    <n v="55"/>
    <n v="4"/>
    <x v="1"/>
    <x v="0"/>
    <s v="WhatsApp"/>
    <n v="10.1"/>
    <x v="13"/>
    <x v="0"/>
  </r>
  <r>
    <s v="HC-02171"/>
    <s v="P-0503"/>
    <s v="Female"/>
    <n v="61"/>
    <x v="3"/>
    <s v="General Consultation"/>
    <d v="2024-11-19T00:00:00"/>
    <d v="2025-01-12T00:00:00"/>
    <s v="Sunday"/>
    <s v="Afternoon"/>
    <x v="2"/>
    <n v="54"/>
    <n v="5"/>
    <x v="1"/>
    <x v="0"/>
    <s v="WhatsApp"/>
    <n v="11.7"/>
    <x v="27"/>
    <x v="0"/>
  </r>
  <r>
    <s v="HC-02172"/>
    <s v="P-0441"/>
    <s v="Female"/>
    <n v="68"/>
    <x v="4"/>
    <s v="Diagnostic Test"/>
    <d v="2025-12-25T00:00:00"/>
    <d v="2026-02-11T00:00:00"/>
    <s v="Wednesday"/>
    <s v="Morning"/>
    <x v="2"/>
    <n v="48"/>
    <n v="5"/>
    <x v="2"/>
    <x v="0"/>
    <s v="SMS"/>
    <n v="6.8"/>
    <x v="54"/>
    <x v="0"/>
  </r>
  <r>
    <s v="HC-02173"/>
    <s v="P-0536"/>
    <s v="Male"/>
    <n v="50"/>
    <x v="2"/>
    <s v="Diagnostic Test"/>
    <d v="2026-04-30T00:00:00"/>
    <d v="2026-06-29T00:00:00"/>
    <s v="Monday"/>
    <s v="Afternoon"/>
    <x v="2"/>
    <n v="60"/>
    <n v="5"/>
    <x v="1"/>
    <x v="0"/>
    <s v="SMS"/>
    <n v="5.4"/>
    <x v="25"/>
    <x v="0"/>
  </r>
  <r>
    <s v="HC-02174"/>
    <s v="P-1557"/>
    <s v="Female"/>
    <n v="48"/>
    <x v="2"/>
    <s v="Follow-up"/>
    <d v="2026-01-30T00:00:00"/>
    <d v="2026-02-22T00:00:00"/>
    <s v="Sunday"/>
    <s v="Afternoon"/>
    <x v="3"/>
    <n v="23"/>
    <n v="3"/>
    <x v="0"/>
    <x v="1"/>
    <s v="None"/>
    <n v="9.6"/>
    <x v="4"/>
    <x v="0"/>
  </r>
  <r>
    <s v="HC-02175"/>
    <s v="P-0134"/>
    <s v="Male"/>
    <n v="24"/>
    <x v="5"/>
    <s v="General Consultation"/>
    <d v="2025-05-02T00:00:00"/>
    <d v="2025-05-08T00:00:00"/>
    <s v="Thursday"/>
    <s v="Evening"/>
    <x v="1"/>
    <n v="6"/>
    <n v="2"/>
    <x v="0"/>
    <x v="0"/>
    <s v="SMS"/>
    <n v="7.5"/>
    <x v="12"/>
    <x v="1"/>
  </r>
  <r>
    <s v="HC-02176"/>
    <s v="P-1014"/>
    <s v="Female"/>
    <n v="33"/>
    <x v="1"/>
    <s v="General Consultation"/>
    <d v="2026-01-23T00:00:00"/>
    <d v="2026-02-21T00:00:00"/>
    <s v="Saturday"/>
    <s v="Morning"/>
    <x v="3"/>
    <n v="29"/>
    <n v="1"/>
    <x v="0"/>
    <x v="1"/>
    <s v="None"/>
    <n v="23"/>
    <x v="7"/>
    <x v="0"/>
  </r>
  <r>
    <s v="HC-02177"/>
    <s v="P-0181"/>
    <s v="Male"/>
    <n v="71"/>
    <x v="4"/>
    <s v="Follow-up"/>
    <d v="2025-01-13T00:00:00"/>
    <d v="2025-02-27T00:00:00"/>
    <s v="Thursday"/>
    <s v="Afternoon"/>
    <x v="2"/>
    <n v="45"/>
    <n v="1"/>
    <x v="0"/>
    <x v="0"/>
    <s v="SMS"/>
    <n v="12.7"/>
    <x v="5"/>
    <x v="0"/>
  </r>
  <r>
    <s v="HC-02178"/>
    <s v="P-1445"/>
    <s v="Male"/>
    <n v="39"/>
    <x v="0"/>
    <s v="Specialist Consultation"/>
    <d v="2025-08-04T00:00:00"/>
    <d v="2025-09-20T00:00:00"/>
    <s v="Saturday"/>
    <s v="Afternoon"/>
    <x v="2"/>
    <n v="47"/>
    <n v="6"/>
    <x v="0"/>
    <x v="1"/>
    <s v="None"/>
    <n v="7.7"/>
    <x v="16"/>
    <x v="1"/>
  </r>
  <r>
    <s v="HC-02179"/>
    <s v="P-0523"/>
    <s v="Male"/>
    <n v="20"/>
    <x v="5"/>
    <s v="General Consultation"/>
    <d v="2025-11-15T00:00:00"/>
    <d v="2025-12-08T00:00:00"/>
    <s v="Monday"/>
    <s v="Morning"/>
    <x v="3"/>
    <n v="23"/>
    <n v="6"/>
    <x v="1"/>
    <x v="0"/>
    <s v="SMS"/>
    <n v="8.8000000000000007"/>
    <x v="4"/>
    <x v="1"/>
  </r>
  <r>
    <s v="HC-02180"/>
    <s v="P-1085"/>
    <s v="Female"/>
    <n v="63"/>
    <x v="3"/>
    <s v="General Consultation"/>
    <d v="2025-08-21T00:00:00"/>
    <d v="2025-09-07T00:00:00"/>
    <s v="Sunday"/>
    <s v="Afternoon"/>
    <x v="3"/>
    <n v="17"/>
    <n v="2"/>
    <x v="0"/>
    <x v="0"/>
    <s v="SMS"/>
    <n v="5.6"/>
    <x v="38"/>
    <x v="1"/>
  </r>
  <r>
    <s v="HC-02181"/>
    <s v="P-0768"/>
    <s v="Female"/>
    <n v="61"/>
    <x v="3"/>
    <s v="Follow-up"/>
    <d v="2025-12-22T00:00:00"/>
    <d v="2026-01-18T00:00:00"/>
    <s v="Sunday"/>
    <s v="Afternoon"/>
    <x v="3"/>
    <n v="27"/>
    <n v="0"/>
    <x v="0"/>
    <x v="0"/>
    <s v="SMS"/>
    <n v="17.8"/>
    <x v="26"/>
    <x v="1"/>
  </r>
  <r>
    <s v="HC-02182"/>
    <s v="P-0537"/>
    <s v="Male"/>
    <n v="22"/>
    <x v="5"/>
    <s v="General Consultation"/>
    <d v="2025-03-24T00:00:00"/>
    <d v="2025-05-12T00:00:00"/>
    <s v="Monday"/>
    <s v="Afternoon"/>
    <x v="2"/>
    <n v="49"/>
    <n v="4"/>
    <x v="1"/>
    <x v="0"/>
    <s v="SMS"/>
    <n v="13.4"/>
    <x v="6"/>
    <x v="0"/>
  </r>
  <r>
    <s v="HC-02183"/>
    <s v="P-1397"/>
    <s v="Male"/>
    <n v="21"/>
    <x v="5"/>
    <s v="Diagnostic Test"/>
    <d v="2025-11-24T00:00:00"/>
    <d v="2025-11-27T00:00:00"/>
    <s v="Thursday"/>
    <s v="Evening"/>
    <x v="1"/>
    <n v="3"/>
    <n v="4"/>
    <x v="1"/>
    <x v="1"/>
    <s v="None"/>
    <m/>
    <x v="51"/>
    <x v="1"/>
  </r>
  <r>
    <s v="HC-02184"/>
    <s v="P-1247"/>
    <s v="Female"/>
    <n v="25"/>
    <x v="1"/>
    <s v="General Consultation"/>
    <d v="2025-11-29T00:00:00"/>
    <d v="2025-12-19T00:00:00"/>
    <s v="Friday"/>
    <s v="Afternoon"/>
    <x v="3"/>
    <n v="20"/>
    <n v="3"/>
    <x v="0"/>
    <x v="0"/>
    <s v="WhatsApp"/>
    <n v="10.1"/>
    <x v="9"/>
    <x v="1"/>
  </r>
  <r>
    <s v="HC-02185"/>
    <s v="P-1459"/>
    <s v="Female"/>
    <n v="21"/>
    <x v="5"/>
    <s v="General Consultation"/>
    <d v="2025-11-29T00:00:00"/>
    <d v="2025-12-13T00:00:00"/>
    <s v="Saturday"/>
    <s v="Morning"/>
    <x v="0"/>
    <n v="14"/>
    <n v="1"/>
    <x v="0"/>
    <x v="0"/>
    <s v="WhatsApp"/>
    <n v="7.9"/>
    <x v="25"/>
    <x v="1"/>
  </r>
  <r>
    <s v="HC-02186"/>
    <s v="P-1260"/>
    <s v="Female"/>
    <n v="56"/>
    <x v="3"/>
    <s v="General Consultation"/>
    <d v="2025-04-19T00:00:00"/>
    <d v="2025-06-07T00:00:00"/>
    <s v="Saturday"/>
    <s v="Evening"/>
    <x v="2"/>
    <n v="49"/>
    <n v="3"/>
    <x v="0"/>
    <x v="1"/>
    <s v="None"/>
    <n v="10.3"/>
    <x v="19"/>
    <x v="0"/>
  </r>
  <r>
    <s v="HC-02187"/>
    <s v="P-1377"/>
    <s v="Female"/>
    <n v="26"/>
    <x v="1"/>
    <s v="Specialist Consultation"/>
    <d v="2025-05-19T00:00:00"/>
    <d v="2025-06-16T00:00:00"/>
    <s v="Monday"/>
    <s v="Morning"/>
    <x v="3"/>
    <n v="28"/>
    <n v="3"/>
    <x v="2"/>
    <x v="0"/>
    <s v="SMS"/>
    <n v="23.4"/>
    <x v="18"/>
    <x v="2"/>
  </r>
  <r>
    <s v="HC-02188"/>
    <s v="P-1299"/>
    <s v="Female"/>
    <n v="56"/>
    <x v="3"/>
    <s v="Specialist Consultation"/>
    <d v="2025-05-16T00:00:00"/>
    <d v="2025-05-21T00:00:00"/>
    <s v="Wednesday"/>
    <s v="Afternoon"/>
    <x v="1"/>
    <n v="5"/>
    <n v="3"/>
    <x v="0"/>
    <x v="0"/>
    <s v="WhatsApp"/>
    <n v="6.7"/>
    <x v="2"/>
    <x v="1"/>
  </r>
  <r>
    <s v="HC-02189"/>
    <s v="P-0207"/>
    <s v="Female"/>
    <n v="29"/>
    <x v="1"/>
    <s v="General Consultation"/>
    <d v="2025-08-26T00:00:00"/>
    <d v="2025-09-10T00:00:00"/>
    <s v="Wednesday"/>
    <s v="Afternoon"/>
    <x v="3"/>
    <n v="15"/>
    <n v="4"/>
    <x v="0"/>
    <x v="1"/>
    <s v="None"/>
    <n v="6.1"/>
    <x v="39"/>
    <x v="0"/>
  </r>
  <r>
    <s v="HC-02190"/>
    <s v="P-1369"/>
    <s v="Female"/>
    <n v="79"/>
    <x v="4"/>
    <s v="General Consultation"/>
    <d v="2025-11-14T00:00:00"/>
    <d v="2025-11-16T00:00:00"/>
    <s v="Sunday"/>
    <s v="Evening"/>
    <x v="1"/>
    <n v="2"/>
    <n v="2"/>
    <x v="0"/>
    <x v="0"/>
    <s v="SMS"/>
    <n v="7.2"/>
    <x v="41"/>
    <x v="1"/>
  </r>
  <r>
    <s v="HC-02191"/>
    <s v="P-0719"/>
    <s v="Male"/>
    <n v="63"/>
    <x v="3"/>
    <s v="Follow-up"/>
    <d v="2025-06-18T00:00:00"/>
    <d v="2025-07-17T00:00:00"/>
    <s v="Thursday"/>
    <s v="Evening"/>
    <x v="3"/>
    <n v="29"/>
    <n v="4"/>
    <x v="0"/>
    <x v="0"/>
    <s v="WhatsApp"/>
    <n v="5.6"/>
    <x v="17"/>
    <x v="2"/>
  </r>
  <r>
    <s v="HC-02192"/>
    <s v="P-1164"/>
    <s v="Male"/>
    <n v="41"/>
    <x v="0"/>
    <s v="General Consultation"/>
    <d v="2025-06-13T00:00:00"/>
    <d v="2025-08-12T00:00:00"/>
    <s v="Tuesday"/>
    <s v="Morning"/>
    <x v="2"/>
    <n v="60"/>
    <n v="4"/>
    <x v="1"/>
    <x v="0"/>
    <s v="SMS"/>
    <n v="10.8"/>
    <x v="31"/>
    <x v="1"/>
  </r>
  <r>
    <s v="HC-02193"/>
    <s v="P-0121"/>
    <s v="Male"/>
    <n v="45"/>
    <x v="2"/>
    <s v="Specialist Consultation"/>
    <d v="2025-05-03T00:00:00"/>
    <d v="2025-06-06T00:00:00"/>
    <s v="Friday"/>
    <s v="Afternoon"/>
    <x v="2"/>
    <n v="34"/>
    <n v="5"/>
    <x v="1"/>
    <x v="0"/>
    <s v="SMS"/>
    <n v="6.8"/>
    <x v="12"/>
    <x v="2"/>
  </r>
  <r>
    <s v="HC-02194"/>
    <s v="P-0782"/>
    <s v="Female"/>
    <n v="22"/>
    <x v="5"/>
    <s v="General Consultation"/>
    <d v="2025-03-08T00:00:00"/>
    <d v="2025-04-30T00:00:00"/>
    <s v="Wednesday"/>
    <s v="Morning"/>
    <x v="2"/>
    <n v="53"/>
    <n v="6"/>
    <x v="2"/>
    <x v="0"/>
    <s v="SMS"/>
    <m/>
    <x v="22"/>
    <x v="0"/>
  </r>
  <r>
    <s v="HC-02195"/>
    <s v="P-0610"/>
    <s v="Male"/>
    <n v="21"/>
    <x v="5"/>
    <s v="Follow-up"/>
    <d v="2025-11-10T00:00:00"/>
    <d v="2025-12-25T00:00:00"/>
    <s v="Thursday"/>
    <s v="Afternoon"/>
    <x v="2"/>
    <n v="45"/>
    <n v="5"/>
    <x v="0"/>
    <x v="0"/>
    <s v="SMS"/>
    <n v="3.9"/>
    <x v="35"/>
    <x v="0"/>
  </r>
  <r>
    <s v="HC-02196"/>
    <s v="P-0599"/>
    <s v="Female"/>
    <n v="51"/>
    <x v="2"/>
    <s v="General Consultation"/>
    <d v="2026-01-28T00:00:00"/>
    <d v="2026-03-22T00:00:00"/>
    <s v="Sunday"/>
    <s v="Afternoon"/>
    <x v="2"/>
    <n v="53"/>
    <n v="2"/>
    <x v="0"/>
    <x v="0"/>
    <s v="SMS"/>
    <n v="13.6"/>
    <x v="7"/>
    <x v="0"/>
  </r>
  <r>
    <s v="HC-02197"/>
    <s v="P-0769"/>
    <s v="Male"/>
    <n v="19"/>
    <x v="5"/>
    <s v="Follow-up"/>
    <d v="2025-05-21T00:00:00"/>
    <d v="2025-06-08T00:00:00"/>
    <s v="Sunday"/>
    <s v="Morning"/>
    <x v="3"/>
    <n v="18"/>
    <n v="2"/>
    <x v="0"/>
    <x v="0"/>
    <s v="SMS"/>
    <n v="18.600000000000001"/>
    <x v="13"/>
    <x v="0"/>
  </r>
  <r>
    <s v="HC-02198"/>
    <s v="P-1638"/>
    <s v="Female"/>
    <n v="58"/>
    <x v="3"/>
    <s v="Follow-up"/>
    <d v="2026-02-16T00:00:00"/>
    <d v="2026-04-15T00:00:00"/>
    <s v="Wednesday"/>
    <s v="Afternoon"/>
    <x v="2"/>
    <n v="58"/>
    <n v="1"/>
    <x v="0"/>
    <x v="0"/>
    <s v="Email"/>
    <n v="3.8"/>
    <x v="29"/>
    <x v="1"/>
  </r>
  <r>
    <s v="HC-02199"/>
    <s v="P-1259"/>
    <s v="Female"/>
    <n v="42"/>
    <x v="0"/>
    <s v="General Consultation"/>
    <d v="2025-10-25T00:00:00"/>
    <d v="2025-11-08T00:00:00"/>
    <s v="Saturday"/>
    <s v="Afternoon"/>
    <x v="0"/>
    <n v="14"/>
    <n v="2"/>
    <x v="0"/>
    <x v="1"/>
    <s v="None"/>
    <n v="12.3"/>
    <x v="6"/>
    <x v="0"/>
  </r>
  <r>
    <s v="HC-02200"/>
    <s v="P-1466"/>
    <s v="Male"/>
    <n v="26"/>
    <x v="1"/>
    <s v="General Consultation"/>
    <d v="2025-03-07T00:00:00"/>
    <d v="2025-04-02T00:00:00"/>
    <s v="Wednesday"/>
    <s v="Afternoon"/>
    <x v="3"/>
    <n v="26"/>
    <n v="4"/>
    <x v="0"/>
    <x v="1"/>
    <s v="None"/>
    <n v="16.399999999999999"/>
    <x v="26"/>
    <x v="0"/>
  </r>
  <r>
    <s v="HC-02201"/>
    <s v="P-1046"/>
    <s v="Female"/>
    <n v="51"/>
    <x v="2"/>
    <s v="General Consultation"/>
    <d v="2025-06-08T00:00:00"/>
    <d v="2025-07-19T00:00:00"/>
    <s v="Saturday"/>
    <s v="Evening"/>
    <x v="2"/>
    <n v="41"/>
    <n v="5"/>
    <x v="1"/>
    <x v="0"/>
    <s v="SMS"/>
    <n v="2.5"/>
    <x v="16"/>
    <x v="1"/>
  </r>
  <r>
    <s v="HC-02202"/>
    <s v="P-1504"/>
    <s v="Male"/>
    <n v="52"/>
    <x v="2"/>
    <s v="General Consultation"/>
    <d v="2024-12-19T00:00:00"/>
    <d v="2025-01-05T00:00:00"/>
    <s v="Sunday"/>
    <s v="Afternoon"/>
    <x v="3"/>
    <n v="17"/>
    <n v="3"/>
    <x v="1"/>
    <x v="0"/>
    <s v="SMS"/>
    <n v="4.9000000000000004"/>
    <x v="16"/>
    <x v="1"/>
  </r>
  <r>
    <s v="HC-02203"/>
    <s v="P-1328"/>
    <s v="Male"/>
    <n v="65"/>
    <x v="4"/>
    <s v="Diagnostic Test"/>
    <d v="2025-01-06T00:00:00"/>
    <d v="2025-01-22T00:00:00"/>
    <s v="Wednesday"/>
    <s v="Afternoon"/>
    <x v="3"/>
    <n v="16"/>
    <n v="3"/>
    <x v="0"/>
    <x v="0"/>
    <s v="SMS"/>
    <n v="17.8"/>
    <x v="19"/>
    <x v="0"/>
  </r>
  <r>
    <s v="HC-02204"/>
    <s v="P-0165"/>
    <s v="Female"/>
    <n v="30"/>
    <x v="1"/>
    <s v="General Consultation"/>
    <d v="2025-06-26T00:00:00"/>
    <d v="2025-07-03T00:00:00"/>
    <s v="Thursday"/>
    <s v="Morning"/>
    <x v="1"/>
    <n v="7"/>
    <n v="7"/>
    <x v="1"/>
    <x v="0"/>
    <s v="WhatsApp"/>
    <n v="17.8"/>
    <x v="8"/>
    <x v="0"/>
  </r>
  <r>
    <s v="HC-02205"/>
    <s v="P-1178"/>
    <s v="Female"/>
    <n v="52"/>
    <x v="2"/>
    <s v="General Consultation"/>
    <d v="2025-09-06T00:00:00"/>
    <d v="2025-09-06T00:00:00"/>
    <s v="Saturday"/>
    <s v="Morning"/>
    <x v="1"/>
    <n v="0"/>
    <n v="5"/>
    <x v="0"/>
    <x v="0"/>
    <s v="SMS"/>
    <n v="8.6"/>
    <x v="13"/>
    <x v="1"/>
  </r>
  <r>
    <s v="HC-02206"/>
    <s v="P-0732"/>
    <s v="Male"/>
    <n v="71"/>
    <x v="4"/>
    <s v="General Consultation"/>
    <d v="2026-02-10T00:00:00"/>
    <d v="2026-03-12T00:00:00"/>
    <s v="Thursday"/>
    <s v="Morning"/>
    <x v="3"/>
    <n v="30"/>
    <n v="1"/>
    <x v="0"/>
    <x v="0"/>
    <s v="WhatsApp"/>
    <n v="10.4"/>
    <x v="21"/>
    <x v="0"/>
  </r>
  <r>
    <s v="HC-02207"/>
    <s v="P-0887"/>
    <s v="Male"/>
    <n v="35"/>
    <x v="0"/>
    <s v="Specialist Consultation"/>
    <d v="2025-01-14T00:00:00"/>
    <d v="2025-03-15T00:00:00"/>
    <s v="Saturday"/>
    <s v="Morning"/>
    <x v="2"/>
    <n v="60"/>
    <n v="4"/>
    <x v="1"/>
    <x v="0"/>
    <s v="WhatsApp"/>
    <n v="13.2"/>
    <x v="10"/>
    <x v="0"/>
  </r>
  <r>
    <s v="HC-02208"/>
    <s v="P-0638"/>
    <s v="Male"/>
    <n v="70"/>
    <x v="4"/>
    <s v="Diagnostic Test"/>
    <d v="2026-03-22T00:00:00"/>
    <d v="2026-04-04T00:00:00"/>
    <s v="Saturday"/>
    <s v="Morning"/>
    <x v="0"/>
    <n v="13"/>
    <n v="1"/>
    <x v="0"/>
    <x v="1"/>
    <s v="None"/>
    <n v="16.100000000000001"/>
    <x v="12"/>
    <x v="1"/>
  </r>
  <r>
    <s v="HC-02209"/>
    <s v="P-0137"/>
    <s v="Female"/>
    <n v="63"/>
    <x v="3"/>
    <s v="Specialist Consultation"/>
    <d v="2025-04-13T00:00:00"/>
    <d v="2025-05-09T00:00:00"/>
    <s v="Friday"/>
    <s v="Afternoon"/>
    <x v="3"/>
    <n v="26"/>
    <n v="3"/>
    <x v="1"/>
    <x v="1"/>
    <s v="None"/>
    <n v="9.6999999999999993"/>
    <x v="14"/>
    <x v="0"/>
  </r>
  <r>
    <s v="HC-02210"/>
    <s v="P-1577"/>
    <s v="Male"/>
    <n v="45"/>
    <x v="2"/>
    <s v="Follow-up"/>
    <d v="2025-01-19T00:00:00"/>
    <d v="2025-03-17T00:00:00"/>
    <s v="Monday"/>
    <s v="Afternoon"/>
    <x v="2"/>
    <n v="57"/>
    <n v="5"/>
    <x v="1"/>
    <x v="1"/>
    <s v="None"/>
    <n v="16.100000000000001"/>
    <x v="14"/>
    <x v="2"/>
  </r>
  <r>
    <s v="HC-02211"/>
    <s v="P-0411"/>
    <s v="Female"/>
    <n v="73"/>
    <x v="4"/>
    <s v="Specialist Consultation"/>
    <d v="2025-12-02T00:00:00"/>
    <d v="2026-01-18T00:00:00"/>
    <s v="Sunday"/>
    <s v="Morning"/>
    <x v="2"/>
    <n v="47"/>
    <n v="2"/>
    <x v="0"/>
    <x v="1"/>
    <s v="None"/>
    <n v="1.7"/>
    <x v="12"/>
    <x v="0"/>
  </r>
  <r>
    <s v="HC-02212"/>
    <s v="P-0597"/>
    <s v="Female"/>
    <n v="78"/>
    <x v="4"/>
    <s v="General Consultation"/>
    <d v="2026-02-27T00:00:00"/>
    <d v="2026-02-27T00:00:00"/>
    <s v="Friday"/>
    <s v="Afternoon"/>
    <x v="1"/>
    <n v="0"/>
    <n v="1"/>
    <x v="0"/>
    <x v="0"/>
    <s v="WhatsApp"/>
    <n v="7.8"/>
    <x v="10"/>
    <x v="1"/>
  </r>
  <r>
    <s v="HC-02213"/>
    <s v="P-1136"/>
    <s v="Male"/>
    <n v="32"/>
    <x v="1"/>
    <s v="Specialist Consultation"/>
    <d v="2025-10-28T00:00:00"/>
    <d v="2025-11-27T00:00:00"/>
    <s v="Thursday"/>
    <s v="Evening"/>
    <x v="3"/>
    <n v="30"/>
    <n v="5"/>
    <x v="2"/>
    <x v="0"/>
    <s v="Email"/>
    <n v="13"/>
    <x v="6"/>
    <x v="0"/>
  </r>
  <r>
    <s v="HC-02214"/>
    <s v="P-1693"/>
    <s v="Female"/>
    <n v="79"/>
    <x v="4"/>
    <s v="Specialist Consultation"/>
    <d v="2025-02-25T00:00:00"/>
    <d v="2025-03-05T00:00:00"/>
    <s v="Wednesday"/>
    <s v="Morning"/>
    <x v="0"/>
    <n v="8"/>
    <n v="2"/>
    <x v="0"/>
    <x v="0"/>
    <s v="WhatsApp"/>
    <n v="11.3"/>
    <x v="31"/>
    <x v="2"/>
  </r>
  <r>
    <s v="HC-02215"/>
    <s v="P-0481"/>
    <s v="Female"/>
    <n v="18"/>
    <x v="5"/>
    <s v="General Consultation"/>
    <d v="2025-02-17T00:00:00"/>
    <d v="2025-03-04T00:00:00"/>
    <s v="Tuesday"/>
    <s v="Afternoon"/>
    <x v="3"/>
    <n v="15"/>
    <n v="3"/>
    <x v="0"/>
    <x v="0"/>
    <s v="WhatsApp"/>
    <n v="21.3"/>
    <x v="4"/>
    <x v="1"/>
  </r>
  <r>
    <s v="HC-02216"/>
    <s v="P-1458"/>
    <s v="Female"/>
    <n v="26"/>
    <x v="1"/>
    <s v="Follow-up"/>
    <d v="2025-07-17T00:00:00"/>
    <d v="2025-08-01T00:00:00"/>
    <s v="Friday"/>
    <s v="Morning"/>
    <x v="3"/>
    <n v="15"/>
    <n v="5"/>
    <x v="2"/>
    <x v="0"/>
    <s v="Email"/>
    <n v="4.8"/>
    <x v="23"/>
    <x v="0"/>
  </r>
  <r>
    <s v="HC-02217"/>
    <s v="P-0226"/>
    <s v="Male"/>
    <n v="20"/>
    <x v="5"/>
    <s v="General Consultation"/>
    <d v="2025-07-29T00:00:00"/>
    <d v="2025-09-04T00:00:00"/>
    <s v="Thursday"/>
    <s v="Afternoon"/>
    <x v="2"/>
    <n v="37"/>
    <n v="2"/>
    <x v="1"/>
    <x v="0"/>
    <s v="WhatsApp"/>
    <n v="4.5999999999999996"/>
    <x v="32"/>
    <x v="0"/>
  </r>
  <r>
    <s v="HC-02218"/>
    <s v="P-1564"/>
    <s v="Male"/>
    <n v="41"/>
    <x v="0"/>
    <s v="General Consultation"/>
    <d v="2026-06-18T00:00:00"/>
    <d v="2026-06-30T00:00:00"/>
    <s v="Tuesday"/>
    <s v="Afternoon"/>
    <x v="0"/>
    <n v="12"/>
    <n v="5"/>
    <x v="2"/>
    <x v="1"/>
    <s v="None"/>
    <n v="22.9"/>
    <x v="1"/>
    <x v="0"/>
  </r>
  <r>
    <s v="HC-02219"/>
    <s v="P-0410"/>
    <s v="Male"/>
    <n v="77"/>
    <x v="4"/>
    <s v="Specialist Consultation"/>
    <d v="2025-05-22T00:00:00"/>
    <d v="2025-06-06T00:00:00"/>
    <s v="Friday"/>
    <s v="Morning"/>
    <x v="3"/>
    <n v="15"/>
    <n v="5"/>
    <x v="0"/>
    <x v="0"/>
    <s v="SMS"/>
    <n v="2.8"/>
    <x v="12"/>
    <x v="1"/>
  </r>
  <r>
    <s v="HC-02220"/>
    <s v="P-0192"/>
    <s v="Female"/>
    <n v="55"/>
    <x v="3"/>
    <s v="General Consultation"/>
    <d v="2025-04-03T00:00:00"/>
    <d v="2025-04-16T00:00:00"/>
    <s v="Wednesday"/>
    <s v="Morning"/>
    <x v="0"/>
    <n v="13"/>
    <n v="2"/>
    <x v="0"/>
    <x v="0"/>
    <s v="WhatsApp"/>
    <n v="14.6"/>
    <x v="24"/>
    <x v="1"/>
  </r>
  <r>
    <s v="HC-02221"/>
    <s v="P-1077"/>
    <s v="Female"/>
    <n v="56"/>
    <x v="3"/>
    <s v="Specialist Consultation"/>
    <d v="2026-05-11T00:00:00"/>
    <d v="2026-06-01T00:00:00"/>
    <s v="Monday"/>
    <s v="Evening"/>
    <x v="3"/>
    <n v="21"/>
    <n v="3"/>
    <x v="0"/>
    <x v="1"/>
    <s v="None"/>
    <n v="13.6"/>
    <x v="1"/>
    <x v="1"/>
  </r>
  <r>
    <s v="HC-02222"/>
    <s v="P-1757"/>
    <s v="Male"/>
    <n v="23"/>
    <x v="5"/>
    <s v="Diagnostic Test"/>
    <d v="2025-02-14T00:00:00"/>
    <d v="2025-03-26T00:00:00"/>
    <s v="Wednesday"/>
    <s v="Morning"/>
    <x v="2"/>
    <n v="40"/>
    <n v="3"/>
    <x v="0"/>
    <x v="0"/>
    <s v="SMS"/>
    <n v="6.4"/>
    <x v="9"/>
    <x v="0"/>
  </r>
  <r>
    <s v="HC-02223"/>
    <s v="P-1694"/>
    <s v="Female"/>
    <n v="50"/>
    <x v="2"/>
    <s v="Follow-up"/>
    <d v="2024-12-22T00:00:00"/>
    <d v="2025-01-15T00:00:00"/>
    <s v="Wednesday"/>
    <s v="Afternoon"/>
    <x v="3"/>
    <n v="24"/>
    <n v="2"/>
    <x v="0"/>
    <x v="0"/>
    <s v="SMS"/>
    <n v="22.5"/>
    <x v="3"/>
    <x v="0"/>
  </r>
  <r>
    <s v="HC-02224"/>
    <s v="P-0666"/>
    <s v="Female"/>
    <n v="42"/>
    <x v="0"/>
    <s v="General Consultation"/>
    <d v="2025-07-31T00:00:00"/>
    <d v="2025-08-19T00:00:00"/>
    <s v="Tuesday"/>
    <s v="Afternoon"/>
    <x v="3"/>
    <n v="19"/>
    <n v="2"/>
    <x v="1"/>
    <x v="0"/>
    <s v="SMS"/>
    <n v="8.9"/>
    <x v="47"/>
    <x v="0"/>
  </r>
  <r>
    <s v="HC-02225"/>
    <s v="P-0153"/>
    <s v="Female"/>
    <n v="48"/>
    <x v="2"/>
    <s v="Follow-up"/>
    <d v="2025-07-07T00:00:00"/>
    <d v="2025-08-07T00:00:00"/>
    <s v="Thursday"/>
    <s v="Morning"/>
    <x v="2"/>
    <n v="31"/>
    <n v="1"/>
    <x v="0"/>
    <x v="0"/>
    <s v="SMS"/>
    <n v="9.5"/>
    <x v="12"/>
    <x v="0"/>
  </r>
  <r>
    <s v="HC-02226"/>
    <s v="P-0145"/>
    <s v="Male"/>
    <n v="34"/>
    <x v="1"/>
    <s v="Specialist Consultation"/>
    <d v="2025-10-29T00:00:00"/>
    <d v="2025-12-05T00:00:00"/>
    <s v="Friday"/>
    <s v="Afternoon"/>
    <x v="2"/>
    <n v="37"/>
    <n v="1"/>
    <x v="0"/>
    <x v="1"/>
    <s v="None"/>
    <n v="4.9000000000000004"/>
    <x v="2"/>
    <x v="0"/>
  </r>
  <r>
    <s v="HC-02227"/>
    <s v="P-0356"/>
    <s v="Male"/>
    <n v="30"/>
    <x v="1"/>
    <s v="General Consultation"/>
    <d v="2026-04-25T00:00:00"/>
    <d v="2026-04-25T00:00:00"/>
    <s v="Saturday"/>
    <s v="Afternoon"/>
    <x v="1"/>
    <n v="0"/>
    <n v="4"/>
    <x v="0"/>
    <x v="1"/>
    <s v="None"/>
    <n v="5.4"/>
    <x v="9"/>
    <x v="1"/>
  </r>
  <r>
    <s v="HC-02228"/>
    <s v="P-1123"/>
    <s v="Female"/>
    <n v="77"/>
    <x v="4"/>
    <s v="General Consultation"/>
    <d v="2026-04-01T00:00:00"/>
    <d v="2026-05-25T00:00:00"/>
    <s v="Monday"/>
    <s v="Morning"/>
    <x v="2"/>
    <n v="54"/>
    <n v="6"/>
    <x v="1"/>
    <x v="1"/>
    <s v="None"/>
    <n v="4.4000000000000004"/>
    <x v="37"/>
    <x v="0"/>
  </r>
  <r>
    <s v="HC-02229"/>
    <s v="P-0812"/>
    <s v="Female"/>
    <n v="53"/>
    <x v="2"/>
    <s v="Follow-up"/>
    <d v="2025-04-14T00:00:00"/>
    <d v="2025-06-08T00:00:00"/>
    <s v="Sunday"/>
    <s v="Evening"/>
    <x v="2"/>
    <n v="55"/>
    <n v="5"/>
    <x v="1"/>
    <x v="0"/>
    <s v="SMS"/>
    <n v="12.5"/>
    <x v="8"/>
    <x v="0"/>
  </r>
  <r>
    <s v="HC-02230"/>
    <s v="P-1557"/>
    <s v="Male"/>
    <n v="43"/>
    <x v="0"/>
    <s v="Diagnostic Test"/>
    <d v="2026-05-15T00:00:00"/>
    <d v="2026-06-20T00:00:00"/>
    <s v="Saturday"/>
    <s v="Afternoon"/>
    <x v="2"/>
    <n v="36"/>
    <n v="3"/>
    <x v="0"/>
    <x v="1"/>
    <s v="None"/>
    <n v="12.1"/>
    <x v="17"/>
    <x v="0"/>
  </r>
  <r>
    <s v="HC-02231"/>
    <s v="P-0164"/>
    <s v="Male"/>
    <n v="22"/>
    <x v="5"/>
    <s v="General Consultation"/>
    <d v="2025-11-07T00:00:00"/>
    <d v="2025-12-12T00:00:00"/>
    <s v="Friday"/>
    <s v="Afternoon"/>
    <x v="2"/>
    <n v="35"/>
    <n v="4"/>
    <x v="1"/>
    <x v="1"/>
    <s v="None"/>
    <n v="1.6"/>
    <x v="6"/>
    <x v="1"/>
  </r>
  <r>
    <s v="HC-02232"/>
    <s v="P-1311"/>
    <s v="Female"/>
    <n v="66"/>
    <x v="4"/>
    <s v="General Consultation"/>
    <d v="2024-12-28T00:00:00"/>
    <d v="2025-02-08T00:00:00"/>
    <s v="Saturday"/>
    <s v="Morning"/>
    <x v="2"/>
    <n v="42"/>
    <n v="1"/>
    <x v="0"/>
    <x v="1"/>
    <s v="None"/>
    <n v="17.2"/>
    <x v="4"/>
    <x v="1"/>
  </r>
  <r>
    <s v="HC-02233"/>
    <s v="P-1706"/>
    <s v="Female"/>
    <n v="47"/>
    <x v="2"/>
    <s v="Diagnostic Test"/>
    <d v="2026-05-02T00:00:00"/>
    <d v="2026-05-28T00:00:00"/>
    <s v="Thursday"/>
    <s v="Morning"/>
    <x v="3"/>
    <n v="26"/>
    <n v="3"/>
    <x v="0"/>
    <x v="0"/>
    <s v="SMS"/>
    <n v="8.1999999999999993"/>
    <x v="17"/>
    <x v="0"/>
  </r>
  <r>
    <s v="HC-02234"/>
    <s v="P-1270"/>
    <s v="Male"/>
    <n v="42"/>
    <x v="0"/>
    <s v="General Consultation"/>
    <d v="2025-02-23T00:00:00"/>
    <d v="2025-03-17T00:00:00"/>
    <s v="Monday"/>
    <s v="Afternoon"/>
    <x v="3"/>
    <n v="22"/>
    <n v="9"/>
    <x v="1"/>
    <x v="0"/>
    <s v="Email"/>
    <n v="2.7"/>
    <x v="15"/>
    <x v="1"/>
  </r>
  <r>
    <s v="HC-02235"/>
    <s v="P-1705"/>
    <s v="Male"/>
    <n v="60"/>
    <x v="3"/>
    <s v="General Consultation"/>
    <d v="2025-10-28T00:00:00"/>
    <d v="2025-11-18T00:00:00"/>
    <s v="Tuesday"/>
    <s v="Afternoon"/>
    <x v="3"/>
    <n v="21"/>
    <n v="2"/>
    <x v="0"/>
    <x v="0"/>
    <s v="SMS"/>
    <n v="21.6"/>
    <x v="43"/>
    <x v="1"/>
  </r>
  <r>
    <s v="HC-02236"/>
    <s v="P-1695"/>
    <s v="Male"/>
    <n v="26"/>
    <x v="1"/>
    <s v="Follow-up"/>
    <d v="2026-02-27T00:00:00"/>
    <d v="2026-03-08T00:00:00"/>
    <s v="Sunday"/>
    <s v="Morning"/>
    <x v="0"/>
    <n v="9"/>
    <n v="4"/>
    <x v="3"/>
    <x v="0"/>
    <s v="Email"/>
    <n v="7.2"/>
    <x v="10"/>
    <x v="1"/>
  </r>
  <r>
    <s v="HC-02237"/>
    <s v="P-0615"/>
    <s v="Male"/>
    <n v="51"/>
    <x v="2"/>
    <s v="General Consultation"/>
    <d v="2025-03-27T00:00:00"/>
    <d v="2025-05-17T00:00:00"/>
    <s v="Saturday"/>
    <s v="Afternoon"/>
    <x v="2"/>
    <n v="51"/>
    <n v="5"/>
    <x v="1"/>
    <x v="1"/>
    <s v="None"/>
    <n v="7.1"/>
    <x v="12"/>
    <x v="0"/>
  </r>
  <r>
    <s v="HC-02238"/>
    <s v="P-1742"/>
    <s v="Male"/>
    <n v="72"/>
    <x v="4"/>
    <s v="General Consultation"/>
    <d v="2025-05-09T00:00:00"/>
    <d v="2025-05-28T00:00:00"/>
    <s v="Wednesday"/>
    <s v="Afternoon"/>
    <x v="3"/>
    <n v="19"/>
    <n v="1"/>
    <x v="0"/>
    <x v="1"/>
    <s v="None"/>
    <n v="8.6"/>
    <x v="6"/>
    <x v="0"/>
  </r>
  <r>
    <s v="HC-02239"/>
    <s v="P-0301"/>
    <s v="Female"/>
    <n v="47"/>
    <x v="2"/>
    <s v="Follow-up"/>
    <d v="2025-08-31T00:00:00"/>
    <d v="2025-09-17T00:00:00"/>
    <s v="Wednesday"/>
    <s v="Morning"/>
    <x v="3"/>
    <n v="17"/>
    <n v="2"/>
    <x v="1"/>
    <x v="1"/>
    <s v="None"/>
    <n v="16.3"/>
    <x v="14"/>
    <x v="0"/>
  </r>
  <r>
    <s v="HC-02240"/>
    <s v="P-1484"/>
    <s v="Female"/>
    <n v="18"/>
    <x v="5"/>
    <s v="Follow-up"/>
    <d v="2026-03-02T00:00:00"/>
    <d v="2026-04-29T00:00:00"/>
    <s v="Wednesday"/>
    <s v="Afternoon"/>
    <x v="2"/>
    <n v="58"/>
    <n v="6"/>
    <x v="1"/>
    <x v="0"/>
    <s v="WhatsApp"/>
    <n v="6.3"/>
    <x v="13"/>
    <x v="0"/>
  </r>
  <r>
    <s v="HC-02241"/>
    <s v="P-1693"/>
    <s v="Female"/>
    <n v="32"/>
    <x v="1"/>
    <s v="Follow-up"/>
    <d v="2025-04-03T00:00:00"/>
    <d v="2025-05-03T00:00:00"/>
    <s v="Saturday"/>
    <s v="Afternoon"/>
    <x v="3"/>
    <n v="30"/>
    <n v="5"/>
    <x v="1"/>
    <x v="0"/>
    <s v="SMS"/>
    <n v="19.2"/>
    <x v="5"/>
    <x v="1"/>
  </r>
  <r>
    <s v="HC-02242"/>
    <s v="P-1412"/>
    <s v="Male"/>
    <n v="21"/>
    <x v="5"/>
    <s v="General Consultation"/>
    <d v="2025-11-22T00:00:00"/>
    <d v="2025-12-29T00:00:00"/>
    <s v="Monday"/>
    <s v="Afternoon"/>
    <x v="2"/>
    <n v="37"/>
    <n v="5"/>
    <x v="2"/>
    <x v="1"/>
    <s v="None"/>
    <n v="4.4000000000000004"/>
    <x v="49"/>
    <x v="0"/>
  </r>
  <r>
    <s v="HC-02243"/>
    <s v="P-1435"/>
    <s v="Female"/>
    <n v="49"/>
    <x v="2"/>
    <s v="Follow-up"/>
    <d v="2025-08-22T00:00:00"/>
    <d v="2025-09-05T00:00:00"/>
    <s v="Friday"/>
    <s v="Afternoon"/>
    <x v="0"/>
    <n v="14"/>
    <n v="5"/>
    <x v="1"/>
    <x v="0"/>
    <s v="WhatsApp"/>
    <n v="6.8"/>
    <x v="20"/>
    <x v="1"/>
  </r>
  <r>
    <s v="HC-02244"/>
    <s v="P-0631"/>
    <s v="Female"/>
    <n v="40"/>
    <x v="0"/>
    <s v="Follow-up"/>
    <d v="2025-02-15T00:00:00"/>
    <d v="2025-03-03T00:00:00"/>
    <s v="Monday"/>
    <s v="Afternoon"/>
    <x v="3"/>
    <n v="16"/>
    <n v="3"/>
    <x v="1"/>
    <x v="0"/>
    <s v="SMS"/>
    <n v="1.3"/>
    <x v="25"/>
    <x v="0"/>
  </r>
  <r>
    <s v="HC-02245"/>
    <s v="P-1286"/>
    <s v="Female"/>
    <n v="26"/>
    <x v="1"/>
    <s v="Specialist Consultation"/>
    <d v="2025-12-11T00:00:00"/>
    <d v="2026-01-24T00:00:00"/>
    <s v="Saturday"/>
    <s v="Evening"/>
    <x v="2"/>
    <n v="44"/>
    <n v="4"/>
    <x v="0"/>
    <x v="0"/>
    <s v="WhatsApp"/>
    <n v="7.3"/>
    <x v="26"/>
    <x v="1"/>
  </r>
  <r>
    <s v="HC-02246"/>
    <s v="P-0833"/>
    <s v="Male"/>
    <n v="61"/>
    <x v="3"/>
    <s v="Specialist Consultation"/>
    <d v="2026-03-04T00:00:00"/>
    <d v="2026-03-31T00:00:00"/>
    <s v="Tuesday"/>
    <s v="Afternoon"/>
    <x v="3"/>
    <n v="27"/>
    <n v="3"/>
    <x v="0"/>
    <x v="1"/>
    <s v="None"/>
    <n v="3.2"/>
    <x v="36"/>
    <x v="1"/>
  </r>
  <r>
    <s v="HC-02247"/>
    <s v="P-0305"/>
    <s v="Male"/>
    <n v="29"/>
    <x v="1"/>
    <s v="Follow-up"/>
    <d v="2025-11-02T00:00:00"/>
    <d v="2025-11-11T00:00:00"/>
    <s v="Tuesday"/>
    <s v="Morning"/>
    <x v="0"/>
    <n v="9"/>
    <n v="4"/>
    <x v="2"/>
    <x v="0"/>
    <s v="WhatsApp"/>
    <n v="3.7"/>
    <x v="26"/>
    <x v="1"/>
  </r>
  <r>
    <s v="HC-02248"/>
    <s v="P-0954"/>
    <s v="Female"/>
    <n v="39"/>
    <x v="0"/>
    <s v="Diagnostic Test"/>
    <d v="2025-02-16T00:00:00"/>
    <d v="2025-04-07T00:00:00"/>
    <s v="Monday"/>
    <s v="Afternoon"/>
    <x v="2"/>
    <n v="50"/>
    <n v="5"/>
    <x v="1"/>
    <x v="0"/>
    <s v="SMS"/>
    <n v="3.3"/>
    <x v="46"/>
    <x v="1"/>
  </r>
  <r>
    <s v="HC-02249"/>
    <s v="P-1589"/>
    <s v="Female"/>
    <n v="80"/>
    <x v="4"/>
    <s v="Specialist Consultation"/>
    <d v="2025-03-03T00:00:00"/>
    <d v="2025-03-27T00:00:00"/>
    <s v="Thursday"/>
    <s v="Evening"/>
    <x v="3"/>
    <n v="24"/>
    <n v="4"/>
    <x v="1"/>
    <x v="0"/>
    <s v="SMS"/>
    <n v="8.9"/>
    <x v="25"/>
    <x v="1"/>
  </r>
  <r>
    <s v="HC-02250"/>
    <s v="P-0863"/>
    <s v="Male"/>
    <n v="22"/>
    <x v="5"/>
    <s v="General Consultation"/>
    <d v="2025-07-11T00:00:00"/>
    <d v="2025-08-20T00:00:00"/>
    <s v="Wednesday"/>
    <s v="Evening"/>
    <x v="2"/>
    <n v="40"/>
    <n v="2"/>
    <x v="1"/>
    <x v="1"/>
    <s v="None"/>
    <n v="8.6999999999999993"/>
    <x v="28"/>
    <x v="0"/>
  </r>
  <r>
    <s v="HC-02251"/>
    <s v="P-0850"/>
    <s v="Female"/>
    <n v="33"/>
    <x v="1"/>
    <s v="Diagnostic Test"/>
    <d v="2025-09-14T00:00:00"/>
    <d v="2025-10-04T00:00:00"/>
    <s v="Saturday"/>
    <s v="Morning"/>
    <x v="3"/>
    <n v="20"/>
    <n v="3"/>
    <x v="1"/>
    <x v="0"/>
    <s v="Email"/>
    <n v="14.3"/>
    <x v="16"/>
    <x v="1"/>
  </r>
  <r>
    <s v="HC-02252"/>
    <s v="P-1453"/>
    <s v="Male"/>
    <n v="38"/>
    <x v="0"/>
    <s v="Diagnostic Test"/>
    <d v="2025-09-25T00:00:00"/>
    <d v="2025-10-29T00:00:00"/>
    <s v="Wednesday"/>
    <s v="Morning"/>
    <x v="2"/>
    <n v="34"/>
    <n v="2"/>
    <x v="0"/>
    <x v="0"/>
    <s v="SMS"/>
    <n v="7"/>
    <x v="9"/>
    <x v="0"/>
  </r>
  <r>
    <s v="HC-02253"/>
    <s v="P-1743"/>
    <s v="Female"/>
    <n v="50"/>
    <x v="2"/>
    <s v="General Consultation"/>
    <d v="2025-03-28T00:00:00"/>
    <d v="2025-05-14T00:00:00"/>
    <s v="Wednesday"/>
    <s v="Morning"/>
    <x v="2"/>
    <n v="47"/>
    <n v="2"/>
    <x v="0"/>
    <x v="0"/>
    <s v="SMS"/>
    <n v="12.6"/>
    <x v="0"/>
    <x v="0"/>
  </r>
  <r>
    <s v="HC-02254"/>
    <s v="P-1788"/>
    <s v="Male"/>
    <n v="33"/>
    <x v="1"/>
    <s v="General Consultation"/>
    <d v="2025-08-09T00:00:00"/>
    <d v="2025-10-01T00:00:00"/>
    <s v="Wednesday"/>
    <s v="Evening"/>
    <x v="2"/>
    <n v="53"/>
    <n v="1"/>
    <x v="0"/>
    <x v="0"/>
    <s v="SMS"/>
    <n v="9.6"/>
    <x v="20"/>
    <x v="0"/>
  </r>
  <r>
    <s v="HC-02255"/>
    <s v="P-1601"/>
    <s v="Female"/>
    <n v="79"/>
    <x v="4"/>
    <s v="Follow-up"/>
    <d v="2025-05-30T00:00:00"/>
    <d v="2025-06-11T00:00:00"/>
    <s v="Wednesday"/>
    <s v="Evening"/>
    <x v="0"/>
    <n v="12"/>
    <n v="2"/>
    <x v="0"/>
    <x v="0"/>
    <s v="SMS"/>
    <n v="5.9"/>
    <x v="15"/>
    <x v="1"/>
  </r>
  <r>
    <s v="HC-02256"/>
    <s v="P-0371"/>
    <s v="Male"/>
    <n v="18"/>
    <x v="5"/>
    <s v="Follow-up"/>
    <d v="2025-11-30T00:00:00"/>
    <d v="2026-01-10T00:00:00"/>
    <s v="Saturday"/>
    <s v="Afternoon"/>
    <x v="2"/>
    <n v="41"/>
    <n v="5"/>
    <x v="1"/>
    <x v="0"/>
    <s v="SMS"/>
    <n v="16.7"/>
    <x v="36"/>
    <x v="0"/>
  </r>
  <r>
    <s v="HC-02257"/>
    <s v="P-0432"/>
    <s v="Female"/>
    <n v="77"/>
    <x v="4"/>
    <s v="Specialist Consultation"/>
    <d v="2026-01-15T00:00:00"/>
    <d v="2026-03-11T00:00:00"/>
    <s v="Wednesday"/>
    <s v="Morning"/>
    <x v="2"/>
    <n v="55"/>
    <n v="3"/>
    <x v="0"/>
    <x v="1"/>
    <s v="None"/>
    <n v="5.2"/>
    <x v="23"/>
    <x v="1"/>
  </r>
  <r>
    <s v="HC-02258"/>
    <s v="P-1420"/>
    <s v="Female"/>
    <n v="51"/>
    <x v="2"/>
    <s v="Follow-up"/>
    <d v="2025-11-14T00:00:00"/>
    <d v="2025-12-23T00:00:00"/>
    <s v="Tuesday"/>
    <s v="Evening"/>
    <x v="2"/>
    <n v="39"/>
    <n v="6"/>
    <x v="0"/>
    <x v="1"/>
    <s v="None"/>
    <n v="2.4"/>
    <x v="18"/>
    <x v="1"/>
  </r>
  <r>
    <s v="HC-02259"/>
    <s v="P-1425"/>
    <s v="Male"/>
    <n v="20"/>
    <x v="5"/>
    <s v="General Consultation"/>
    <d v="2024-12-24T00:00:00"/>
    <d v="2025-01-01T00:00:00"/>
    <s v="Wednesday"/>
    <s v="Morning"/>
    <x v="0"/>
    <n v="8"/>
    <n v="2"/>
    <x v="0"/>
    <x v="0"/>
    <s v="Email"/>
    <n v="1.4"/>
    <x v="7"/>
    <x v="1"/>
  </r>
  <r>
    <s v="HC-02260"/>
    <s v="P-1100"/>
    <s v="Male"/>
    <n v="25"/>
    <x v="1"/>
    <s v="General Consultation"/>
    <d v="2026-06-15T00:00:00"/>
    <d v="2026-06-26T00:00:00"/>
    <s v="Friday"/>
    <s v="Morning"/>
    <x v="0"/>
    <n v="11"/>
    <n v="2"/>
    <x v="0"/>
    <x v="0"/>
    <s v="SMS"/>
    <n v="6.2"/>
    <x v="27"/>
    <x v="0"/>
  </r>
  <r>
    <s v="HC-02261"/>
    <s v="P-1219"/>
    <s v="Male"/>
    <n v="24"/>
    <x v="5"/>
    <s v="Diagnostic Test"/>
    <d v="2025-01-01T00:00:00"/>
    <d v="2025-01-13T00:00:00"/>
    <s v="Monday"/>
    <s v="Morning"/>
    <x v="0"/>
    <n v="12"/>
    <n v="1"/>
    <x v="0"/>
    <x v="0"/>
    <s v="SMS"/>
    <n v="7.8"/>
    <x v="22"/>
    <x v="1"/>
  </r>
  <r>
    <s v="HC-02262"/>
    <s v="P-1308"/>
    <s v="Male"/>
    <n v="36"/>
    <x v="0"/>
    <s v="General Consultation"/>
    <d v="2026-06-24T00:00:00"/>
    <d v="2026-06-30T00:00:00"/>
    <s v="Tuesday"/>
    <s v="Afternoon"/>
    <x v="1"/>
    <n v="6"/>
    <n v="2"/>
    <x v="0"/>
    <x v="0"/>
    <s v="SMS"/>
    <n v="7.9"/>
    <x v="10"/>
    <x v="1"/>
  </r>
  <r>
    <s v="HC-02263"/>
    <s v="P-0305"/>
    <s v="Male"/>
    <n v="38"/>
    <x v="0"/>
    <s v="Specialist Consultation"/>
    <d v="2024-12-04T00:00:00"/>
    <d v="2025-01-18T00:00:00"/>
    <s v="Saturday"/>
    <s v="Afternoon"/>
    <x v="2"/>
    <n v="45"/>
    <n v="2"/>
    <x v="0"/>
    <x v="0"/>
    <s v="SMS"/>
    <n v="1.2"/>
    <x v="7"/>
    <x v="0"/>
  </r>
  <r>
    <s v="HC-02264"/>
    <s v="P-0902"/>
    <s v="Male"/>
    <n v="58"/>
    <x v="3"/>
    <s v="General Consultation"/>
    <d v="2025-08-12T00:00:00"/>
    <d v="2025-10-09T00:00:00"/>
    <s v="Thursday"/>
    <s v="Morning"/>
    <x v="2"/>
    <n v="58"/>
    <n v="2"/>
    <x v="1"/>
    <x v="0"/>
    <s v="SMS"/>
    <n v="11.2"/>
    <x v="7"/>
    <x v="1"/>
  </r>
  <r>
    <s v="HC-02265"/>
    <s v="P-1081"/>
    <s v="Female"/>
    <n v="37"/>
    <x v="0"/>
    <s v="Follow-up"/>
    <d v="2025-01-27T00:00:00"/>
    <d v="2025-02-27T00:00:00"/>
    <s v="Thursday"/>
    <s v="Morning"/>
    <x v="2"/>
    <n v="31"/>
    <n v="3"/>
    <x v="0"/>
    <x v="0"/>
    <s v="Email"/>
    <n v="6.9"/>
    <x v="21"/>
    <x v="0"/>
  </r>
  <r>
    <s v="HC-02266"/>
    <s v="P-1253"/>
    <s v="Male"/>
    <n v="63"/>
    <x v="3"/>
    <s v="Follow-up"/>
    <d v="2025-01-16T00:00:00"/>
    <d v="2025-02-21T00:00:00"/>
    <s v="Friday"/>
    <s v="Afternoon"/>
    <x v="2"/>
    <n v="36"/>
    <n v="3"/>
    <x v="0"/>
    <x v="0"/>
    <s v="Email"/>
    <n v="13.8"/>
    <x v="13"/>
    <x v="1"/>
  </r>
  <r>
    <s v="HC-02267"/>
    <s v="P-0385"/>
    <s v="Female"/>
    <n v="36"/>
    <x v="0"/>
    <s v="General Consultation"/>
    <d v="2025-11-23T00:00:00"/>
    <d v="2026-01-09T00:00:00"/>
    <s v="Friday"/>
    <s v="Morning"/>
    <x v="2"/>
    <n v="47"/>
    <n v="2"/>
    <x v="0"/>
    <x v="0"/>
    <s v="SMS"/>
    <n v="8.8000000000000007"/>
    <x v="27"/>
    <x v="2"/>
  </r>
  <r>
    <s v="HC-02268"/>
    <s v="P-1126"/>
    <s v="Female"/>
    <n v="34"/>
    <x v="1"/>
    <s v="Follow-up"/>
    <d v="2026-01-08T00:00:00"/>
    <d v="2026-02-02T00:00:00"/>
    <s v="Monday"/>
    <s v="Afternoon"/>
    <x v="3"/>
    <n v="25"/>
    <n v="3"/>
    <x v="0"/>
    <x v="0"/>
    <s v="WhatsApp"/>
    <n v="12.3"/>
    <x v="11"/>
    <x v="1"/>
  </r>
  <r>
    <s v="HC-02269"/>
    <s v="P-0756"/>
    <s v="Male"/>
    <n v="35"/>
    <x v="0"/>
    <s v="Follow-up"/>
    <d v="2025-02-06T00:00:00"/>
    <d v="2025-03-06T00:00:00"/>
    <s v="Thursday"/>
    <s v="Morning"/>
    <x v="3"/>
    <n v="28"/>
    <n v="2"/>
    <x v="1"/>
    <x v="0"/>
    <s v="WhatsApp"/>
    <n v="2.9"/>
    <x v="9"/>
    <x v="0"/>
  </r>
  <r>
    <s v="HC-02270"/>
    <s v="P-1181"/>
    <s v="Female"/>
    <n v="38"/>
    <x v="0"/>
    <s v="General Consultation"/>
    <d v="2026-05-14T00:00:00"/>
    <d v="2026-06-18T00:00:00"/>
    <s v="Thursday"/>
    <s v="Morning"/>
    <x v="2"/>
    <n v="35"/>
    <n v="2"/>
    <x v="1"/>
    <x v="0"/>
    <s v="WhatsApp"/>
    <n v="13.8"/>
    <x v="6"/>
    <x v="1"/>
  </r>
  <r>
    <s v="HC-02271"/>
    <s v="P-0449"/>
    <s v="Female"/>
    <n v="70"/>
    <x v="4"/>
    <s v="General Consultation"/>
    <d v="2025-06-06T00:00:00"/>
    <d v="2025-06-24T00:00:00"/>
    <s v="Tuesday"/>
    <s v="Morning"/>
    <x v="3"/>
    <n v="18"/>
    <n v="1"/>
    <x v="0"/>
    <x v="0"/>
    <s v="SMS"/>
    <n v="10.6"/>
    <x v="7"/>
    <x v="1"/>
  </r>
  <r>
    <s v="HC-02272"/>
    <s v="P-1712"/>
    <s v="Female"/>
    <n v="33"/>
    <x v="1"/>
    <s v="Specialist Consultation"/>
    <d v="2025-06-20T00:00:00"/>
    <d v="2025-06-23T00:00:00"/>
    <s v="Monday"/>
    <s v="Afternoon"/>
    <x v="1"/>
    <n v="3"/>
    <n v="2"/>
    <x v="0"/>
    <x v="0"/>
    <s v="SMS"/>
    <n v="5.3"/>
    <x v="47"/>
    <x v="0"/>
  </r>
  <r>
    <s v="HC-02273"/>
    <s v="P-0687"/>
    <s v="Male"/>
    <n v="35"/>
    <x v="0"/>
    <s v="Specialist Consultation"/>
    <d v="2025-05-09T00:00:00"/>
    <d v="2025-06-12T00:00:00"/>
    <s v="Thursday"/>
    <s v="Afternoon"/>
    <x v="2"/>
    <n v="34"/>
    <n v="4"/>
    <x v="1"/>
    <x v="0"/>
    <s v="Email"/>
    <n v="21.2"/>
    <x v="4"/>
    <x v="0"/>
  </r>
  <r>
    <s v="HC-02274"/>
    <s v="P-0083"/>
    <s v="Male"/>
    <n v="78"/>
    <x v="4"/>
    <s v="Follow-up"/>
    <d v="2025-07-21T00:00:00"/>
    <d v="2025-09-09T00:00:00"/>
    <s v="Tuesday"/>
    <s v="Morning"/>
    <x v="2"/>
    <n v="50"/>
    <n v="1"/>
    <x v="0"/>
    <x v="0"/>
    <s v="Email"/>
    <n v="30.7"/>
    <x v="14"/>
    <x v="0"/>
  </r>
  <r>
    <s v="HC-02275"/>
    <s v="P-0525"/>
    <s v="Female"/>
    <n v="59"/>
    <x v="3"/>
    <s v="Specialist Consultation"/>
    <d v="2025-04-04T00:00:00"/>
    <d v="2025-04-08T00:00:00"/>
    <s v="Tuesday"/>
    <s v="Afternoon"/>
    <x v="1"/>
    <n v="4"/>
    <n v="3"/>
    <x v="0"/>
    <x v="0"/>
    <s v="Email"/>
    <n v="5.4"/>
    <x v="13"/>
    <x v="1"/>
  </r>
  <r>
    <s v="HC-02276"/>
    <s v="P-0533"/>
    <s v="Female"/>
    <n v="30"/>
    <x v="1"/>
    <s v="General Consultation"/>
    <d v="2025-08-07T00:00:00"/>
    <d v="2025-08-20T00:00:00"/>
    <s v="Wednesday"/>
    <s v="Morning"/>
    <x v="0"/>
    <n v="13"/>
    <n v="1"/>
    <x v="0"/>
    <x v="0"/>
    <s v="SMS"/>
    <n v="14.5"/>
    <x v="25"/>
    <x v="1"/>
  </r>
  <r>
    <s v="HC-02277"/>
    <s v="P-0629"/>
    <s v="Female"/>
    <n v="72"/>
    <x v="4"/>
    <s v="General Consultation"/>
    <d v="2025-04-09T00:00:00"/>
    <d v="2025-04-25T00:00:00"/>
    <s v="Friday"/>
    <s v="Afternoon"/>
    <x v="3"/>
    <n v="16"/>
    <n v="5"/>
    <x v="2"/>
    <x v="0"/>
    <s v="SMS"/>
    <n v="8.4"/>
    <x v="24"/>
    <x v="1"/>
  </r>
  <r>
    <s v="HC-02278"/>
    <s v="P-1160"/>
    <s v="Female"/>
    <n v="29"/>
    <x v="1"/>
    <s v="Follow-up"/>
    <d v="2024-12-11T00:00:00"/>
    <d v="2025-01-29T00:00:00"/>
    <s v="Wednesday"/>
    <s v="Morning"/>
    <x v="2"/>
    <n v="49"/>
    <n v="2"/>
    <x v="0"/>
    <x v="1"/>
    <s v="None"/>
    <n v="12"/>
    <x v="7"/>
    <x v="0"/>
  </r>
  <r>
    <s v="HC-02279"/>
    <s v="P-0083"/>
    <s v="Female"/>
    <n v="28"/>
    <x v="1"/>
    <s v="Follow-up"/>
    <d v="2025-06-21T00:00:00"/>
    <d v="2025-07-21T00:00:00"/>
    <s v="Monday"/>
    <s v="Evening"/>
    <x v="3"/>
    <n v="30"/>
    <n v="1"/>
    <x v="0"/>
    <x v="1"/>
    <s v="None"/>
    <n v="10"/>
    <x v="7"/>
    <x v="1"/>
  </r>
  <r>
    <s v="HC-02280"/>
    <s v="P-0689"/>
    <s v="Female"/>
    <n v="46"/>
    <x v="2"/>
    <s v="Specialist Consultation"/>
    <d v="2025-12-02T00:00:00"/>
    <d v="2026-01-03T00:00:00"/>
    <s v="Saturday"/>
    <s v="Morning"/>
    <x v="2"/>
    <n v="32"/>
    <n v="2"/>
    <x v="1"/>
    <x v="0"/>
    <s v="Email"/>
    <m/>
    <x v="26"/>
    <x v="0"/>
  </r>
  <r>
    <s v="HC-02281"/>
    <s v="P-0291"/>
    <s v="Male"/>
    <n v="61"/>
    <x v="3"/>
    <s v="General Consultation"/>
    <d v="2026-01-13T00:00:00"/>
    <d v="2026-02-21T00:00:00"/>
    <s v="Saturday"/>
    <s v="Afternoon"/>
    <x v="2"/>
    <n v="39"/>
    <n v="3"/>
    <x v="0"/>
    <x v="0"/>
    <s v="SMS"/>
    <n v="1.6"/>
    <x v="20"/>
    <x v="0"/>
  </r>
  <r>
    <s v="HC-02282"/>
    <s v="P-0810"/>
    <s v="Male"/>
    <n v="29"/>
    <x v="1"/>
    <s v="Follow-up"/>
    <d v="2025-06-26T00:00:00"/>
    <d v="2025-07-12T00:00:00"/>
    <s v="Saturday"/>
    <s v="Afternoon"/>
    <x v="3"/>
    <n v="16"/>
    <n v="2"/>
    <x v="1"/>
    <x v="1"/>
    <s v="None"/>
    <n v="11.8"/>
    <x v="39"/>
    <x v="1"/>
  </r>
  <r>
    <s v="HC-02283"/>
    <s v="P-0604"/>
    <s v="Female"/>
    <n v="65"/>
    <x v="4"/>
    <s v="Follow-up"/>
    <d v="2025-05-14T00:00:00"/>
    <d v="2025-06-26T00:00:00"/>
    <s v="Thursday"/>
    <s v="Afternoon"/>
    <x v="2"/>
    <n v="43"/>
    <n v="4"/>
    <x v="2"/>
    <x v="0"/>
    <s v="Email"/>
    <n v="10.4"/>
    <x v="6"/>
    <x v="1"/>
  </r>
  <r>
    <s v="HC-02284"/>
    <s v="P-0769"/>
    <s v="Female"/>
    <n v="27"/>
    <x v="1"/>
    <s v="General Consultation"/>
    <d v="2026-03-05T00:00:00"/>
    <d v="2026-03-06T00:00:00"/>
    <s v="Friday"/>
    <s v="Afternoon"/>
    <x v="1"/>
    <n v="1"/>
    <n v="4"/>
    <x v="1"/>
    <x v="0"/>
    <s v="Email"/>
    <n v="9.1"/>
    <x v="11"/>
    <x v="1"/>
  </r>
  <r>
    <s v="HC-02285"/>
    <s v="P-0702"/>
    <s v="Female"/>
    <n v="67"/>
    <x v="4"/>
    <s v="Follow-up"/>
    <d v="2026-01-01T00:00:00"/>
    <d v="2026-01-07T00:00:00"/>
    <s v="Wednesday"/>
    <s v="Morning"/>
    <x v="1"/>
    <n v="6"/>
    <n v="1"/>
    <x v="0"/>
    <x v="1"/>
    <s v="None"/>
    <n v="18"/>
    <x v="45"/>
    <x v="1"/>
  </r>
  <r>
    <s v="HC-02286"/>
    <s v="P-1401"/>
    <s v="Female"/>
    <n v="24"/>
    <x v="5"/>
    <s v="Follow-up"/>
    <d v="2026-02-10T00:00:00"/>
    <d v="2026-03-31T00:00:00"/>
    <s v="Tuesday"/>
    <s v="Morning"/>
    <x v="2"/>
    <n v="49"/>
    <n v="0"/>
    <x v="0"/>
    <x v="0"/>
    <s v="SMS"/>
    <n v="3.8"/>
    <x v="38"/>
    <x v="0"/>
  </r>
  <r>
    <s v="HC-02287"/>
    <s v="P-1608"/>
    <s v="Female"/>
    <n v="47"/>
    <x v="2"/>
    <s v="General Consultation"/>
    <d v="2026-03-31T00:00:00"/>
    <d v="2026-05-10T00:00:00"/>
    <s v="Sunday"/>
    <s v="Afternoon"/>
    <x v="2"/>
    <n v="40"/>
    <n v="1"/>
    <x v="0"/>
    <x v="0"/>
    <s v="SMS"/>
    <n v="13.7"/>
    <x v="8"/>
    <x v="0"/>
  </r>
  <r>
    <s v="HC-02288"/>
    <s v="P-0103"/>
    <s v="Male"/>
    <n v="58"/>
    <x v="3"/>
    <s v="General Consultation"/>
    <d v="2026-03-15T00:00:00"/>
    <d v="2026-03-25T00:00:00"/>
    <s v="Wednesday"/>
    <s v="Evening"/>
    <x v="0"/>
    <n v="10"/>
    <n v="1"/>
    <x v="0"/>
    <x v="0"/>
    <s v="Email"/>
    <n v="5"/>
    <x v="25"/>
    <x v="1"/>
  </r>
  <r>
    <s v="HC-02289"/>
    <s v="P-0677"/>
    <s v="Male"/>
    <n v="34"/>
    <x v="1"/>
    <s v="General Consultation"/>
    <d v="2026-05-01T00:00:00"/>
    <d v="2026-05-27T00:00:00"/>
    <s v="Wednesday"/>
    <s v="Afternoon"/>
    <x v="3"/>
    <n v="26"/>
    <n v="1"/>
    <x v="0"/>
    <x v="0"/>
    <s v="SMS"/>
    <n v="6.1"/>
    <x v="20"/>
    <x v="1"/>
  </r>
  <r>
    <s v="HC-02290"/>
    <s v="P-0810"/>
    <s v="Female"/>
    <n v="56"/>
    <x v="3"/>
    <s v="Diagnostic Test"/>
    <d v="2025-08-13T00:00:00"/>
    <d v="2025-08-16T00:00:00"/>
    <s v="Saturday"/>
    <s v="Afternoon"/>
    <x v="1"/>
    <n v="3"/>
    <n v="2"/>
    <x v="0"/>
    <x v="0"/>
    <s v="SMS"/>
    <n v="5.4"/>
    <x v="9"/>
    <x v="1"/>
  </r>
  <r>
    <s v="HC-02291"/>
    <s v="P-0717"/>
    <s v="Female"/>
    <n v="61"/>
    <x v="3"/>
    <s v="General Consultation"/>
    <d v="2025-06-25T00:00:00"/>
    <d v="2025-08-04T00:00:00"/>
    <s v="Monday"/>
    <s v="Afternoon"/>
    <x v="2"/>
    <n v="40"/>
    <n v="5"/>
    <x v="0"/>
    <x v="0"/>
    <s v="SMS"/>
    <n v="9"/>
    <x v="23"/>
    <x v="0"/>
  </r>
  <r>
    <s v="HC-02292"/>
    <s v="P-1201"/>
    <s v="Male"/>
    <n v="58"/>
    <x v="3"/>
    <s v="General Consultation"/>
    <d v="2025-05-10T00:00:00"/>
    <d v="2025-06-25T00:00:00"/>
    <s v="Wednesday"/>
    <s v="Afternoon"/>
    <x v="2"/>
    <n v="46"/>
    <n v="2"/>
    <x v="1"/>
    <x v="1"/>
    <s v="None"/>
    <n v="13.9"/>
    <x v="14"/>
    <x v="0"/>
  </r>
  <r>
    <s v="HC-02293"/>
    <s v="P-1269"/>
    <s v="Male"/>
    <n v="43"/>
    <x v="0"/>
    <s v="General Consultation"/>
    <d v="2025-04-23T00:00:00"/>
    <d v="2025-05-09T00:00:00"/>
    <s v="Friday"/>
    <s v="Evening"/>
    <x v="3"/>
    <n v="16"/>
    <n v="1"/>
    <x v="1"/>
    <x v="1"/>
    <s v="None"/>
    <n v="8.5"/>
    <x v="23"/>
    <x v="1"/>
  </r>
  <r>
    <s v="HC-02294"/>
    <s v="P-0737"/>
    <s v="Female"/>
    <n v="66"/>
    <x v="4"/>
    <s v="General Consultation"/>
    <d v="2026-01-23T00:00:00"/>
    <d v="2026-02-13T00:00:00"/>
    <s v="Friday"/>
    <s v="Afternoon"/>
    <x v="3"/>
    <n v="21"/>
    <n v="4"/>
    <x v="0"/>
    <x v="0"/>
    <s v="SMS"/>
    <n v="15.3"/>
    <x v="59"/>
    <x v="1"/>
  </r>
  <r>
    <s v="HC-02295"/>
    <s v="P-1058"/>
    <s v="Male"/>
    <n v="64"/>
    <x v="3"/>
    <s v="General Consultation"/>
    <d v="2026-01-12T00:00:00"/>
    <d v="2026-01-26T00:00:00"/>
    <s v="Monday"/>
    <s v="Morning"/>
    <x v="0"/>
    <n v="14"/>
    <n v="1"/>
    <x v="0"/>
    <x v="0"/>
    <s v="SMS"/>
    <n v="6.7"/>
    <x v="11"/>
    <x v="0"/>
  </r>
  <r>
    <s v="HC-02296"/>
    <s v="P-0117"/>
    <s v="Female"/>
    <n v="38"/>
    <x v="0"/>
    <s v="Follow-up"/>
    <d v="2026-02-19T00:00:00"/>
    <d v="2026-03-14T00:00:00"/>
    <s v="Saturday"/>
    <s v="Afternoon"/>
    <x v="3"/>
    <n v="23"/>
    <n v="6"/>
    <x v="1"/>
    <x v="0"/>
    <s v="SMS"/>
    <n v="2.6"/>
    <x v="6"/>
    <x v="1"/>
  </r>
  <r>
    <s v="HC-02297"/>
    <s v="P-0309"/>
    <s v="Male"/>
    <n v="64"/>
    <x v="3"/>
    <s v="General Consultation"/>
    <d v="2025-03-17T00:00:00"/>
    <d v="2025-04-02T00:00:00"/>
    <s v="Wednesday"/>
    <s v="Afternoon"/>
    <x v="3"/>
    <n v="16"/>
    <n v="4"/>
    <x v="1"/>
    <x v="0"/>
    <s v="SMS"/>
    <n v="10"/>
    <x v="59"/>
    <x v="2"/>
  </r>
  <r>
    <s v="HC-02298"/>
    <s v="P-1710"/>
    <s v="Female"/>
    <n v="75"/>
    <x v="4"/>
    <s v="General Consultation"/>
    <d v="2025-09-11T00:00:00"/>
    <d v="2025-09-26T00:00:00"/>
    <s v="Friday"/>
    <s v="Morning"/>
    <x v="3"/>
    <n v="15"/>
    <n v="2"/>
    <x v="1"/>
    <x v="0"/>
    <s v="WhatsApp"/>
    <n v="7.5"/>
    <x v="5"/>
    <x v="1"/>
  </r>
  <r>
    <s v="HC-02299"/>
    <s v="P-1024"/>
    <s v="Male"/>
    <n v="69"/>
    <x v="4"/>
    <s v="General Consultation"/>
    <d v="2025-04-06T00:00:00"/>
    <d v="2025-05-02T00:00:00"/>
    <s v="Friday"/>
    <s v="Afternoon"/>
    <x v="3"/>
    <n v="26"/>
    <n v="2"/>
    <x v="0"/>
    <x v="1"/>
    <s v="None"/>
    <n v="20.9"/>
    <x v="20"/>
    <x v="1"/>
  </r>
  <r>
    <s v="HC-02300"/>
    <s v="P-0683"/>
    <s v="Female"/>
    <n v="64"/>
    <x v="3"/>
    <s v="General Consultation"/>
    <d v="2026-03-12T00:00:00"/>
    <d v="2026-05-03T00:00:00"/>
    <s v="Sunday"/>
    <s v="Afternoon"/>
    <x v="2"/>
    <n v="52"/>
    <n v="1"/>
    <x v="0"/>
    <x v="1"/>
    <s v="None"/>
    <n v="4.2"/>
    <x v="26"/>
    <x v="0"/>
  </r>
  <r>
    <s v="HC-02301"/>
    <s v="P-1758"/>
    <s v="Male"/>
    <n v="66"/>
    <x v="4"/>
    <s v="General Consultation"/>
    <d v="2025-04-11T00:00:00"/>
    <d v="2025-05-27T00:00:00"/>
    <s v="Tuesday"/>
    <s v="Morning"/>
    <x v="2"/>
    <n v="46"/>
    <n v="2"/>
    <x v="0"/>
    <x v="1"/>
    <s v="None"/>
    <n v="11.1"/>
    <x v="10"/>
    <x v="0"/>
  </r>
  <r>
    <s v="HC-02302"/>
    <s v="P-1693"/>
    <s v="Male"/>
    <n v="68"/>
    <x v="4"/>
    <s v="Follow-up"/>
    <d v="2025-03-02T00:00:00"/>
    <d v="2025-03-20T00:00:00"/>
    <s v="Thursday"/>
    <s v="Afternoon"/>
    <x v="3"/>
    <n v="18"/>
    <n v="1"/>
    <x v="1"/>
    <x v="0"/>
    <s v="SMS"/>
    <n v="8.5"/>
    <x v="1"/>
    <x v="0"/>
  </r>
  <r>
    <s v="HC-02303"/>
    <s v="P-0105"/>
    <s v="Male"/>
    <n v="36"/>
    <x v="0"/>
    <s v="Follow-up"/>
    <d v="2025-09-12T00:00:00"/>
    <d v="2025-11-08T00:00:00"/>
    <s v="Saturday"/>
    <s v="Morning"/>
    <x v="2"/>
    <n v="57"/>
    <n v="2"/>
    <x v="1"/>
    <x v="0"/>
    <s v="SMS"/>
    <n v="2.8"/>
    <x v="12"/>
    <x v="0"/>
  </r>
  <r>
    <s v="HC-02304"/>
    <s v="P-1659"/>
    <s v="Male"/>
    <n v="63"/>
    <x v="3"/>
    <s v="Specialist Consultation"/>
    <d v="2026-04-13T00:00:00"/>
    <d v="2026-04-25T00:00:00"/>
    <s v="Saturday"/>
    <s v="Morning"/>
    <x v="0"/>
    <n v="12"/>
    <n v="2"/>
    <x v="0"/>
    <x v="1"/>
    <s v="None"/>
    <n v="2"/>
    <x v="19"/>
    <x v="1"/>
  </r>
  <r>
    <s v="HC-02305"/>
    <s v="P-0298"/>
    <s v="Female"/>
    <n v="30"/>
    <x v="1"/>
    <s v="General Consultation"/>
    <d v="2026-03-21T00:00:00"/>
    <d v="2026-05-15T00:00:00"/>
    <s v="Friday"/>
    <s v="Afternoon"/>
    <x v="2"/>
    <n v="55"/>
    <n v="0"/>
    <x v="0"/>
    <x v="1"/>
    <s v="None"/>
    <n v="2.1"/>
    <x v="36"/>
    <x v="1"/>
  </r>
  <r>
    <s v="HC-02306"/>
    <s v="P-0246"/>
    <s v="Male"/>
    <n v="40"/>
    <x v="0"/>
    <s v="Specialist Consultation"/>
    <d v="2025-02-04T00:00:00"/>
    <d v="2025-02-22T00:00:00"/>
    <s v="Saturday"/>
    <s v="Afternoon"/>
    <x v="3"/>
    <n v="18"/>
    <n v="4"/>
    <x v="1"/>
    <x v="0"/>
    <s v="SMS"/>
    <n v="13.9"/>
    <x v="7"/>
    <x v="1"/>
  </r>
  <r>
    <s v="HC-02307"/>
    <s v="P-0185"/>
    <s v="Female"/>
    <n v="76"/>
    <x v="4"/>
    <s v="Follow-up"/>
    <d v="2025-05-26T00:00:00"/>
    <d v="2025-06-27T00:00:00"/>
    <s v="Friday"/>
    <s v="Afternoon"/>
    <x v="2"/>
    <n v="32"/>
    <n v="4"/>
    <x v="0"/>
    <x v="0"/>
    <s v="SMS"/>
    <n v="8.3000000000000007"/>
    <x v="14"/>
    <x v="1"/>
  </r>
  <r>
    <s v="HC-02308"/>
    <s v="P-1149"/>
    <s v="Male"/>
    <n v="35"/>
    <x v="0"/>
    <s v="General Consultation"/>
    <d v="2025-03-13T00:00:00"/>
    <d v="2025-03-25T00:00:00"/>
    <s v="Tuesday"/>
    <s v="Morning"/>
    <x v="0"/>
    <n v="12"/>
    <n v="2"/>
    <x v="0"/>
    <x v="1"/>
    <s v="None"/>
    <n v="12.2"/>
    <x v="5"/>
    <x v="1"/>
  </r>
  <r>
    <s v="HC-02309"/>
    <s v="P-1013"/>
    <s v="Female"/>
    <n v="71"/>
    <x v="4"/>
    <s v="Follow-up"/>
    <d v="2025-05-03T00:00:00"/>
    <d v="2025-06-18T00:00:00"/>
    <s v="Wednesday"/>
    <s v="Afternoon"/>
    <x v="2"/>
    <n v="46"/>
    <n v="3"/>
    <x v="0"/>
    <x v="0"/>
    <s v="SMS"/>
    <n v="12.5"/>
    <x v="28"/>
    <x v="1"/>
  </r>
  <r>
    <s v="HC-02310"/>
    <s v="P-0517"/>
    <s v="Female"/>
    <n v="44"/>
    <x v="0"/>
    <s v="Specialist Consultation"/>
    <d v="2025-09-30T00:00:00"/>
    <d v="2025-10-19T00:00:00"/>
    <s v="Sunday"/>
    <s v="Morning"/>
    <x v="3"/>
    <n v="19"/>
    <n v="1"/>
    <x v="0"/>
    <x v="1"/>
    <s v="None"/>
    <n v="1.4"/>
    <x v="5"/>
    <x v="2"/>
  </r>
  <r>
    <s v="HC-02311"/>
    <s v="P-1549"/>
    <s v="Female"/>
    <n v="31"/>
    <x v="1"/>
    <s v="General Consultation"/>
    <d v="2025-04-11T00:00:00"/>
    <d v="2025-06-03T00:00:00"/>
    <s v="Tuesday"/>
    <s v="Evening"/>
    <x v="2"/>
    <n v="53"/>
    <n v="5"/>
    <x v="3"/>
    <x v="0"/>
    <s v="SMS"/>
    <m/>
    <x v="27"/>
    <x v="1"/>
  </r>
  <r>
    <s v="HC-02312"/>
    <s v="P-0371"/>
    <s v="Male"/>
    <n v="24"/>
    <x v="5"/>
    <s v="General Consultation"/>
    <d v="2025-02-01T00:00:00"/>
    <d v="2025-02-06T00:00:00"/>
    <s v="Thursday"/>
    <s v="Morning"/>
    <x v="1"/>
    <n v="5"/>
    <n v="5"/>
    <x v="1"/>
    <x v="0"/>
    <s v="WhatsApp"/>
    <n v="15.9"/>
    <x v="24"/>
    <x v="0"/>
  </r>
  <r>
    <s v="HC-02313"/>
    <s v="P-0674"/>
    <s v="Male"/>
    <n v="52"/>
    <x v="2"/>
    <s v="Follow-up"/>
    <d v="2025-09-06T00:00:00"/>
    <d v="2025-10-06T00:00:00"/>
    <s v="Monday"/>
    <s v="Evening"/>
    <x v="3"/>
    <n v="30"/>
    <n v="4"/>
    <x v="1"/>
    <x v="0"/>
    <s v="SMS"/>
    <n v="8.3000000000000007"/>
    <x v="51"/>
    <x v="1"/>
  </r>
  <r>
    <s v="HC-02314"/>
    <s v="P-1011"/>
    <s v="Female"/>
    <n v="46"/>
    <x v="2"/>
    <s v="General Consultation"/>
    <d v="2025-01-20T00:00:00"/>
    <d v="2025-01-29T00:00:00"/>
    <s v="Wednesday"/>
    <s v="Morning"/>
    <x v="0"/>
    <n v="9"/>
    <n v="2"/>
    <x v="1"/>
    <x v="0"/>
    <s v="Email"/>
    <n v="11.6"/>
    <x v="18"/>
    <x v="1"/>
  </r>
  <r>
    <s v="HC-02315"/>
    <s v="P-1627"/>
    <s v="Male"/>
    <n v="50"/>
    <x v="2"/>
    <s v="Diagnostic Test"/>
    <d v="2025-03-11T00:00:00"/>
    <d v="2025-05-04T00:00:00"/>
    <s v="Sunday"/>
    <s v="Morning"/>
    <x v="2"/>
    <n v="54"/>
    <n v="5"/>
    <x v="1"/>
    <x v="1"/>
    <s v="None"/>
    <n v="3.5"/>
    <x v="27"/>
    <x v="0"/>
  </r>
  <r>
    <s v="HC-02316"/>
    <s v="P-0966"/>
    <s v="Female"/>
    <n v="20"/>
    <x v="5"/>
    <s v="General Consultation"/>
    <d v="2024-12-07T00:00:00"/>
    <d v="2025-01-01T00:00:00"/>
    <s v="Wednesday"/>
    <s v="Afternoon"/>
    <x v="3"/>
    <n v="25"/>
    <n v="1"/>
    <x v="0"/>
    <x v="0"/>
    <s v="SMS"/>
    <n v="3"/>
    <x v="14"/>
    <x v="1"/>
  </r>
  <r>
    <s v="HC-02317"/>
    <s v="P-1518"/>
    <s v="Female"/>
    <n v="34"/>
    <x v="1"/>
    <s v="General Consultation"/>
    <d v="2025-01-07T00:00:00"/>
    <d v="2025-02-17T00:00:00"/>
    <s v="Monday"/>
    <s v="Afternoon"/>
    <x v="2"/>
    <n v="41"/>
    <n v="5"/>
    <x v="2"/>
    <x v="0"/>
    <s v="SMS"/>
    <n v="7.6"/>
    <x v="47"/>
    <x v="0"/>
  </r>
  <r>
    <s v="HC-02318"/>
    <s v="P-1593"/>
    <s v="Female"/>
    <n v="18"/>
    <x v="5"/>
    <s v="General Consultation"/>
    <d v="2025-07-05T00:00:00"/>
    <d v="2025-08-27T00:00:00"/>
    <s v="Wednesday"/>
    <s v="Evening"/>
    <x v="2"/>
    <n v="53"/>
    <n v="1"/>
    <x v="0"/>
    <x v="0"/>
    <s v="SMS"/>
    <n v="5.2"/>
    <x v="10"/>
    <x v="0"/>
  </r>
  <r>
    <s v="HC-02319"/>
    <s v="P-1003"/>
    <s v="Male"/>
    <n v="37"/>
    <x v="0"/>
    <s v="General Consultation"/>
    <d v="2026-03-09T00:00:00"/>
    <d v="2026-04-10T00:00:00"/>
    <s v="Friday"/>
    <s v="Afternoon"/>
    <x v="2"/>
    <n v="32"/>
    <n v="0"/>
    <x v="0"/>
    <x v="0"/>
    <s v="SMS"/>
    <n v="8.6999999999999993"/>
    <x v="20"/>
    <x v="1"/>
  </r>
  <r>
    <s v="HC-02320"/>
    <s v="P-1219"/>
    <s v="Male"/>
    <n v="76"/>
    <x v="4"/>
    <s v="Diagnostic Test"/>
    <d v="2026-02-24T00:00:00"/>
    <d v="2026-02-27T00:00:00"/>
    <s v="Friday"/>
    <s v="Morning"/>
    <x v="1"/>
    <n v="3"/>
    <n v="4"/>
    <x v="1"/>
    <x v="0"/>
    <s v="Email"/>
    <n v="6.1"/>
    <x v="47"/>
    <x v="0"/>
  </r>
  <r>
    <s v="HC-02321"/>
    <s v="P-0762"/>
    <s v="Male"/>
    <n v="27"/>
    <x v="1"/>
    <s v="Specialist Consultation"/>
    <d v="2025-02-10T00:00:00"/>
    <d v="2025-02-23T00:00:00"/>
    <s v="Sunday"/>
    <s v="Morning"/>
    <x v="0"/>
    <n v="13"/>
    <n v="8"/>
    <x v="0"/>
    <x v="0"/>
    <s v="SMS"/>
    <n v="15.2"/>
    <x v="18"/>
    <x v="1"/>
  </r>
  <r>
    <s v="HC-02322"/>
    <s v="P-1321"/>
    <s v="Female"/>
    <n v="61"/>
    <x v="3"/>
    <s v="Diagnostic Test"/>
    <d v="2025-01-08T00:00:00"/>
    <d v="2025-01-20T00:00:00"/>
    <s v="Monday"/>
    <s v="Afternoon"/>
    <x v="0"/>
    <n v="12"/>
    <n v="3"/>
    <x v="1"/>
    <x v="0"/>
    <s v="Email"/>
    <n v="11.5"/>
    <x v="37"/>
    <x v="0"/>
  </r>
  <r>
    <s v="HC-02323"/>
    <s v="P-0600"/>
    <s v="Female"/>
    <n v="18"/>
    <x v="5"/>
    <s v="Follow-up"/>
    <d v="2025-05-10T00:00:00"/>
    <d v="2025-07-04T00:00:00"/>
    <s v="Friday"/>
    <s v="Morning"/>
    <x v="2"/>
    <n v="55"/>
    <n v="3"/>
    <x v="1"/>
    <x v="0"/>
    <s v="SMS"/>
    <n v="5.4"/>
    <x v="3"/>
    <x v="1"/>
  </r>
  <r>
    <s v="HC-02324"/>
    <s v="P-1424"/>
    <s v="Male"/>
    <n v="53"/>
    <x v="2"/>
    <s v="Follow-up"/>
    <d v="2025-10-29T00:00:00"/>
    <d v="2025-12-23T00:00:00"/>
    <s v="Tuesday"/>
    <s v="Evening"/>
    <x v="2"/>
    <n v="55"/>
    <n v="2"/>
    <x v="1"/>
    <x v="1"/>
    <s v="None"/>
    <n v="12.6"/>
    <x v="50"/>
    <x v="0"/>
  </r>
  <r>
    <s v="HC-02325"/>
    <s v="P-0267"/>
    <s v="Female"/>
    <n v="76"/>
    <x v="4"/>
    <s v="General Consultation"/>
    <d v="2026-01-14T00:00:00"/>
    <d v="2026-02-12T00:00:00"/>
    <s v="Thursday"/>
    <s v="Afternoon"/>
    <x v="3"/>
    <n v="29"/>
    <n v="3"/>
    <x v="0"/>
    <x v="0"/>
    <s v="WhatsApp"/>
    <n v="3.6"/>
    <x v="31"/>
    <x v="1"/>
  </r>
  <r>
    <s v="HC-02326"/>
    <s v="P-0122"/>
    <s v="Male"/>
    <n v="39"/>
    <x v="0"/>
    <s v="General Consultation"/>
    <d v="2026-01-31T00:00:00"/>
    <d v="2026-03-26T00:00:00"/>
    <s v="Thursday"/>
    <s v="Afternoon"/>
    <x v="2"/>
    <n v="54"/>
    <n v="4"/>
    <x v="0"/>
    <x v="0"/>
    <s v="SMS"/>
    <n v="8.1"/>
    <x v="22"/>
    <x v="0"/>
  </r>
  <r>
    <s v="HC-02327"/>
    <s v="P-0091"/>
    <s v="Male"/>
    <n v="30"/>
    <x v="1"/>
    <s v="Diagnostic Test"/>
    <d v="2025-06-21T00:00:00"/>
    <d v="2025-07-06T00:00:00"/>
    <s v="Sunday"/>
    <s v="Afternoon"/>
    <x v="3"/>
    <n v="15"/>
    <n v="6"/>
    <x v="3"/>
    <x v="0"/>
    <s v="WhatsApp"/>
    <n v="15.4"/>
    <x v="21"/>
    <x v="0"/>
  </r>
  <r>
    <s v="HC-02328"/>
    <s v="P-0653"/>
    <s v="Female"/>
    <n v="53"/>
    <x v="2"/>
    <s v="Follow-up"/>
    <d v="2025-02-20T00:00:00"/>
    <d v="2025-04-02T00:00:00"/>
    <s v="Wednesday"/>
    <s v="Morning"/>
    <x v="2"/>
    <n v="41"/>
    <n v="3"/>
    <x v="1"/>
    <x v="0"/>
    <s v="SMS"/>
    <n v="1.7"/>
    <x v="14"/>
    <x v="0"/>
  </r>
  <r>
    <s v="HC-02329"/>
    <s v="P-0281"/>
    <s v="Female"/>
    <n v="35"/>
    <x v="0"/>
    <s v="Follow-up"/>
    <d v="2024-12-23T00:00:00"/>
    <d v="2025-01-15T00:00:00"/>
    <s v="Wednesday"/>
    <s v="Morning"/>
    <x v="3"/>
    <n v="23"/>
    <n v="3"/>
    <x v="0"/>
    <x v="1"/>
    <s v="None"/>
    <n v="18.5"/>
    <x v="6"/>
    <x v="1"/>
  </r>
  <r>
    <s v="HC-02330"/>
    <s v="P-1101"/>
    <s v="Male"/>
    <n v="74"/>
    <x v="4"/>
    <s v="Follow-up"/>
    <d v="2025-03-08T00:00:00"/>
    <d v="2025-03-22T00:00:00"/>
    <s v="Saturday"/>
    <s v="Evening"/>
    <x v="0"/>
    <n v="14"/>
    <n v="0"/>
    <x v="0"/>
    <x v="0"/>
    <s v="WhatsApp"/>
    <n v="6.3"/>
    <x v="47"/>
    <x v="1"/>
  </r>
  <r>
    <s v="HC-02331"/>
    <s v="P-1025"/>
    <s v="Male"/>
    <n v="71"/>
    <x v="4"/>
    <s v="Specialist Consultation"/>
    <d v="2025-01-21T00:00:00"/>
    <d v="2025-02-05T00:00:00"/>
    <s v="Wednesday"/>
    <s v="Morning"/>
    <x v="3"/>
    <n v="15"/>
    <n v="3"/>
    <x v="1"/>
    <x v="1"/>
    <s v="None"/>
    <n v="15.6"/>
    <x v="10"/>
    <x v="0"/>
  </r>
  <r>
    <s v="HC-02332"/>
    <s v="P-1397"/>
    <s v="Male"/>
    <n v="59"/>
    <x v="3"/>
    <s v="General Consultation"/>
    <d v="2026-03-21T00:00:00"/>
    <d v="2026-04-15T00:00:00"/>
    <s v="Wednesday"/>
    <s v="Afternoon"/>
    <x v="3"/>
    <n v="25"/>
    <n v="1"/>
    <x v="0"/>
    <x v="0"/>
    <s v="WhatsApp"/>
    <n v="6.3"/>
    <x v="19"/>
    <x v="1"/>
  </r>
  <r>
    <s v="HC-02333"/>
    <s v="P-0525"/>
    <s v="Male"/>
    <n v="58"/>
    <x v="3"/>
    <s v="Specialist Consultation"/>
    <d v="2025-05-07T00:00:00"/>
    <d v="2025-05-27T00:00:00"/>
    <s v="Tuesday"/>
    <s v="Evening"/>
    <x v="3"/>
    <n v="20"/>
    <n v="7"/>
    <x v="1"/>
    <x v="0"/>
    <s v="SMS"/>
    <n v="2.2999999999999998"/>
    <x v="10"/>
    <x v="1"/>
  </r>
  <r>
    <s v="HC-02334"/>
    <s v="P-1451"/>
    <s v="Female"/>
    <n v="55"/>
    <x v="3"/>
    <s v="Specialist Consultation"/>
    <d v="2026-03-14T00:00:00"/>
    <d v="2026-03-26T00:00:00"/>
    <s v="Thursday"/>
    <s v="Morning"/>
    <x v="0"/>
    <n v="12"/>
    <n v="3"/>
    <x v="2"/>
    <x v="0"/>
    <s v="WhatsApp"/>
    <n v="5.6"/>
    <x v="16"/>
    <x v="0"/>
  </r>
  <r>
    <s v="HC-02335"/>
    <s v="P-1496"/>
    <s v="Male"/>
    <n v="64"/>
    <x v="3"/>
    <s v="Specialist Consultation"/>
    <d v="2025-10-10T00:00:00"/>
    <d v="2025-10-30T00:00:00"/>
    <s v="Thursday"/>
    <s v="Evening"/>
    <x v="3"/>
    <n v="20"/>
    <n v="2"/>
    <x v="1"/>
    <x v="0"/>
    <s v="SMS"/>
    <n v="17.5"/>
    <x v="25"/>
    <x v="0"/>
  </r>
  <r>
    <s v="HC-02336"/>
    <s v="P-1569"/>
    <s v="Male"/>
    <n v="46"/>
    <x v="2"/>
    <s v="General Consultation"/>
    <d v="2025-10-15T00:00:00"/>
    <d v="2025-10-22T00:00:00"/>
    <s v="Wednesday"/>
    <s v="Morning"/>
    <x v="1"/>
    <n v="7"/>
    <n v="2"/>
    <x v="0"/>
    <x v="0"/>
    <s v="SMS"/>
    <n v="9.5"/>
    <x v="19"/>
    <x v="0"/>
  </r>
  <r>
    <s v="HC-02337"/>
    <s v="P-1469"/>
    <s v="Male"/>
    <n v="79"/>
    <x v="4"/>
    <s v="General Consultation"/>
    <d v="2025-07-09T00:00:00"/>
    <d v="2025-09-06T00:00:00"/>
    <s v="Saturday"/>
    <s v="Afternoon"/>
    <x v="2"/>
    <n v="59"/>
    <n v="4"/>
    <x v="2"/>
    <x v="1"/>
    <s v="None"/>
    <n v="15.8"/>
    <x v="0"/>
    <x v="0"/>
  </r>
  <r>
    <s v="HC-02338"/>
    <s v="P-1215"/>
    <s v="Female"/>
    <n v="39"/>
    <x v="0"/>
    <s v="Follow-up"/>
    <d v="2026-03-01T00:00:00"/>
    <d v="2026-03-24T00:00:00"/>
    <s v="Tuesday"/>
    <s v="Morning"/>
    <x v="3"/>
    <n v="23"/>
    <n v="3"/>
    <x v="1"/>
    <x v="1"/>
    <s v="None"/>
    <n v="6.5"/>
    <x v="23"/>
    <x v="0"/>
  </r>
  <r>
    <s v="HC-02339"/>
    <s v="P-0151"/>
    <s v="Female"/>
    <n v="18"/>
    <x v="5"/>
    <s v="Specialist Consultation"/>
    <d v="2025-01-18T00:00:00"/>
    <d v="2025-01-24T00:00:00"/>
    <s v="Friday"/>
    <s v="Afternoon"/>
    <x v="1"/>
    <n v="6"/>
    <n v="1"/>
    <x v="0"/>
    <x v="0"/>
    <s v="Email"/>
    <n v="4.7"/>
    <x v="13"/>
    <x v="0"/>
  </r>
  <r>
    <s v="HC-02340"/>
    <s v="P-0254"/>
    <s v="Female"/>
    <n v="62"/>
    <x v="3"/>
    <s v="Diagnostic Test"/>
    <d v="2025-01-16T00:00:00"/>
    <d v="2025-02-20T00:00:00"/>
    <s v="Thursday"/>
    <s v="Morning"/>
    <x v="2"/>
    <n v="35"/>
    <n v="3"/>
    <x v="0"/>
    <x v="1"/>
    <s v="None"/>
    <n v="15.2"/>
    <x v="21"/>
    <x v="1"/>
  </r>
  <r>
    <s v="HC-02341"/>
    <s v="P-1675"/>
    <s v="Female"/>
    <n v="59"/>
    <x v="3"/>
    <s v="Follow-up"/>
    <d v="2025-06-28T00:00:00"/>
    <d v="2025-08-20T00:00:00"/>
    <s v="Wednesday"/>
    <s v="Morning"/>
    <x v="2"/>
    <n v="53"/>
    <n v="3"/>
    <x v="1"/>
    <x v="0"/>
    <s v="SMS"/>
    <n v="8.1999999999999993"/>
    <x v="15"/>
    <x v="0"/>
  </r>
  <r>
    <s v="HC-02342"/>
    <s v="P-0500"/>
    <s v="Prefer not to say"/>
    <n v="79"/>
    <x v="4"/>
    <s v="General Consultation"/>
    <d v="2025-07-14T00:00:00"/>
    <d v="2025-08-04T00:00:00"/>
    <s v="Monday"/>
    <s v="Morning"/>
    <x v="3"/>
    <n v="21"/>
    <n v="3"/>
    <x v="0"/>
    <x v="1"/>
    <s v="None"/>
    <n v="10.5"/>
    <x v="21"/>
    <x v="1"/>
  </r>
  <r>
    <s v="HC-02343"/>
    <s v="P-1722"/>
    <s v="Male"/>
    <n v="42"/>
    <x v="0"/>
    <s v="General Consultation"/>
    <d v="2025-09-04T00:00:00"/>
    <d v="2025-10-25T00:00:00"/>
    <s v="Saturday"/>
    <s v="Morning"/>
    <x v="2"/>
    <n v="51"/>
    <n v="3"/>
    <x v="0"/>
    <x v="1"/>
    <s v="None"/>
    <n v="11"/>
    <x v="4"/>
    <x v="1"/>
  </r>
  <r>
    <s v="HC-02344"/>
    <s v="P-1093"/>
    <s v="Male"/>
    <n v="44"/>
    <x v="0"/>
    <s v="Follow-up"/>
    <d v="2026-01-01T00:00:00"/>
    <d v="2026-02-07T00:00:00"/>
    <s v="Saturday"/>
    <s v="Afternoon"/>
    <x v="2"/>
    <n v="37"/>
    <n v="0"/>
    <x v="0"/>
    <x v="1"/>
    <s v="None"/>
    <n v="1.6"/>
    <x v="39"/>
    <x v="0"/>
  </r>
  <r>
    <s v="HC-02345"/>
    <s v="P-1036"/>
    <s v="Male"/>
    <n v="53"/>
    <x v="2"/>
    <s v="General Consultation"/>
    <d v="2025-10-03T00:00:00"/>
    <d v="2025-11-17T00:00:00"/>
    <s v="Monday"/>
    <s v="Morning"/>
    <x v="2"/>
    <n v="45"/>
    <n v="1"/>
    <x v="0"/>
    <x v="0"/>
    <s v="SMS"/>
    <n v="13"/>
    <x v="25"/>
    <x v="0"/>
  </r>
  <r>
    <s v="HC-02346"/>
    <s v="P-1137"/>
    <s v="Female"/>
    <n v="42"/>
    <x v="0"/>
    <s v="Follow-up"/>
    <d v="2025-05-03T00:00:00"/>
    <d v="2025-05-21T00:00:00"/>
    <s v="Wednesday"/>
    <s v="Morning"/>
    <x v="3"/>
    <n v="18"/>
    <n v="7"/>
    <x v="0"/>
    <x v="0"/>
    <s v="SMS"/>
    <m/>
    <x v="19"/>
    <x v="0"/>
  </r>
  <r>
    <s v="HC-02347"/>
    <s v="P-0644"/>
    <s v="Male"/>
    <n v="67"/>
    <x v="4"/>
    <s v="Specialist Consultation"/>
    <d v="2025-06-26T00:00:00"/>
    <d v="2025-06-28T00:00:00"/>
    <s v="Saturday"/>
    <s v="Morning"/>
    <x v="1"/>
    <n v="2"/>
    <n v="6"/>
    <x v="0"/>
    <x v="0"/>
    <s v="WhatsApp"/>
    <n v="2"/>
    <x v="12"/>
    <x v="1"/>
  </r>
  <r>
    <s v="HC-02348"/>
    <s v="P-0011"/>
    <s v="Male"/>
    <n v="44"/>
    <x v="0"/>
    <s v="General Consultation"/>
    <d v="2026-01-25T00:00:00"/>
    <d v="2026-02-15T00:00:00"/>
    <s v="Sunday"/>
    <s v="Morning"/>
    <x v="3"/>
    <n v="21"/>
    <n v="3"/>
    <x v="1"/>
    <x v="0"/>
    <s v="SMS"/>
    <n v="5.8"/>
    <x v="23"/>
    <x v="1"/>
  </r>
  <r>
    <s v="HC-02349"/>
    <s v="P-0433"/>
    <s v="Male"/>
    <n v="67"/>
    <x v="4"/>
    <s v="General Consultation"/>
    <d v="2025-02-24T00:00:00"/>
    <d v="2025-04-21T00:00:00"/>
    <s v="Monday"/>
    <s v="Morning"/>
    <x v="2"/>
    <n v="56"/>
    <n v="0"/>
    <x v="0"/>
    <x v="0"/>
    <s v="SMS"/>
    <n v="7.4"/>
    <x v="5"/>
    <x v="0"/>
  </r>
  <r>
    <s v="HC-02350"/>
    <s v="P-0893"/>
    <s v="Male"/>
    <n v="44"/>
    <x v="0"/>
    <s v="General Consultation"/>
    <d v="2025-08-16T00:00:00"/>
    <d v="2025-10-03T00:00:00"/>
    <s v="Friday"/>
    <s v="Morning"/>
    <x v="2"/>
    <n v="48"/>
    <n v="4"/>
    <x v="0"/>
    <x v="1"/>
    <s v="None"/>
    <n v="19.8"/>
    <x v="0"/>
    <x v="0"/>
  </r>
  <r>
    <s v="HC-02351"/>
    <s v="P-0422"/>
    <s v="Male"/>
    <n v="32"/>
    <x v="1"/>
    <s v="General Consultation"/>
    <d v="2025-09-05T00:00:00"/>
    <d v="2025-10-22T00:00:00"/>
    <s v="Wednesday"/>
    <s v="Afternoon"/>
    <x v="2"/>
    <n v="47"/>
    <n v="4"/>
    <x v="2"/>
    <x v="0"/>
    <s v="SMS"/>
    <n v="13.4"/>
    <x v="46"/>
    <x v="0"/>
  </r>
  <r>
    <s v="HC-02352"/>
    <s v="P-1761"/>
    <s v="Male"/>
    <n v="80"/>
    <x v="4"/>
    <s v="Follow-up"/>
    <d v="2025-12-23T00:00:00"/>
    <d v="2026-02-14T00:00:00"/>
    <s v="Saturday"/>
    <s v="Afternoon"/>
    <x v="2"/>
    <n v="53"/>
    <n v="0"/>
    <x v="0"/>
    <x v="0"/>
    <s v="SMS"/>
    <n v="1.9"/>
    <x v="5"/>
    <x v="1"/>
  </r>
  <r>
    <s v="HC-02353"/>
    <s v="P-0848"/>
    <s v="Female"/>
    <n v="51"/>
    <x v="2"/>
    <s v="General Consultation"/>
    <d v="2026-01-04T00:00:00"/>
    <d v="2026-01-26T00:00:00"/>
    <s v="Monday"/>
    <s v="Afternoon"/>
    <x v="3"/>
    <n v="22"/>
    <n v="3"/>
    <x v="0"/>
    <x v="0"/>
    <s v="SMS"/>
    <n v="10.4"/>
    <x v="36"/>
    <x v="0"/>
  </r>
  <r>
    <s v="HC-02354"/>
    <s v="P-0107"/>
    <s v="Male"/>
    <n v="62"/>
    <x v="3"/>
    <s v="General Consultation"/>
    <d v="2025-08-23T00:00:00"/>
    <d v="2025-09-11T00:00:00"/>
    <s v="Thursday"/>
    <s v="Morning"/>
    <x v="3"/>
    <n v="19"/>
    <n v="5"/>
    <x v="1"/>
    <x v="0"/>
    <s v="WhatsApp"/>
    <n v="8.1999999999999993"/>
    <x v="17"/>
    <x v="0"/>
  </r>
  <r>
    <s v="HC-02355"/>
    <s v="P-0720"/>
    <s v="Female"/>
    <n v="55"/>
    <x v="3"/>
    <s v="General Consultation"/>
    <d v="2025-04-23T00:00:00"/>
    <d v="2025-06-18T00:00:00"/>
    <s v="Wednesday"/>
    <s v="Afternoon"/>
    <x v="2"/>
    <n v="56"/>
    <n v="4"/>
    <x v="0"/>
    <x v="0"/>
    <s v="WhatsApp"/>
    <n v="4.0999999999999996"/>
    <x v="25"/>
    <x v="0"/>
  </r>
  <r>
    <s v="HC-02356"/>
    <s v="P-0664"/>
    <s v="Female"/>
    <n v="40"/>
    <x v="0"/>
    <s v="General Consultation"/>
    <d v="2025-06-16T00:00:00"/>
    <d v="2025-07-20T00:00:00"/>
    <s v="Sunday"/>
    <s v="Afternoon"/>
    <x v="2"/>
    <n v="34"/>
    <n v="4"/>
    <x v="0"/>
    <x v="1"/>
    <s v="None"/>
    <n v="12.5"/>
    <x v="17"/>
    <x v="0"/>
  </r>
  <r>
    <s v="HC-02357"/>
    <s v="P-1209"/>
    <s v="Male"/>
    <n v="79"/>
    <x v="4"/>
    <s v="Follow-up"/>
    <d v="2025-07-26T00:00:00"/>
    <d v="2025-08-13T00:00:00"/>
    <s v="Wednesday"/>
    <s v="Afternoon"/>
    <x v="3"/>
    <n v="18"/>
    <n v="3"/>
    <x v="2"/>
    <x v="1"/>
    <s v="None"/>
    <n v="19.7"/>
    <x v="40"/>
    <x v="0"/>
  </r>
  <r>
    <s v="HC-02358"/>
    <s v="P-1057"/>
    <s v="Male"/>
    <n v="41"/>
    <x v="0"/>
    <s v="Follow-up"/>
    <d v="2025-04-14T00:00:00"/>
    <d v="2025-04-30T00:00:00"/>
    <s v="Wednesday"/>
    <s v="Morning"/>
    <x v="3"/>
    <n v="16"/>
    <n v="1"/>
    <x v="0"/>
    <x v="0"/>
    <s v="SMS"/>
    <n v="8.6999999999999993"/>
    <x v="7"/>
    <x v="0"/>
  </r>
  <r>
    <s v="HC-02359"/>
    <s v="P-0770"/>
    <s v="Male"/>
    <n v="80"/>
    <x v="4"/>
    <s v="Follow-up"/>
    <d v="2025-10-16T00:00:00"/>
    <d v="2025-12-08T00:00:00"/>
    <s v="Monday"/>
    <s v="Morning"/>
    <x v="2"/>
    <n v="53"/>
    <n v="7"/>
    <x v="2"/>
    <x v="0"/>
    <s v="WhatsApp"/>
    <n v="6.4"/>
    <x v="13"/>
    <x v="0"/>
  </r>
  <r>
    <s v="HC-02360"/>
    <s v="P-1687"/>
    <s v="Female"/>
    <n v="45"/>
    <x v="2"/>
    <s v="Follow-up"/>
    <d v="2025-04-21T00:00:00"/>
    <d v="2025-04-24T00:00:00"/>
    <s v="Thursday"/>
    <s v="Afternoon"/>
    <x v="1"/>
    <n v="3"/>
    <n v="2"/>
    <x v="0"/>
    <x v="0"/>
    <s v="WhatsApp"/>
    <n v="9.1"/>
    <x v="37"/>
    <x v="1"/>
  </r>
  <r>
    <s v="HC-02361"/>
    <s v="P-1139"/>
    <s v="Female"/>
    <n v="19"/>
    <x v="5"/>
    <s v="General Consultation"/>
    <d v="2025-12-18T00:00:00"/>
    <d v="2025-12-21T00:00:00"/>
    <s v="Sunday"/>
    <s v="Morning"/>
    <x v="1"/>
    <n v="3"/>
    <n v="4"/>
    <x v="1"/>
    <x v="0"/>
    <s v="SMS"/>
    <n v="10.4"/>
    <x v="17"/>
    <x v="0"/>
  </r>
  <r>
    <s v="HC-02362"/>
    <s v="P-0135"/>
    <s v="Female"/>
    <n v="20"/>
    <x v="5"/>
    <s v="Follow-up"/>
    <d v="2026-01-01T00:00:00"/>
    <d v="2026-02-15T00:00:00"/>
    <s v="Sunday"/>
    <s v="Afternoon"/>
    <x v="2"/>
    <n v="45"/>
    <n v="3"/>
    <x v="0"/>
    <x v="0"/>
    <s v="SMS"/>
    <n v="26.5"/>
    <x v="19"/>
    <x v="1"/>
  </r>
  <r>
    <s v="HC-02363"/>
    <s v="P-0598"/>
    <s v="Male"/>
    <n v="79"/>
    <x v="4"/>
    <s v="General Consultation"/>
    <d v="2026-06-10T00:00:00"/>
    <d v="2026-06-10T00:00:00"/>
    <s v="Wednesday"/>
    <s v="Morning"/>
    <x v="1"/>
    <n v="0"/>
    <n v="2"/>
    <x v="0"/>
    <x v="0"/>
    <s v="SMS"/>
    <n v="5"/>
    <x v="3"/>
    <x v="1"/>
  </r>
  <r>
    <s v="HC-02364"/>
    <s v="P-1506"/>
    <s v="Male"/>
    <n v="51"/>
    <x v="2"/>
    <s v="Diagnostic Test"/>
    <d v="2025-02-24T00:00:00"/>
    <d v="2025-03-06T00:00:00"/>
    <s v="Thursday"/>
    <s v="Morning"/>
    <x v="0"/>
    <n v="10"/>
    <n v="2"/>
    <x v="0"/>
    <x v="0"/>
    <s v="Email"/>
    <n v="5.0999999999999996"/>
    <x v="21"/>
    <x v="1"/>
  </r>
  <r>
    <s v="HC-02365"/>
    <s v="P-1258"/>
    <s v="Male"/>
    <n v="42"/>
    <x v="0"/>
    <s v="General Consultation"/>
    <d v="2025-12-21T00:00:00"/>
    <d v="2026-02-19T00:00:00"/>
    <s v="Thursday"/>
    <s v="Morning"/>
    <x v="2"/>
    <n v="60"/>
    <n v="6"/>
    <x v="2"/>
    <x v="0"/>
    <s v="SMS"/>
    <n v="15"/>
    <x v="31"/>
    <x v="1"/>
  </r>
  <r>
    <s v="HC-02366"/>
    <s v="P-0556"/>
    <s v="Female"/>
    <n v="69"/>
    <x v="4"/>
    <s v="Follow-up"/>
    <d v="2025-01-22T00:00:00"/>
    <d v="2025-02-16T00:00:00"/>
    <s v="Sunday"/>
    <s v="Morning"/>
    <x v="3"/>
    <n v="25"/>
    <n v="3"/>
    <x v="1"/>
    <x v="0"/>
    <s v="SMS"/>
    <n v="6"/>
    <x v="14"/>
    <x v="1"/>
  </r>
  <r>
    <s v="HC-02367"/>
    <s v="P-0507"/>
    <s v="Male"/>
    <n v="56"/>
    <x v="3"/>
    <s v="General Consultation"/>
    <d v="2025-05-21T00:00:00"/>
    <d v="2025-07-04T00:00:00"/>
    <s v="Friday"/>
    <s v="Morning"/>
    <x v="2"/>
    <n v="44"/>
    <n v="4"/>
    <x v="0"/>
    <x v="1"/>
    <s v="None"/>
    <n v="1.5"/>
    <x v="25"/>
    <x v="0"/>
  </r>
  <r>
    <s v="HC-02368"/>
    <s v="P-0538"/>
    <s v="Female"/>
    <n v="59"/>
    <x v="3"/>
    <s v="Specialist Consultation"/>
    <d v="2025-03-09T00:00:00"/>
    <d v="2025-04-07T00:00:00"/>
    <s v="Monday"/>
    <s v="Morning"/>
    <x v="3"/>
    <n v="29"/>
    <n v="4"/>
    <x v="1"/>
    <x v="1"/>
    <s v="None"/>
    <n v="19.899999999999999"/>
    <x v="11"/>
    <x v="1"/>
  </r>
  <r>
    <s v="HC-02369"/>
    <s v="P-1034"/>
    <s v="Male"/>
    <n v="61"/>
    <x v="3"/>
    <s v="General Consultation"/>
    <d v="2025-03-25T00:00:00"/>
    <d v="2025-03-30T00:00:00"/>
    <s v="Sunday"/>
    <s v="Afternoon"/>
    <x v="1"/>
    <n v="5"/>
    <n v="5"/>
    <x v="1"/>
    <x v="0"/>
    <s v="SMS"/>
    <n v="19.2"/>
    <x v="16"/>
    <x v="1"/>
  </r>
  <r>
    <s v="HC-02370"/>
    <s v="P-0490"/>
    <s v="Male"/>
    <n v="30"/>
    <x v="1"/>
    <s v="Diagnostic Test"/>
    <d v="2025-03-26T00:00:00"/>
    <d v="2025-04-06T00:00:00"/>
    <s v="Sunday"/>
    <s v="Morning"/>
    <x v="0"/>
    <n v="11"/>
    <n v="1"/>
    <x v="0"/>
    <x v="0"/>
    <s v="SMS"/>
    <n v="3.1"/>
    <x v="27"/>
    <x v="1"/>
  </r>
  <r>
    <s v="HC-02371"/>
    <s v="P-0783"/>
    <s v="Female"/>
    <n v="23"/>
    <x v="5"/>
    <s v="General Consultation"/>
    <d v="2024-12-09T00:00:00"/>
    <d v="2025-01-24T00:00:00"/>
    <s v="Friday"/>
    <s v="Afternoon"/>
    <x v="2"/>
    <n v="46"/>
    <n v="3"/>
    <x v="1"/>
    <x v="0"/>
    <s v="WhatsApp"/>
    <n v="8.8000000000000007"/>
    <x v="4"/>
    <x v="0"/>
  </r>
  <r>
    <s v="HC-02372"/>
    <s v="P-1595"/>
    <s v="Male"/>
    <n v="63"/>
    <x v="3"/>
    <s v="Specialist Consultation"/>
    <d v="2026-03-21T00:00:00"/>
    <d v="2026-03-26T00:00:00"/>
    <s v="Thursday"/>
    <s v="Evening"/>
    <x v="1"/>
    <n v="5"/>
    <n v="3"/>
    <x v="1"/>
    <x v="1"/>
    <s v="None"/>
    <n v="2"/>
    <x v="13"/>
    <x v="0"/>
  </r>
  <r>
    <s v="HC-02373"/>
    <s v="P-1082"/>
    <s v="Male"/>
    <n v="19"/>
    <x v="5"/>
    <s v="Follow-up"/>
    <d v="2024-12-29T00:00:00"/>
    <d v="2025-02-03T00:00:00"/>
    <s v="Monday"/>
    <s v="Afternoon"/>
    <x v="2"/>
    <n v="36"/>
    <n v="4"/>
    <x v="0"/>
    <x v="1"/>
    <s v="None"/>
    <n v="14.1"/>
    <x v="8"/>
    <x v="1"/>
  </r>
  <r>
    <s v="HC-02374"/>
    <s v="P-0299"/>
    <s v="Female"/>
    <n v="63"/>
    <x v="3"/>
    <s v="General Consultation"/>
    <d v="2025-07-16T00:00:00"/>
    <d v="2025-08-06T00:00:00"/>
    <s v="Wednesday"/>
    <s v="Afternoon"/>
    <x v="3"/>
    <n v="21"/>
    <n v="4"/>
    <x v="1"/>
    <x v="0"/>
    <s v="SMS"/>
    <n v="13.7"/>
    <x v="37"/>
    <x v="0"/>
  </r>
  <r>
    <s v="HC-02375"/>
    <s v="P-1042"/>
    <s v="Female"/>
    <n v="26"/>
    <x v="1"/>
    <s v="General Consultation"/>
    <d v="2025-12-26T00:00:00"/>
    <d v="2026-01-17T00:00:00"/>
    <s v="Saturday"/>
    <s v="Morning"/>
    <x v="3"/>
    <n v="22"/>
    <n v="4"/>
    <x v="0"/>
    <x v="0"/>
    <s v="SMS"/>
    <n v="8.3000000000000007"/>
    <x v="23"/>
    <x v="2"/>
  </r>
  <r>
    <s v="HC-02376"/>
    <s v="P-0131"/>
    <s v="Male"/>
    <n v="34"/>
    <x v="1"/>
    <s v="General Consultation"/>
    <d v="2026-04-28T00:00:00"/>
    <d v="2026-06-25T00:00:00"/>
    <s v="Thursday"/>
    <s v="Afternoon"/>
    <x v="2"/>
    <n v="58"/>
    <n v="2"/>
    <x v="0"/>
    <x v="1"/>
    <s v="None"/>
    <n v="16.399999999999999"/>
    <x v="25"/>
    <x v="0"/>
  </r>
  <r>
    <s v="HC-02377"/>
    <s v="P-0961"/>
    <s v="Male"/>
    <n v="62"/>
    <x v="3"/>
    <s v="Specialist Consultation"/>
    <d v="2026-03-07T00:00:00"/>
    <d v="2026-04-12T00:00:00"/>
    <s v="Sunday"/>
    <s v="Evening"/>
    <x v="2"/>
    <n v="36"/>
    <n v="2"/>
    <x v="0"/>
    <x v="0"/>
    <s v="WhatsApp"/>
    <n v="2.2000000000000002"/>
    <x v="26"/>
    <x v="2"/>
  </r>
  <r>
    <s v="HC-02378"/>
    <s v="P-1433"/>
    <s v="Male"/>
    <n v="57"/>
    <x v="3"/>
    <s v="Specialist Consultation"/>
    <d v="2025-02-07T00:00:00"/>
    <d v="2025-03-16T00:00:00"/>
    <s v="Sunday"/>
    <s v="Afternoon"/>
    <x v="2"/>
    <n v="37"/>
    <n v="8"/>
    <x v="1"/>
    <x v="0"/>
    <s v="SMS"/>
    <m/>
    <x v="13"/>
    <x v="1"/>
  </r>
  <r>
    <s v="HC-02379"/>
    <s v="P-0669"/>
    <s v="Female"/>
    <n v="67"/>
    <x v="4"/>
    <s v="General Consultation"/>
    <d v="2026-06-03T00:00:00"/>
    <d v="2026-06-24T00:00:00"/>
    <s v="Wednesday"/>
    <s v="Morning"/>
    <x v="3"/>
    <n v="21"/>
    <n v="2"/>
    <x v="0"/>
    <x v="0"/>
    <s v="SMS"/>
    <n v="1.5"/>
    <x v="46"/>
    <x v="0"/>
  </r>
  <r>
    <s v="HC-02380"/>
    <s v="P-1571"/>
    <s v="Male"/>
    <n v="56"/>
    <x v="3"/>
    <s v="General Consultation"/>
    <d v="2025-11-30T00:00:00"/>
    <d v="2025-12-23T00:00:00"/>
    <s v="Tuesday"/>
    <s v="Afternoon"/>
    <x v="3"/>
    <n v="23"/>
    <n v="1"/>
    <x v="0"/>
    <x v="0"/>
    <s v="SMS"/>
    <n v="4"/>
    <x v="8"/>
    <x v="1"/>
  </r>
  <r>
    <s v="HC-02381"/>
    <s v="P-1622"/>
    <s v="Female"/>
    <n v="21"/>
    <x v="5"/>
    <s v="General Consultation"/>
    <d v="2025-02-27T00:00:00"/>
    <d v="2025-04-09T00:00:00"/>
    <s v="Wednesday"/>
    <s v="Morning"/>
    <x v="2"/>
    <n v="41"/>
    <n v="3"/>
    <x v="1"/>
    <x v="0"/>
    <s v="Email"/>
    <m/>
    <x v="19"/>
    <x v="0"/>
  </r>
  <r>
    <s v="HC-02382"/>
    <s v="P-0463"/>
    <s v="Female"/>
    <n v="70"/>
    <x v="4"/>
    <s v="General Consultation"/>
    <d v="2025-09-01T00:00:00"/>
    <d v="2025-09-03T00:00:00"/>
    <s v="Wednesday"/>
    <s v="Afternoon"/>
    <x v="1"/>
    <n v="2"/>
    <n v="2"/>
    <x v="0"/>
    <x v="0"/>
    <s v="SMS"/>
    <n v="21.7"/>
    <x v="13"/>
    <x v="1"/>
  </r>
  <r>
    <s v="HC-02383"/>
    <s v="P-0564"/>
    <s v="Female"/>
    <n v="31"/>
    <x v="1"/>
    <s v="Follow-up"/>
    <d v="2026-05-03T00:00:00"/>
    <d v="2026-05-17T00:00:00"/>
    <s v="Sunday"/>
    <s v="Morning"/>
    <x v="0"/>
    <n v="14"/>
    <n v="2"/>
    <x v="0"/>
    <x v="0"/>
    <s v="SMS"/>
    <n v="16"/>
    <x v="17"/>
    <x v="1"/>
  </r>
  <r>
    <s v="HC-02384"/>
    <s v="P-1752"/>
    <s v="Female"/>
    <n v="26"/>
    <x v="1"/>
    <s v="General Consultation"/>
    <d v="2025-06-28T00:00:00"/>
    <d v="2025-08-03T00:00:00"/>
    <s v="Sunday"/>
    <s v="Morning"/>
    <x v="2"/>
    <n v="36"/>
    <n v="5"/>
    <x v="0"/>
    <x v="0"/>
    <s v="SMS"/>
    <n v="1.6"/>
    <x v="6"/>
    <x v="1"/>
  </r>
  <r>
    <s v="HC-02385"/>
    <s v="P-0388"/>
    <s v="Female"/>
    <n v="73"/>
    <x v="4"/>
    <s v="General Consultation"/>
    <d v="2025-03-04T00:00:00"/>
    <d v="2025-04-11T00:00:00"/>
    <s v="Friday"/>
    <s v="Afternoon"/>
    <x v="2"/>
    <n v="38"/>
    <n v="1"/>
    <x v="0"/>
    <x v="1"/>
    <s v="None"/>
    <n v="10.199999999999999"/>
    <x v="36"/>
    <x v="0"/>
  </r>
  <r>
    <s v="HC-02386"/>
    <s v="P-1679"/>
    <s v="Female"/>
    <n v="30"/>
    <x v="1"/>
    <s v="Specialist Consultation"/>
    <d v="2026-04-18T00:00:00"/>
    <d v="2026-04-23T00:00:00"/>
    <s v="Thursday"/>
    <s v="Afternoon"/>
    <x v="1"/>
    <n v="5"/>
    <n v="3"/>
    <x v="0"/>
    <x v="0"/>
    <s v="SMS"/>
    <n v="1.6"/>
    <x v="26"/>
    <x v="1"/>
  </r>
  <r>
    <s v="HC-02387"/>
    <s v="P-0796"/>
    <s v="Female"/>
    <n v="51"/>
    <x v="2"/>
    <s v="Specialist Consultation"/>
    <d v="2026-04-18T00:00:00"/>
    <d v="2026-06-05T00:00:00"/>
    <s v="Friday"/>
    <s v="Afternoon"/>
    <x v="2"/>
    <n v="48"/>
    <n v="1"/>
    <x v="0"/>
    <x v="0"/>
    <s v="Email"/>
    <n v="13"/>
    <x v="7"/>
    <x v="0"/>
  </r>
  <r>
    <s v="HC-02388"/>
    <s v="P-0219"/>
    <s v="Male"/>
    <n v="48"/>
    <x v="2"/>
    <s v="Specialist Consultation"/>
    <d v="2026-05-15T00:00:00"/>
    <d v="2026-06-17T00:00:00"/>
    <s v="Wednesday"/>
    <s v="Afternoon"/>
    <x v="2"/>
    <n v="33"/>
    <n v="0"/>
    <x v="0"/>
    <x v="0"/>
    <s v="SMS"/>
    <n v="14.9"/>
    <x v="8"/>
    <x v="0"/>
  </r>
  <r>
    <s v="HC-02389"/>
    <s v="P-1691"/>
    <s v="Female"/>
    <n v="66"/>
    <x v="4"/>
    <s v="General Consultation"/>
    <d v="2026-05-23T00:00:00"/>
    <d v="2026-06-06T00:00:00"/>
    <s v="Saturday"/>
    <s v="Afternoon"/>
    <x v="0"/>
    <n v="14"/>
    <n v="2"/>
    <x v="1"/>
    <x v="1"/>
    <s v="None"/>
    <n v="13.1"/>
    <x v="53"/>
    <x v="1"/>
  </r>
  <r>
    <s v="HC-02390"/>
    <s v="P-0281"/>
    <s v="Female"/>
    <n v="20"/>
    <x v="5"/>
    <s v="Diagnostic Test"/>
    <d v="2026-03-08T00:00:00"/>
    <d v="2026-04-22T00:00:00"/>
    <s v="Wednesday"/>
    <s v="Afternoon"/>
    <x v="2"/>
    <n v="45"/>
    <n v="2"/>
    <x v="0"/>
    <x v="0"/>
    <s v="WhatsApp"/>
    <n v="10.199999999999999"/>
    <x v="8"/>
    <x v="1"/>
  </r>
  <r>
    <s v="HC-02391"/>
    <s v="P-1107"/>
    <s v="Male"/>
    <n v="24"/>
    <x v="5"/>
    <s v="Follow-up"/>
    <d v="2025-07-08T00:00:00"/>
    <d v="2025-09-06T00:00:00"/>
    <s v="Saturday"/>
    <s v="Evening"/>
    <x v="2"/>
    <n v="60"/>
    <n v="3"/>
    <x v="1"/>
    <x v="0"/>
    <s v="SMS"/>
    <n v="7.4"/>
    <x v="15"/>
    <x v="0"/>
  </r>
  <r>
    <s v="HC-02392"/>
    <s v="P-0684"/>
    <s v="Male"/>
    <n v="44"/>
    <x v="0"/>
    <s v="Follow-up"/>
    <d v="2025-03-21T00:00:00"/>
    <d v="2025-04-15T00:00:00"/>
    <s v="Tuesday"/>
    <s v="Morning"/>
    <x v="3"/>
    <n v="25"/>
    <n v="4"/>
    <x v="0"/>
    <x v="0"/>
    <s v="SMS"/>
    <n v="9.8000000000000007"/>
    <x v="45"/>
    <x v="1"/>
  </r>
  <r>
    <s v="HC-02393"/>
    <s v="P-1761"/>
    <s v="Male"/>
    <n v="47"/>
    <x v="2"/>
    <s v="General Consultation"/>
    <d v="2025-11-16T00:00:00"/>
    <d v="2025-12-03T00:00:00"/>
    <s v="Wednesday"/>
    <s v="Morning"/>
    <x v="3"/>
    <n v="17"/>
    <n v="3"/>
    <x v="1"/>
    <x v="0"/>
    <s v="WhatsApp"/>
    <n v="4.0999999999999996"/>
    <x v="3"/>
    <x v="1"/>
  </r>
  <r>
    <s v="HC-02394"/>
    <s v="P-1211"/>
    <s v="Female"/>
    <n v="67"/>
    <x v="4"/>
    <s v="Diagnostic Test"/>
    <d v="2025-04-13T00:00:00"/>
    <d v="2025-05-01T00:00:00"/>
    <s v="Thursday"/>
    <s v="Afternoon"/>
    <x v="3"/>
    <n v="18"/>
    <n v="2"/>
    <x v="0"/>
    <x v="1"/>
    <s v="None"/>
    <n v="10.199999999999999"/>
    <x v="23"/>
    <x v="1"/>
  </r>
  <r>
    <s v="HC-02395"/>
    <s v="P-1446"/>
    <s v="Male"/>
    <n v="56"/>
    <x v="3"/>
    <s v="Follow-up"/>
    <d v="2025-08-11T00:00:00"/>
    <d v="2025-09-16T00:00:00"/>
    <s v="Tuesday"/>
    <s v="Morning"/>
    <x v="2"/>
    <n v="36"/>
    <n v="4"/>
    <x v="2"/>
    <x v="0"/>
    <s v="Email"/>
    <n v="6.6"/>
    <x v="20"/>
    <x v="0"/>
  </r>
  <r>
    <s v="HC-02396"/>
    <s v="P-0014"/>
    <s v="Male"/>
    <n v="27"/>
    <x v="1"/>
    <s v="Specialist Consultation"/>
    <d v="2025-12-23T00:00:00"/>
    <d v="2025-12-25T00:00:00"/>
    <s v="Thursday"/>
    <s v="Evening"/>
    <x v="1"/>
    <n v="2"/>
    <n v="3"/>
    <x v="0"/>
    <x v="0"/>
    <s v="SMS"/>
    <n v="2"/>
    <x v="10"/>
    <x v="0"/>
  </r>
  <r>
    <s v="HC-02397"/>
    <s v="P-0650"/>
    <s v="Male"/>
    <n v="79"/>
    <x v="4"/>
    <s v="Follow-up"/>
    <d v="2026-05-03T00:00:00"/>
    <d v="2026-06-01T00:00:00"/>
    <s v="Monday"/>
    <s v="Morning"/>
    <x v="3"/>
    <n v="29"/>
    <n v="2"/>
    <x v="2"/>
    <x v="0"/>
    <s v="WhatsApp"/>
    <n v="3.6"/>
    <x v="0"/>
    <x v="1"/>
  </r>
  <r>
    <s v="HC-02398"/>
    <s v="P-1102"/>
    <s v="Male"/>
    <n v="46"/>
    <x v="2"/>
    <s v="Specialist Consultation"/>
    <d v="2025-06-06T00:00:00"/>
    <d v="2025-06-07T00:00:00"/>
    <s v="Saturday"/>
    <s v="Morning"/>
    <x v="1"/>
    <n v="1"/>
    <n v="5"/>
    <x v="0"/>
    <x v="0"/>
    <s v="WhatsApp"/>
    <n v="14.8"/>
    <x v="47"/>
    <x v="1"/>
  </r>
  <r>
    <s v="HC-02399"/>
    <s v="P-0657"/>
    <s v="Female"/>
    <n v="78"/>
    <x v="4"/>
    <s v="Follow-up"/>
    <d v="2025-05-16T00:00:00"/>
    <d v="2025-05-18T00:00:00"/>
    <s v="Sunday"/>
    <s v="Morning"/>
    <x v="1"/>
    <n v="2"/>
    <n v="1"/>
    <x v="0"/>
    <x v="1"/>
    <s v="None"/>
    <n v="2.1"/>
    <x v="35"/>
    <x v="2"/>
  </r>
  <r>
    <s v="HC-02400"/>
    <s v="P-1541"/>
    <s v="Female"/>
    <n v="80"/>
    <x v="4"/>
    <s v="Diagnostic Test"/>
    <d v="2026-01-11T00:00:00"/>
    <d v="2026-02-06T00:00:00"/>
    <s v="Friday"/>
    <s v="Afternoon"/>
    <x v="3"/>
    <n v="26"/>
    <n v="2"/>
    <x v="0"/>
    <x v="0"/>
    <s v="SMS"/>
    <n v="9.1999999999999993"/>
    <x v="19"/>
    <x v="0"/>
  </r>
  <r>
    <s v="HC-02401"/>
    <s v="P-1465"/>
    <s v="Female"/>
    <n v="21"/>
    <x v="5"/>
    <s v="General Consultation"/>
    <d v="2024-11-20T00:00:00"/>
    <d v="2025-01-04T00:00:00"/>
    <s v="Saturday"/>
    <s v="Afternoon"/>
    <x v="2"/>
    <n v="45"/>
    <n v="3"/>
    <x v="0"/>
    <x v="1"/>
    <s v="None"/>
    <n v="6.3"/>
    <x v="17"/>
    <x v="1"/>
  </r>
  <r>
    <s v="HC-02402"/>
    <s v="P-0861"/>
    <s v="Female"/>
    <n v="49"/>
    <x v="2"/>
    <s v="General Consultation"/>
    <d v="2025-09-14T00:00:00"/>
    <d v="2025-11-06T00:00:00"/>
    <s v="Thursday"/>
    <s v="Morning"/>
    <x v="2"/>
    <n v="53"/>
    <n v="3"/>
    <x v="0"/>
    <x v="0"/>
    <s v="SMS"/>
    <n v="3.6"/>
    <x v="17"/>
    <x v="1"/>
  </r>
  <r>
    <s v="HC-02403"/>
    <s v="P-0665"/>
    <s v="Male"/>
    <n v="44"/>
    <x v="0"/>
    <s v="Specialist Consultation"/>
    <d v="2026-02-07T00:00:00"/>
    <d v="2026-02-12T00:00:00"/>
    <s v="Thursday"/>
    <s v="Morning"/>
    <x v="1"/>
    <n v="5"/>
    <n v="1"/>
    <x v="0"/>
    <x v="0"/>
    <s v="SMS"/>
    <n v="16.600000000000001"/>
    <x v="20"/>
    <x v="0"/>
  </r>
  <r>
    <s v="HC-02404"/>
    <s v="P-0145"/>
    <s v="Female"/>
    <n v="49"/>
    <x v="2"/>
    <s v="Follow-up"/>
    <d v="2025-10-14T00:00:00"/>
    <d v="2025-10-28T00:00:00"/>
    <s v="Tuesday"/>
    <s v="Morning"/>
    <x v="0"/>
    <n v="14"/>
    <n v="2"/>
    <x v="0"/>
    <x v="1"/>
    <s v="None"/>
    <n v="18.399999999999999"/>
    <x v="4"/>
    <x v="1"/>
  </r>
  <r>
    <s v="HC-02405"/>
    <s v="P-1544"/>
    <s v="Male"/>
    <n v="37"/>
    <x v="0"/>
    <s v="Follow-up"/>
    <d v="2025-07-04T00:00:00"/>
    <d v="2025-07-29T00:00:00"/>
    <s v="Tuesday"/>
    <s v="Morning"/>
    <x v="3"/>
    <n v="25"/>
    <n v="6"/>
    <x v="1"/>
    <x v="1"/>
    <s v="None"/>
    <n v="2.4"/>
    <x v="6"/>
    <x v="1"/>
  </r>
  <r>
    <s v="HC-02406"/>
    <s v="P-0342"/>
    <s v="Prefer not to say"/>
    <n v="53"/>
    <x v="2"/>
    <s v="Specialist Consultation"/>
    <d v="2026-02-22T00:00:00"/>
    <d v="2026-03-29T00:00:00"/>
    <s v="Sunday"/>
    <s v="Afternoon"/>
    <x v="2"/>
    <n v="35"/>
    <n v="7"/>
    <x v="1"/>
    <x v="0"/>
    <s v="Email"/>
    <n v="9.4"/>
    <x v="10"/>
    <x v="1"/>
  </r>
  <r>
    <s v="HC-02407"/>
    <s v="P-1406"/>
    <s v="Male"/>
    <n v="49"/>
    <x v="2"/>
    <s v="Follow-up"/>
    <d v="2025-05-23T00:00:00"/>
    <d v="2025-07-22T00:00:00"/>
    <s v="Tuesday"/>
    <s v="Afternoon"/>
    <x v="2"/>
    <n v="60"/>
    <n v="2"/>
    <x v="0"/>
    <x v="1"/>
    <s v="None"/>
    <n v="7"/>
    <x v="14"/>
    <x v="0"/>
  </r>
  <r>
    <s v="HC-02408"/>
    <s v="P-1109"/>
    <s v="Female"/>
    <n v="29"/>
    <x v="1"/>
    <s v="Specialist Consultation"/>
    <d v="2025-12-13T00:00:00"/>
    <d v="2026-01-23T00:00:00"/>
    <s v="Friday"/>
    <s v="Morning"/>
    <x v="2"/>
    <n v="41"/>
    <n v="1"/>
    <x v="0"/>
    <x v="0"/>
    <s v="SMS"/>
    <n v="9.1"/>
    <x v="16"/>
    <x v="1"/>
  </r>
  <r>
    <s v="HC-02409"/>
    <s v="P-1134"/>
    <s v="Male"/>
    <n v="36"/>
    <x v="0"/>
    <s v="General Consultation"/>
    <d v="2025-08-10T00:00:00"/>
    <d v="2025-09-11T00:00:00"/>
    <s v="Thursday"/>
    <s v="Morning"/>
    <x v="2"/>
    <n v="32"/>
    <n v="5"/>
    <x v="1"/>
    <x v="1"/>
    <s v="None"/>
    <n v="36.299999999999997"/>
    <x v="19"/>
    <x v="0"/>
  </r>
  <r>
    <s v="HC-02410"/>
    <s v="P-1111"/>
    <s v="Female"/>
    <n v="27"/>
    <x v="1"/>
    <s v="Specialist Consultation"/>
    <d v="2025-01-12T00:00:00"/>
    <d v="2025-01-15T00:00:00"/>
    <s v="Wednesday"/>
    <s v="Afternoon"/>
    <x v="1"/>
    <n v="3"/>
    <n v="2"/>
    <x v="1"/>
    <x v="0"/>
    <s v="SMS"/>
    <n v="6.3"/>
    <x v="24"/>
    <x v="1"/>
  </r>
  <r>
    <s v="HC-02411"/>
    <s v="P-0899"/>
    <s v="Female"/>
    <n v="71"/>
    <x v="4"/>
    <s v="General Consultation"/>
    <d v="2025-10-13T00:00:00"/>
    <d v="2025-10-17T00:00:00"/>
    <s v="Friday"/>
    <s v="Morning"/>
    <x v="1"/>
    <n v="4"/>
    <n v="4"/>
    <x v="0"/>
    <x v="0"/>
    <s v="WhatsApp"/>
    <n v="4.5999999999999996"/>
    <x v="7"/>
    <x v="1"/>
  </r>
  <r>
    <s v="HC-02412"/>
    <s v="P-0262"/>
    <s v="Female"/>
    <n v="60"/>
    <x v="3"/>
    <s v="Follow-up"/>
    <d v="2025-01-19T00:00:00"/>
    <d v="2025-01-28T00:00:00"/>
    <s v="Tuesday"/>
    <s v="Morning"/>
    <x v="0"/>
    <n v="9"/>
    <n v="5"/>
    <x v="2"/>
    <x v="1"/>
    <s v="None"/>
    <n v="7.8"/>
    <x v="36"/>
    <x v="0"/>
  </r>
  <r>
    <s v="HC-02413"/>
    <s v="P-1665"/>
    <s v="Female"/>
    <n v="42"/>
    <x v="0"/>
    <s v="Diagnostic Test"/>
    <d v="2026-04-14T00:00:00"/>
    <d v="2026-05-24T00:00:00"/>
    <s v="Sunday"/>
    <s v="Afternoon"/>
    <x v="2"/>
    <n v="40"/>
    <n v="2"/>
    <x v="0"/>
    <x v="0"/>
    <s v="SMS"/>
    <n v="10.7"/>
    <x v="25"/>
    <x v="1"/>
  </r>
  <r>
    <s v="HC-02414"/>
    <s v="P-1125"/>
    <s v="Male"/>
    <n v="42"/>
    <x v="0"/>
    <s v="General Consultation"/>
    <d v="2025-11-05T00:00:00"/>
    <d v="2025-11-25T00:00:00"/>
    <s v="Tuesday"/>
    <s v="Morning"/>
    <x v="3"/>
    <n v="20"/>
    <n v="2"/>
    <x v="0"/>
    <x v="0"/>
    <s v="SMS"/>
    <n v="6.1"/>
    <x v="47"/>
    <x v="0"/>
  </r>
  <r>
    <s v="HC-02415"/>
    <s v="P-1690"/>
    <s v="Female"/>
    <n v="22"/>
    <x v="5"/>
    <s v="General Consultation"/>
    <d v="2025-07-09T00:00:00"/>
    <d v="2025-07-23T00:00:00"/>
    <s v="Wednesday"/>
    <s v="Morning"/>
    <x v="0"/>
    <n v="14"/>
    <n v="4"/>
    <x v="1"/>
    <x v="1"/>
    <s v="None"/>
    <n v="34.4"/>
    <x v="11"/>
    <x v="0"/>
  </r>
  <r>
    <s v="HC-02416"/>
    <s v="P-0554"/>
    <s v="Male"/>
    <n v="36"/>
    <x v="0"/>
    <s v="General Consultation"/>
    <d v="2025-08-14T00:00:00"/>
    <d v="2025-09-23T00:00:00"/>
    <s v="Tuesday"/>
    <s v="Morning"/>
    <x v="2"/>
    <n v="40"/>
    <n v="4"/>
    <x v="1"/>
    <x v="0"/>
    <s v="SMS"/>
    <n v="4.3"/>
    <x v="51"/>
    <x v="0"/>
  </r>
  <r>
    <s v="HC-02417"/>
    <s v="P-0457"/>
    <s v="Female"/>
    <n v="76"/>
    <x v="4"/>
    <s v="Follow-up"/>
    <d v="2025-10-17T00:00:00"/>
    <d v="2025-12-05T00:00:00"/>
    <s v="Friday"/>
    <s v="Afternoon"/>
    <x v="2"/>
    <n v="49"/>
    <n v="3"/>
    <x v="0"/>
    <x v="1"/>
    <s v="None"/>
    <n v="13.2"/>
    <x v="10"/>
    <x v="1"/>
  </r>
  <r>
    <s v="HC-02418"/>
    <s v="P-0186"/>
    <s v="Male"/>
    <n v="19"/>
    <x v="5"/>
    <s v="General Consultation"/>
    <d v="2025-04-27T00:00:00"/>
    <d v="2025-05-23T00:00:00"/>
    <s v="Friday"/>
    <s v="Morning"/>
    <x v="3"/>
    <n v="26"/>
    <n v="3"/>
    <x v="0"/>
    <x v="0"/>
    <s v="WhatsApp"/>
    <n v="20.7"/>
    <x v="15"/>
    <x v="0"/>
  </r>
  <r>
    <s v="HC-02419"/>
    <s v="P-0899"/>
    <s v="Female"/>
    <n v="27"/>
    <x v="1"/>
    <s v="General Consultation"/>
    <d v="2025-04-15T00:00:00"/>
    <d v="2025-06-07T00:00:00"/>
    <s v="Saturday"/>
    <s v="Afternoon"/>
    <x v="2"/>
    <n v="53"/>
    <n v="3"/>
    <x v="1"/>
    <x v="0"/>
    <s v="SMS"/>
    <n v="0.8"/>
    <x v="38"/>
    <x v="0"/>
  </r>
  <r>
    <s v="HC-02420"/>
    <s v="P-1000"/>
    <s v="Male"/>
    <n v="71"/>
    <x v="4"/>
    <s v="Diagnostic Test"/>
    <d v="2025-07-04T00:00:00"/>
    <d v="2025-08-17T00:00:00"/>
    <s v="Sunday"/>
    <s v="Afternoon"/>
    <x v="2"/>
    <n v="44"/>
    <n v="5"/>
    <x v="1"/>
    <x v="0"/>
    <s v="WhatsApp"/>
    <n v="11.4"/>
    <x v="51"/>
    <x v="0"/>
  </r>
  <r>
    <s v="HC-02421"/>
    <s v="P-1082"/>
    <s v="Female"/>
    <n v="50"/>
    <x v="2"/>
    <s v="General Consultation"/>
    <d v="2025-04-09T00:00:00"/>
    <d v="2025-05-22T00:00:00"/>
    <s v="Thursday"/>
    <s v="Afternoon"/>
    <x v="2"/>
    <n v="43"/>
    <n v="3"/>
    <x v="2"/>
    <x v="0"/>
    <s v="WhatsApp"/>
    <n v="4.5"/>
    <x v="28"/>
    <x v="0"/>
  </r>
  <r>
    <s v="HC-02422"/>
    <s v="P-1232"/>
    <s v="Male"/>
    <n v="20"/>
    <x v="5"/>
    <s v="Follow-up"/>
    <d v="2025-12-28T00:00:00"/>
    <d v="2026-02-18T00:00:00"/>
    <s v="Wednesday"/>
    <s v="Afternoon"/>
    <x v="2"/>
    <n v="52"/>
    <n v="3"/>
    <x v="1"/>
    <x v="0"/>
    <s v="SMS"/>
    <n v="3.6"/>
    <x v="4"/>
    <x v="0"/>
  </r>
  <r>
    <s v="HC-02423"/>
    <s v="P-1458"/>
    <s v="Male"/>
    <n v="48"/>
    <x v="2"/>
    <s v="Follow-up"/>
    <d v="2025-02-15T00:00:00"/>
    <d v="2025-02-26T00:00:00"/>
    <s v="Wednesday"/>
    <s v="Morning"/>
    <x v="0"/>
    <n v="11"/>
    <n v="6"/>
    <x v="0"/>
    <x v="0"/>
    <s v="SMS"/>
    <n v="7.4"/>
    <x v="11"/>
    <x v="1"/>
  </r>
  <r>
    <s v="HC-02424"/>
    <s v="P-0473"/>
    <s v="Male"/>
    <n v="65"/>
    <x v="4"/>
    <s v="General Consultation"/>
    <d v="2026-02-10T00:00:00"/>
    <d v="2026-03-28T00:00:00"/>
    <s v="Saturday"/>
    <s v="Morning"/>
    <x v="2"/>
    <n v="46"/>
    <n v="2"/>
    <x v="0"/>
    <x v="0"/>
    <s v="Email"/>
    <n v="19.899999999999999"/>
    <x v="16"/>
    <x v="0"/>
  </r>
  <r>
    <s v="HC-02425"/>
    <s v="P-0114"/>
    <s v="Female"/>
    <n v="39"/>
    <x v="0"/>
    <s v="General Consultation"/>
    <d v="2025-05-13T00:00:00"/>
    <d v="2025-07-10T00:00:00"/>
    <s v="Thursday"/>
    <s v="Morning"/>
    <x v="2"/>
    <n v="58"/>
    <n v="1"/>
    <x v="0"/>
    <x v="0"/>
    <s v="SMS"/>
    <n v="15.3"/>
    <x v="13"/>
    <x v="0"/>
  </r>
  <r>
    <s v="HC-02426"/>
    <s v="P-1397"/>
    <s v="Male"/>
    <n v="42"/>
    <x v="0"/>
    <s v="Diagnostic Test"/>
    <d v="2025-09-04T00:00:00"/>
    <d v="2025-11-03T00:00:00"/>
    <s v="Monday"/>
    <s v="Afternoon"/>
    <x v="2"/>
    <n v="60"/>
    <n v="4"/>
    <x v="1"/>
    <x v="0"/>
    <s v="SMS"/>
    <n v="1.9"/>
    <x v="14"/>
    <x v="0"/>
  </r>
  <r>
    <s v="HC-02427"/>
    <s v="P-1254"/>
    <s v="Male"/>
    <n v="57"/>
    <x v="3"/>
    <s v="Follow-up"/>
    <d v="2025-02-21T00:00:00"/>
    <d v="2025-03-28T00:00:00"/>
    <s v="Friday"/>
    <s v="Afternoon"/>
    <x v="2"/>
    <n v="35"/>
    <n v="2"/>
    <x v="0"/>
    <x v="1"/>
    <s v="None"/>
    <n v="15.2"/>
    <x v="3"/>
    <x v="1"/>
  </r>
  <r>
    <s v="HC-02428"/>
    <s v="P-0116"/>
    <s v="Male"/>
    <n v="55"/>
    <x v="3"/>
    <s v="General Consultation"/>
    <d v="2025-06-14T00:00:00"/>
    <d v="2025-07-30T00:00:00"/>
    <s v="Wednesday"/>
    <s v="Afternoon"/>
    <x v="2"/>
    <n v="46"/>
    <n v="4"/>
    <x v="1"/>
    <x v="0"/>
    <s v="Email"/>
    <n v="4.4000000000000004"/>
    <x v="18"/>
    <x v="0"/>
  </r>
  <r>
    <s v="HC-02429"/>
    <s v="P-1138"/>
    <s v="Male"/>
    <n v="74"/>
    <x v="4"/>
    <s v="Specialist Consultation"/>
    <d v="2025-12-25T00:00:00"/>
    <d v="2026-02-17T00:00:00"/>
    <s v="Tuesday"/>
    <s v="Afternoon"/>
    <x v="2"/>
    <n v="54"/>
    <n v="3"/>
    <x v="1"/>
    <x v="1"/>
    <s v="None"/>
    <n v="17.8"/>
    <x v="2"/>
    <x v="0"/>
  </r>
  <r>
    <s v="HC-02430"/>
    <s v="P-0485"/>
    <s v="Male"/>
    <n v="33"/>
    <x v="1"/>
    <s v="Follow-up"/>
    <d v="2025-04-07T00:00:00"/>
    <d v="2025-05-28T00:00:00"/>
    <s v="Wednesday"/>
    <s v="Morning"/>
    <x v="2"/>
    <n v="51"/>
    <n v="0"/>
    <x v="0"/>
    <x v="0"/>
    <s v="WhatsApp"/>
    <n v="1.2"/>
    <x v="46"/>
    <x v="0"/>
  </r>
  <r>
    <s v="HC-02431"/>
    <s v="P-1424"/>
    <s v="Prefer not to say"/>
    <n v="35"/>
    <x v="0"/>
    <s v="General Consultation"/>
    <d v="2025-01-19T00:00:00"/>
    <d v="2025-03-14T00:00:00"/>
    <s v="Friday"/>
    <s v="Morning"/>
    <x v="2"/>
    <n v="54"/>
    <n v="3"/>
    <x v="0"/>
    <x v="1"/>
    <s v="None"/>
    <n v="12"/>
    <x v="5"/>
    <x v="0"/>
  </r>
  <r>
    <s v="HC-02432"/>
    <s v="P-0801"/>
    <s v="Male"/>
    <n v="27"/>
    <x v="1"/>
    <s v="Follow-up"/>
    <d v="2025-08-23T00:00:00"/>
    <d v="2025-10-12T00:00:00"/>
    <s v="Sunday"/>
    <s v="Morning"/>
    <x v="2"/>
    <n v="50"/>
    <n v="1"/>
    <x v="0"/>
    <x v="1"/>
    <s v="None"/>
    <n v="4"/>
    <x v="19"/>
    <x v="0"/>
  </r>
  <r>
    <s v="HC-02433"/>
    <s v="P-0539"/>
    <s v="Female"/>
    <n v="59"/>
    <x v="3"/>
    <s v="Follow-up"/>
    <d v="2025-03-07T00:00:00"/>
    <d v="2025-03-30T00:00:00"/>
    <s v="Sunday"/>
    <s v="Afternoon"/>
    <x v="3"/>
    <n v="23"/>
    <n v="1"/>
    <x v="0"/>
    <x v="0"/>
    <s v="SMS"/>
    <n v="15.1"/>
    <x v="60"/>
    <x v="1"/>
  </r>
  <r>
    <s v="HC-02434"/>
    <s v="P-0870"/>
    <s v="Female"/>
    <n v="51"/>
    <x v="2"/>
    <s v="General Consultation"/>
    <d v="2025-05-08T00:00:00"/>
    <d v="2025-06-21T00:00:00"/>
    <s v="Saturday"/>
    <s v="Morning"/>
    <x v="2"/>
    <n v="44"/>
    <n v="4"/>
    <x v="0"/>
    <x v="0"/>
    <s v="Email"/>
    <n v="23.2"/>
    <x v="3"/>
    <x v="0"/>
  </r>
  <r>
    <s v="HC-02435"/>
    <s v="P-0803"/>
    <s v="Male"/>
    <n v="39"/>
    <x v="0"/>
    <s v="Specialist Consultation"/>
    <d v="2025-08-09T00:00:00"/>
    <d v="2025-09-03T00:00:00"/>
    <s v="Wednesday"/>
    <s v="Evening"/>
    <x v="3"/>
    <n v="25"/>
    <n v="0"/>
    <x v="0"/>
    <x v="0"/>
    <s v="WhatsApp"/>
    <n v="7.5"/>
    <x v="24"/>
    <x v="1"/>
  </r>
  <r>
    <s v="HC-02436"/>
    <s v="P-1113"/>
    <s v="Prefer not to say"/>
    <n v="61"/>
    <x v="3"/>
    <s v="General Consultation"/>
    <d v="2025-09-17T00:00:00"/>
    <d v="2025-11-04T00:00:00"/>
    <s v="Tuesday"/>
    <s v="Morning"/>
    <x v="2"/>
    <n v="48"/>
    <n v="1"/>
    <x v="0"/>
    <x v="0"/>
    <s v="WhatsApp"/>
    <n v="5.4"/>
    <x v="36"/>
    <x v="1"/>
  </r>
  <r>
    <s v="HC-02437"/>
    <s v="P-1308"/>
    <s v="Female"/>
    <n v="41"/>
    <x v="0"/>
    <s v="General Consultation"/>
    <d v="2025-10-28T00:00:00"/>
    <d v="2025-12-16T00:00:00"/>
    <s v="Tuesday"/>
    <s v="Afternoon"/>
    <x v="2"/>
    <n v="49"/>
    <n v="1"/>
    <x v="0"/>
    <x v="0"/>
    <s v="SMS"/>
    <n v="6.7"/>
    <x v="19"/>
    <x v="0"/>
  </r>
  <r>
    <s v="HC-02438"/>
    <s v="P-0564"/>
    <s v="Female"/>
    <n v="30"/>
    <x v="1"/>
    <s v="General Consultation"/>
    <d v="2025-11-09T00:00:00"/>
    <d v="2026-01-05T00:00:00"/>
    <s v="Monday"/>
    <s v="Morning"/>
    <x v="2"/>
    <n v="57"/>
    <n v="3"/>
    <x v="1"/>
    <x v="0"/>
    <s v="Email"/>
    <n v="7.9"/>
    <x v="9"/>
    <x v="0"/>
  </r>
  <r>
    <s v="HC-02439"/>
    <s v="P-0772"/>
    <s v="Female"/>
    <n v="52"/>
    <x v="2"/>
    <s v="Specialist Consultation"/>
    <d v="2026-03-02T00:00:00"/>
    <d v="2026-04-06T00:00:00"/>
    <s v="Monday"/>
    <s v="Afternoon"/>
    <x v="2"/>
    <n v="35"/>
    <n v="2"/>
    <x v="0"/>
    <x v="0"/>
    <s v="WhatsApp"/>
    <n v="11.7"/>
    <x v="19"/>
    <x v="1"/>
  </r>
  <r>
    <s v="HC-02440"/>
    <s v="P-0292"/>
    <s v="Female"/>
    <n v="45"/>
    <x v="2"/>
    <s v="Specialist Consultation"/>
    <d v="2025-01-09T00:00:00"/>
    <d v="2025-02-06T00:00:00"/>
    <s v="Thursday"/>
    <s v="Morning"/>
    <x v="3"/>
    <n v="28"/>
    <n v="4"/>
    <x v="1"/>
    <x v="1"/>
    <s v="None"/>
    <n v="2.1"/>
    <x v="14"/>
    <x v="0"/>
  </r>
  <r>
    <s v="HC-02441"/>
    <s v="P-1739"/>
    <s v="Prefer not to say"/>
    <n v="43"/>
    <x v="0"/>
    <s v="Diagnostic Test"/>
    <d v="2025-07-07T00:00:00"/>
    <d v="2025-07-17T00:00:00"/>
    <s v="Thursday"/>
    <s v="Afternoon"/>
    <x v="0"/>
    <n v="10"/>
    <n v="4"/>
    <x v="0"/>
    <x v="0"/>
    <s v="SMS"/>
    <n v="3.3"/>
    <x v="4"/>
    <x v="0"/>
  </r>
  <r>
    <s v="HC-02442"/>
    <s v="P-1743"/>
    <s v="Male"/>
    <n v="46"/>
    <x v="2"/>
    <s v="General Consultation"/>
    <d v="2024-11-24T00:00:00"/>
    <d v="2025-01-01T00:00:00"/>
    <s v="Wednesday"/>
    <s v="Evening"/>
    <x v="2"/>
    <n v="38"/>
    <n v="4"/>
    <x v="1"/>
    <x v="1"/>
    <s v="None"/>
    <n v="9"/>
    <x v="11"/>
    <x v="0"/>
  </r>
  <r>
    <s v="HC-02443"/>
    <s v="P-0359"/>
    <s v="Female"/>
    <n v="75"/>
    <x v="4"/>
    <s v="Specialist Consultation"/>
    <d v="2024-12-03T00:00:00"/>
    <d v="2025-01-06T00:00:00"/>
    <s v="Monday"/>
    <s v="Afternoon"/>
    <x v="2"/>
    <n v="34"/>
    <n v="1"/>
    <x v="1"/>
    <x v="1"/>
    <s v="None"/>
    <n v="8.1"/>
    <x v="36"/>
    <x v="0"/>
  </r>
  <r>
    <s v="HC-02444"/>
    <s v="P-0209"/>
    <s v="Female"/>
    <n v="31"/>
    <x v="1"/>
    <s v="Follow-up"/>
    <d v="2025-03-26T00:00:00"/>
    <d v="2025-04-26T00:00:00"/>
    <s v="Saturday"/>
    <s v="Morning"/>
    <x v="2"/>
    <n v="31"/>
    <n v="0"/>
    <x v="0"/>
    <x v="0"/>
    <s v="SMS"/>
    <n v="3.1"/>
    <x v="12"/>
    <x v="1"/>
  </r>
  <r>
    <s v="HC-02445"/>
    <s v="P-0557"/>
    <s v="Female"/>
    <n v="35"/>
    <x v="0"/>
    <s v="General Consultation"/>
    <d v="2025-10-13T00:00:00"/>
    <d v="2025-11-23T00:00:00"/>
    <s v="Sunday"/>
    <s v="Afternoon"/>
    <x v="2"/>
    <n v="41"/>
    <n v="1"/>
    <x v="1"/>
    <x v="0"/>
    <s v="SMS"/>
    <n v="17.3"/>
    <x v="15"/>
    <x v="1"/>
  </r>
  <r>
    <s v="HC-02446"/>
    <s v="P-0011"/>
    <s v="Male"/>
    <n v="53"/>
    <x v="2"/>
    <s v="General Consultation"/>
    <d v="2026-03-14T00:00:00"/>
    <d v="2026-05-04T00:00:00"/>
    <s v="Monday"/>
    <s v="Morning"/>
    <x v="2"/>
    <n v="51"/>
    <n v="9"/>
    <x v="2"/>
    <x v="0"/>
    <s v="WhatsApp"/>
    <n v="4.9000000000000004"/>
    <x v="36"/>
    <x v="0"/>
  </r>
  <r>
    <s v="HC-02447"/>
    <s v="P-0867"/>
    <s v="Male"/>
    <n v="20"/>
    <x v="5"/>
    <s v="Specialist Consultation"/>
    <d v="2026-02-18T00:00:00"/>
    <d v="2026-02-27T00:00:00"/>
    <s v="Friday"/>
    <s v="Morning"/>
    <x v="0"/>
    <n v="9"/>
    <n v="3"/>
    <x v="1"/>
    <x v="1"/>
    <s v="None"/>
    <n v="26.3"/>
    <x v="19"/>
    <x v="1"/>
  </r>
  <r>
    <s v="HC-02448"/>
    <s v="P-0978"/>
    <s v="Female"/>
    <n v="27"/>
    <x v="1"/>
    <s v="General Consultation"/>
    <d v="2025-11-23T00:00:00"/>
    <d v="2025-12-19T00:00:00"/>
    <s v="Friday"/>
    <s v="Afternoon"/>
    <x v="3"/>
    <n v="26"/>
    <n v="1"/>
    <x v="0"/>
    <x v="1"/>
    <s v="None"/>
    <n v="11.4"/>
    <x v="22"/>
    <x v="0"/>
  </r>
  <r>
    <s v="HC-02449"/>
    <s v="P-0926"/>
    <s v="Female"/>
    <n v="53"/>
    <x v="2"/>
    <s v="Follow-up"/>
    <d v="2026-01-16T00:00:00"/>
    <d v="2026-03-01T00:00:00"/>
    <s v="Sunday"/>
    <s v="Afternoon"/>
    <x v="2"/>
    <n v="44"/>
    <n v="3"/>
    <x v="1"/>
    <x v="0"/>
    <s v="SMS"/>
    <m/>
    <x v="18"/>
    <x v="1"/>
  </r>
  <r>
    <s v="HC-02450"/>
    <s v="P-0276"/>
    <s v="Male"/>
    <n v="50"/>
    <x v="2"/>
    <s v="Follow-up"/>
    <d v="2025-02-13T00:00:00"/>
    <d v="2025-04-04T00:00:00"/>
    <s v="Friday"/>
    <s v="Morning"/>
    <x v="2"/>
    <n v="50"/>
    <n v="1"/>
    <x v="0"/>
    <x v="1"/>
    <s v="None"/>
    <n v="9.8000000000000007"/>
    <x v="6"/>
    <x v="0"/>
  </r>
  <r>
    <s v="HC-02451"/>
    <s v="P-1676"/>
    <s v="Male"/>
    <n v="59"/>
    <x v="3"/>
    <s v="General Consultation"/>
    <d v="2026-02-16T00:00:00"/>
    <d v="2026-04-04T00:00:00"/>
    <s v="Saturday"/>
    <s v="Afternoon"/>
    <x v="2"/>
    <n v="47"/>
    <n v="1"/>
    <x v="0"/>
    <x v="0"/>
    <s v="SMS"/>
    <n v="5.5"/>
    <x v="18"/>
    <x v="1"/>
  </r>
  <r>
    <s v="HC-02452"/>
    <s v="P-1190"/>
    <s v="Male"/>
    <n v="25"/>
    <x v="1"/>
    <s v="Diagnostic Test"/>
    <d v="2026-03-15T00:00:00"/>
    <d v="2026-05-02T00:00:00"/>
    <s v="Saturday"/>
    <s v="Afternoon"/>
    <x v="2"/>
    <n v="48"/>
    <n v="1"/>
    <x v="1"/>
    <x v="0"/>
    <s v="SMS"/>
    <n v="9.5"/>
    <x v="10"/>
    <x v="1"/>
  </r>
  <r>
    <s v="HC-02453"/>
    <s v="P-1614"/>
    <s v="Female"/>
    <n v="71"/>
    <x v="4"/>
    <s v="Specialist Consultation"/>
    <d v="2024-12-31T00:00:00"/>
    <d v="2025-02-21T00:00:00"/>
    <s v="Friday"/>
    <s v="Afternoon"/>
    <x v="2"/>
    <n v="52"/>
    <n v="2"/>
    <x v="1"/>
    <x v="0"/>
    <s v="SMS"/>
    <n v="7.2"/>
    <x v="16"/>
    <x v="0"/>
  </r>
  <r>
    <s v="HC-02454"/>
    <s v="P-1184"/>
    <s v="Prefer not to say"/>
    <n v="48"/>
    <x v="2"/>
    <s v="Follow-up"/>
    <d v="2025-07-18T00:00:00"/>
    <d v="2025-09-14T00:00:00"/>
    <s v="Sunday"/>
    <s v="Morning"/>
    <x v="2"/>
    <n v="58"/>
    <n v="0"/>
    <x v="0"/>
    <x v="1"/>
    <s v="None"/>
    <n v="2.5"/>
    <x v="24"/>
    <x v="0"/>
  </r>
  <r>
    <s v="HC-02455"/>
    <s v="P-0570"/>
    <s v="Male"/>
    <n v="27"/>
    <x v="1"/>
    <s v="Follow-up"/>
    <d v="2026-02-21T00:00:00"/>
    <d v="2026-03-30T00:00:00"/>
    <s v="Monday"/>
    <s v="Afternoon"/>
    <x v="2"/>
    <n v="37"/>
    <n v="0"/>
    <x v="0"/>
    <x v="0"/>
    <s v="WhatsApp"/>
    <n v="2.6"/>
    <x v="12"/>
    <x v="0"/>
  </r>
  <r>
    <s v="HC-02456"/>
    <s v="P-0906"/>
    <s v="Male"/>
    <n v="37"/>
    <x v="0"/>
    <s v="Follow-up"/>
    <d v="2025-09-02T00:00:00"/>
    <d v="2025-09-17T00:00:00"/>
    <s v="Wednesday"/>
    <s v="Morning"/>
    <x v="3"/>
    <n v="15"/>
    <n v="2"/>
    <x v="2"/>
    <x v="1"/>
    <s v="None"/>
    <n v="6.4"/>
    <x v="6"/>
    <x v="0"/>
  </r>
  <r>
    <s v="HC-02457"/>
    <s v="P-0064"/>
    <s v="Female"/>
    <n v="32"/>
    <x v="1"/>
    <s v="Specialist Consultation"/>
    <d v="2026-03-01T00:00:00"/>
    <d v="2026-04-04T00:00:00"/>
    <s v="Saturday"/>
    <s v="Morning"/>
    <x v="2"/>
    <n v="34"/>
    <n v="6"/>
    <x v="1"/>
    <x v="0"/>
    <s v="SMS"/>
    <n v="11.9"/>
    <x v="2"/>
    <x v="1"/>
  </r>
  <r>
    <s v="HC-02458"/>
    <s v="P-0607"/>
    <s v="Female"/>
    <n v="46"/>
    <x v="2"/>
    <s v="General Consultation"/>
    <d v="2026-04-13T00:00:00"/>
    <d v="2026-05-26T00:00:00"/>
    <s v="Tuesday"/>
    <s v="Morning"/>
    <x v="2"/>
    <n v="43"/>
    <n v="2"/>
    <x v="0"/>
    <x v="0"/>
    <s v="WhatsApp"/>
    <n v="6.3"/>
    <x v="7"/>
    <x v="1"/>
  </r>
  <r>
    <s v="HC-02459"/>
    <s v="P-1570"/>
    <s v="Female"/>
    <n v="47"/>
    <x v="2"/>
    <s v="Follow-up"/>
    <d v="2025-09-11T00:00:00"/>
    <d v="2025-09-17T00:00:00"/>
    <s v="Wednesday"/>
    <s v="Evening"/>
    <x v="1"/>
    <n v="6"/>
    <n v="2"/>
    <x v="0"/>
    <x v="1"/>
    <s v="None"/>
    <n v="6.5"/>
    <x v="31"/>
    <x v="1"/>
  </r>
  <r>
    <s v="HC-02460"/>
    <s v="P-1241"/>
    <s v="Male"/>
    <n v="45"/>
    <x v="2"/>
    <s v="General Consultation"/>
    <d v="2024-12-18T00:00:00"/>
    <d v="2025-02-02T00:00:00"/>
    <s v="Sunday"/>
    <s v="Morning"/>
    <x v="2"/>
    <n v="46"/>
    <n v="3"/>
    <x v="0"/>
    <x v="0"/>
    <s v="SMS"/>
    <n v="12.2"/>
    <x v="14"/>
    <x v="1"/>
  </r>
  <r>
    <s v="HC-02461"/>
    <s v="P-0548"/>
    <s v="Male"/>
    <n v="47"/>
    <x v="2"/>
    <s v="Follow-up"/>
    <d v="2025-06-02T00:00:00"/>
    <d v="2025-07-05T00:00:00"/>
    <s v="Saturday"/>
    <s v="Morning"/>
    <x v="2"/>
    <n v="33"/>
    <n v="2"/>
    <x v="0"/>
    <x v="0"/>
    <s v="WhatsApp"/>
    <n v="6.3"/>
    <x v="7"/>
    <x v="0"/>
  </r>
  <r>
    <s v="HC-02462"/>
    <s v="P-1066"/>
    <s v="Female"/>
    <n v="75"/>
    <x v="4"/>
    <s v="Follow-up"/>
    <d v="2025-03-02T00:00:00"/>
    <d v="2025-04-28T00:00:00"/>
    <s v="Monday"/>
    <s v="Morning"/>
    <x v="2"/>
    <n v="57"/>
    <n v="1"/>
    <x v="0"/>
    <x v="1"/>
    <s v="None"/>
    <n v="32.700000000000003"/>
    <x v="6"/>
    <x v="0"/>
  </r>
  <r>
    <s v="HC-02463"/>
    <s v="P-0270"/>
    <s v="Male"/>
    <n v="78"/>
    <x v="4"/>
    <s v="General Consultation"/>
    <d v="2025-09-04T00:00:00"/>
    <d v="2025-09-16T00:00:00"/>
    <s v="Tuesday"/>
    <s v="Morning"/>
    <x v="0"/>
    <n v="12"/>
    <n v="2"/>
    <x v="0"/>
    <x v="0"/>
    <s v="SMS"/>
    <n v="4.9000000000000004"/>
    <x v="4"/>
    <x v="1"/>
  </r>
  <r>
    <s v="HC-02464"/>
    <s v="P-0502"/>
    <s v="Male"/>
    <n v="48"/>
    <x v="2"/>
    <s v="Diagnostic Test"/>
    <d v="2025-09-22T00:00:00"/>
    <d v="2025-11-16T00:00:00"/>
    <s v="Sunday"/>
    <s v="Evening"/>
    <x v="2"/>
    <n v="55"/>
    <n v="3"/>
    <x v="1"/>
    <x v="0"/>
    <s v="Email"/>
    <n v="15"/>
    <x v="52"/>
    <x v="0"/>
  </r>
  <r>
    <s v="HC-02465"/>
    <s v="P-0630"/>
    <s v="Female"/>
    <n v="78"/>
    <x v="4"/>
    <s v="General Consultation"/>
    <d v="2025-08-15T00:00:00"/>
    <d v="2025-09-11T00:00:00"/>
    <s v="Thursday"/>
    <s v="Afternoon"/>
    <x v="3"/>
    <n v="27"/>
    <n v="5"/>
    <x v="0"/>
    <x v="0"/>
    <s v="SMS"/>
    <n v="8.9"/>
    <x v="20"/>
    <x v="1"/>
  </r>
  <r>
    <s v="HC-02466"/>
    <s v="P-0206"/>
    <s v="Male"/>
    <n v="69"/>
    <x v="4"/>
    <s v="General Consultation"/>
    <d v="2025-03-14T00:00:00"/>
    <d v="2025-04-17T00:00:00"/>
    <s v="Thursday"/>
    <s v="Afternoon"/>
    <x v="2"/>
    <n v="34"/>
    <n v="2"/>
    <x v="1"/>
    <x v="1"/>
    <s v="None"/>
    <n v="45"/>
    <x v="13"/>
    <x v="1"/>
  </r>
  <r>
    <s v="HC-02467"/>
    <s v="P-0937"/>
    <s v="Male"/>
    <n v="69"/>
    <x v="4"/>
    <s v="General Consultation"/>
    <d v="2025-05-05T00:00:00"/>
    <d v="2025-06-14T00:00:00"/>
    <s v="Saturday"/>
    <s v="Afternoon"/>
    <x v="2"/>
    <n v="40"/>
    <n v="1"/>
    <x v="0"/>
    <x v="0"/>
    <s v="SMS"/>
    <n v="6"/>
    <x v="19"/>
    <x v="0"/>
  </r>
  <r>
    <s v="HC-02468"/>
    <s v="P-0239"/>
    <s v="Female"/>
    <n v="32"/>
    <x v="1"/>
    <s v="Follow-up"/>
    <d v="2025-12-03T00:00:00"/>
    <d v="2026-01-07T00:00:00"/>
    <s v="Wednesday"/>
    <s v="Morning"/>
    <x v="2"/>
    <n v="35"/>
    <n v="1"/>
    <x v="0"/>
    <x v="0"/>
    <s v="WhatsApp"/>
    <n v="13.5"/>
    <x v="16"/>
    <x v="1"/>
  </r>
  <r>
    <s v="HC-02469"/>
    <s v="P-1000"/>
    <s v="Male"/>
    <n v="45"/>
    <x v="2"/>
    <s v="General Consultation"/>
    <d v="2024-11-21T00:00:00"/>
    <d v="2025-01-15T00:00:00"/>
    <s v="Wednesday"/>
    <s v="Afternoon"/>
    <x v="2"/>
    <n v="55"/>
    <n v="7"/>
    <x v="2"/>
    <x v="1"/>
    <s v="None"/>
    <n v="8"/>
    <x v="0"/>
    <x v="0"/>
  </r>
  <r>
    <s v="HC-02470"/>
    <s v="P-1029"/>
    <s v="Female"/>
    <n v="40"/>
    <x v="0"/>
    <s v="Follow-up"/>
    <d v="2025-04-17T00:00:00"/>
    <d v="2025-04-27T00:00:00"/>
    <s v="Sunday"/>
    <s v="Evening"/>
    <x v="0"/>
    <n v="10"/>
    <n v="3"/>
    <x v="1"/>
    <x v="0"/>
    <s v="SMS"/>
    <n v="1.1000000000000001"/>
    <x v="45"/>
    <x v="0"/>
  </r>
  <r>
    <s v="HC-02471"/>
    <s v="P-0652"/>
    <s v="Male"/>
    <n v="24"/>
    <x v="5"/>
    <s v="Specialist Consultation"/>
    <d v="2026-03-20T00:00:00"/>
    <d v="2026-05-03T00:00:00"/>
    <s v="Sunday"/>
    <s v="Afternoon"/>
    <x v="2"/>
    <n v="44"/>
    <n v="6"/>
    <x v="0"/>
    <x v="0"/>
    <s v="Email"/>
    <n v="8.6"/>
    <x v="3"/>
    <x v="1"/>
  </r>
  <r>
    <s v="HC-02472"/>
    <s v="P-0817"/>
    <s v="Male"/>
    <n v="22"/>
    <x v="5"/>
    <s v="General Consultation"/>
    <d v="2024-12-27T00:00:00"/>
    <d v="2025-02-24T00:00:00"/>
    <s v="Monday"/>
    <s v="Afternoon"/>
    <x v="2"/>
    <n v="59"/>
    <n v="1"/>
    <x v="1"/>
    <x v="0"/>
    <s v="SMS"/>
    <n v="5.9"/>
    <x v="22"/>
    <x v="0"/>
  </r>
  <r>
    <s v="HC-02473"/>
    <s v="P-0660"/>
    <s v="Male"/>
    <n v="57"/>
    <x v="3"/>
    <s v="Diagnostic Test"/>
    <d v="2025-08-02T00:00:00"/>
    <d v="2025-08-15T00:00:00"/>
    <s v="Friday"/>
    <s v="Morning"/>
    <x v="0"/>
    <n v="13"/>
    <n v="1"/>
    <x v="0"/>
    <x v="1"/>
    <s v="None"/>
    <n v="10.1"/>
    <x v="36"/>
    <x v="0"/>
  </r>
  <r>
    <s v="HC-02474"/>
    <s v="P-1218"/>
    <s v="Male"/>
    <n v="44"/>
    <x v="0"/>
    <s v="General Consultation"/>
    <d v="2025-04-09T00:00:00"/>
    <d v="2025-04-24T00:00:00"/>
    <s v="Thursday"/>
    <s v="Afternoon"/>
    <x v="3"/>
    <n v="15"/>
    <n v="2"/>
    <x v="0"/>
    <x v="0"/>
    <s v="SMS"/>
    <n v="4.7"/>
    <x v="16"/>
    <x v="1"/>
  </r>
  <r>
    <s v="HC-02475"/>
    <s v="P-0964"/>
    <s v="Female"/>
    <n v="70"/>
    <x v="4"/>
    <s v="Follow-up"/>
    <d v="2025-01-30T00:00:00"/>
    <d v="2025-02-27T00:00:00"/>
    <s v="Thursday"/>
    <s v="Morning"/>
    <x v="3"/>
    <n v="28"/>
    <n v="1"/>
    <x v="1"/>
    <x v="0"/>
    <s v="WhatsApp"/>
    <n v="0.8"/>
    <x v="13"/>
    <x v="0"/>
  </r>
  <r>
    <s v="HC-02476"/>
    <s v="P-0082"/>
    <s v="Female"/>
    <n v="60"/>
    <x v="3"/>
    <s v="General Consultation"/>
    <d v="2025-07-06T00:00:00"/>
    <d v="2025-08-19T00:00:00"/>
    <s v="Tuesday"/>
    <s v="Afternoon"/>
    <x v="2"/>
    <n v="44"/>
    <n v="0"/>
    <x v="0"/>
    <x v="0"/>
    <s v="Email"/>
    <n v="22.1"/>
    <x v="21"/>
    <x v="0"/>
  </r>
  <r>
    <s v="HC-02477"/>
    <s v="P-1428"/>
    <s v="Male"/>
    <n v="23"/>
    <x v="5"/>
    <s v="Specialist Consultation"/>
    <d v="2025-08-15T00:00:00"/>
    <d v="2025-10-12T00:00:00"/>
    <s v="Sunday"/>
    <s v="Morning"/>
    <x v="2"/>
    <n v="58"/>
    <n v="3"/>
    <x v="0"/>
    <x v="0"/>
    <s v="Email"/>
    <n v="5.2"/>
    <x v="6"/>
    <x v="0"/>
  </r>
  <r>
    <s v="HC-02478"/>
    <s v="P-1749"/>
    <s v="Female"/>
    <n v="70"/>
    <x v="4"/>
    <s v="Specialist Consultation"/>
    <d v="2025-02-18T00:00:00"/>
    <d v="2025-04-07T00:00:00"/>
    <s v="Monday"/>
    <s v="Afternoon"/>
    <x v="2"/>
    <n v="48"/>
    <n v="2"/>
    <x v="1"/>
    <x v="0"/>
    <s v="SMS"/>
    <n v="14.6"/>
    <x v="17"/>
    <x v="0"/>
  </r>
  <r>
    <s v="HC-02479"/>
    <s v="P-0698"/>
    <s v="Male"/>
    <n v="49"/>
    <x v="2"/>
    <s v="General Consultation"/>
    <d v="2024-12-26T00:00:00"/>
    <d v="2025-02-12T00:00:00"/>
    <s v="Wednesday"/>
    <s v="Evening"/>
    <x v="2"/>
    <n v="48"/>
    <n v="2"/>
    <x v="0"/>
    <x v="0"/>
    <s v="Email"/>
    <n v="7.6"/>
    <x v="19"/>
    <x v="0"/>
  </r>
  <r>
    <s v="HC-02480"/>
    <s v="P-1004"/>
    <s v="Female"/>
    <n v="53"/>
    <x v="2"/>
    <s v="General Consultation"/>
    <d v="2025-02-17T00:00:00"/>
    <d v="2025-03-15T00:00:00"/>
    <s v="Saturday"/>
    <s v="Afternoon"/>
    <x v="3"/>
    <n v="26"/>
    <n v="3"/>
    <x v="1"/>
    <x v="0"/>
    <s v="WhatsApp"/>
    <n v="10"/>
    <x v="23"/>
    <x v="0"/>
  </r>
  <r>
    <s v="HC-02481"/>
    <s v="P-1190"/>
    <s v="Female"/>
    <n v="78"/>
    <x v="4"/>
    <s v="General Consultation"/>
    <d v="2025-11-13T00:00:00"/>
    <d v="2025-12-22T00:00:00"/>
    <s v="Monday"/>
    <s v="Morning"/>
    <x v="2"/>
    <n v="39"/>
    <n v="5"/>
    <x v="1"/>
    <x v="0"/>
    <s v="WhatsApp"/>
    <n v="9.4"/>
    <x v="30"/>
    <x v="0"/>
  </r>
  <r>
    <s v="HC-02482"/>
    <s v="P-0382"/>
    <s v="Male"/>
    <n v="58"/>
    <x v="3"/>
    <s v="General Consultation"/>
    <d v="2026-04-03T00:00:00"/>
    <d v="2026-04-15T00:00:00"/>
    <s v="Wednesday"/>
    <s v="Afternoon"/>
    <x v="0"/>
    <n v="12"/>
    <n v="1"/>
    <x v="0"/>
    <x v="0"/>
    <s v="WhatsApp"/>
    <n v="6.3"/>
    <x v="46"/>
    <x v="0"/>
  </r>
  <r>
    <s v="HC-02483"/>
    <s v="P-1226"/>
    <s v="Male"/>
    <n v="19"/>
    <x v="5"/>
    <s v="Diagnostic Test"/>
    <d v="2025-03-12T00:00:00"/>
    <d v="2025-04-09T00:00:00"/>
    <s v="Wednesday"/>
    <s v="Evening"/>
    <x v="3"/>
    <n v="28"/>
    <n v="3"/>
    <x v="0"/>
    <x v="0"/>
    <s v="SMS"/>
    <n v="8.6"/>
    <x v="0"/>
    <x v="0"/>
  </r>
  <r>
    <s v="HC-02484"/>
    <s v="P-0367"/>
    <s v="Male"/>
    <n v="29"/>
    <x v="1"/>
    <s v="Follow-up"/>
    <d v="2025-06-13T00:00:00"/>
    <d v="2025-06-24T00:00:00"/>
    <s v="Tuesday"/>
    <s v="Afternoon"/>
    <x v="0"/>
    <n v="11"/>
    <n v="5"/>
    <x v="1"/>
    <x v="0"/>
    <s v="WhatsApp"/>
    <n v="14"/>
    <x v="20"/>
    <x v="1"/>
  </r>
  <r>
    <s v="HC-02485"/>
    <s v="P-0178"/>
    <s v="Male"/>
    <n v="44"/>
    <x v="0"/>
    <s v="Follow-up"/>
    <d v="2025-07-06T00:00:00"/>
    <d v="2025-07-07T00:00:00"/>
    <s v="Monday"/>
    <s v="Afternoon"/>
    <x v="1"/>
    <n v="1"/>
    <n v="3"/>
    <x v="1"/>
    <x v="1"/>
    <s v="None"/>
    <n v="8.9"/>
    <x v="10"/>
    <x v="0"/>
  </r>
  <r>
    <s v="HC-02486"/>
    <s v="P-1576"/>
    <s v="Female"/>
    <n v="20"/>
    <x v="5"/>
    <s v="Diagnostic Test"/>
    <d v="2025-05-25T00:00:00"/>
    <d v="2025-07-16T00:00:00"/>
    <s v="Wednesday"/>
    <s v="Afternoon"/>
    <x v="2"/>
    <n v="52"/>
    <n v="7"/>
    <x v="2"/>
    <x v="0"/>
    <s v="SMS"/>
    <n v="15.9"/>
    <x v="25"/>
    <x v="0"/>
  </r>
  <r>
    <s v="HC-02487"/>
    <s v="P-1370"/>
    <s v="Male"/>
    <n v="28"/>
    <x v="1"/>
    <s v="Specialist Consultation"/>
    <d v="2025-03-26T00:00:00"/>
    <d v="2025-05-14T00:00:00"/>
    <s v="Wednesday"/>
    <s v="Afternoon"/>
    <x v="2"/>
    <n v="49"/>
    <n v="3"/>
    <x v="0"/>
    <x v="0"/>
    <s v="WhatsApp"/>
    <n v="5.9"/>
    <x v="16"/>
    <x v="1"/>
  </r>
  <r>
    <s v="HC-02488"/>
    <s v="P-0151"/>
    <s v="Male"/>
    <n v="67"/>
    <x v="4"/>
    <s v="Specialist Consultation"/>
    <d v="2024-12-31T00:00:00"/>
    <d v="2025-01-31T00:00:00"/>
    <s v="Friday"/>
    <s v="Morning"/>
    <x v="2"/>
    <n v="31"/>
    <n v="0"/>
    <x v="0"/>
    <x v="0"/>
    <s v="SMS"/>
    <n v="8"/>
    <x v="21"/>
    <x v="0"/>
  </r>
  <r>
    <s v="HC-02489"/>
    <s v="P-0135"/>
    <s v="Male"/>
    <n v="26"/>
    <x v="1"/>
    <s v="General Consultation"/>
    <d v="2025-10-14T00:00:00"/>
    <d v="2025-10-14T00:00:00"/>
    <s v="Tuesday"/>
    <s v="Afternoon"/>
    <x v="1"/>
    <n v="0"/>
    <n v="1"/>
    <x v="0"/>
    <x v="0"/>
    <s v="Email"/>
    <m/>
    <x v="2"/>
    <x v="1"/>
  </r>
  <r>
    <s v="HC-02490"/>
    <s v="P-0194"/>
    <s v="Female"/>
    <n v="28"/>
    <x v="1"/>
    <s v="General Consultation"/>
    <d v="2025-07-10T00:00:00"/>
    <d v="2025-07-15T00:00:00"/>
    <s v="Tuesday"/>
    <s v="Afternoon"/>
    <x v="1"/>
    <n v="5"/>
    <n v="3"/>
    <x v="1"/>
    <x v="1"/>
    <s v="None"/>
    <n v="10.6"/>
    <x v="14"/>
    <x v="1"/>
  </r>
  <r>
    <s v="HC-02491"/>
    <s v="P-1609"/>
    <s v="Male"/>
    <n v="49"/>
    <x v="2"/>
    <s v="General Consultation"/>
    <d v="2025-06-30T00:00:00"/>
    <d v="2025-07-06T00:00:00"/>
    <s v="Sunday"/>
    <s v="Evening"/>
    <x v="1"/>
    <n v="6"/>
    <n v="1"/>
    <x v="0"/>
    <x v="1"/>
    <s v="None"/>
    <n v="7.6"/>
    <x v="17"/>
    <x v="1"/>
  </r>
  <r>
    <s v="HC-02492"/>
    <s v="P-1407"/>
    <s v="Female"/>
    <n v="23"/>
    <x v="5"/>
    <s v="General Consultation"/>
    <d v="2025-04-12T00:00:00"/>
    <d v="2025-05-25T00:00:00"/>
    <s v="Sunday"/>
    <s v="Morning"/>
    <x v="2"/>
    <n v="43"/>
    <n v="3"/>
    <x v="0"/>
    <x v="0"/>
    <s v="SMS"/>
    <n v="9.3000000000000007"/>
    <x v="36"/>
    <x v="0"/>
  </r>
  <r>
    <s v="HC-02493"/>
    <s v="P-1770"/>
    <s v="Male"/>
    <n v="34"/>
    <x v="1"/>
    <s v="General Consultation"/>
    <d v="2026-05-11T00:00:00"/>
    <d v="2026-05-23T00:00:00"/>
    <s v="Saturday"/>
    <s v="Morning"/>
    <x v="0"/>
    <n v="12"/>
    <n v="2"/>
    <x v="0"/>
    <x v="0"/>
    <s v="WhatsApp"/>
    <n v="21.3"/>
    <x v="25"/>
    <x v="0"/>
  </r>
  <r>
    <s v="HC-02494"/>
    <s v="P-1706"/>
    <s v="Female"/>
    <n v="77"/>
    <x v="4"/>
    <s v="General Consultation"/>
    <d v="2025-11-15T00:00:00"/>
    <d v="2025-11-30T00:00:00"/>
    <s v="Sunday"/>
    <s v="Morning"/>
    <x v="3"/>
    <n v="15"/>
    <n v="3"/>
    <x v="1"/>
    <x v="0"/>
    <s v="SMS"/>
    <n v="7.7"/>
    <x v="5"/>
    <x v="0"/>
  </r>
  <r>
    <s v="HC-02495"/>
    <s v="P-1457"/>
    <s v="Male"/>
    <n v="57"/>
    <x v="3"/>
    <s v="General Consultation"/>
    <d v="2025-06-26T00:00:00"/>
    <d v="2025-08-17T00:00:00"/>
    <s v="Sunday"/>
    <s v="Afternoon"/>
    <x v="2"/>
    <n v="52"/>
    <n v="0"/>
    <x v="0"/>
    <x v="0"/>
    <s v="SMS"/>
    <n v="19.7"/>
    <x v="45"/>
    <x v="0"/>
  </r>
  <r>
    <s v="HC-02496"/>
    <s v="P-0794"/>
    <s v="Male"/>
    <n v="78"/>
    <x v="4"/>
    <s v="Follow-up"/>
    <d v="2025-03-01T00:00:00"/>
    <d v="2025-04-23T00:00:00"/>
    <s v="Wednesday"/>
    <s v="Evening"/>
    <x v="2"/>
    <n v="53"/>
    <n v="1"/>
    <x v="0"/>
    <x v="0"/>
    <s v="SMS"/>
    <n v="4.3"/>
    <x v="25"/>
    <x v="0"/>
  </r>
  <r>
    <s v="HC-02497"/>
    <s v="P-1490"/>
    <s v="Male"/>
    <n v="40"/>
    <x v="0"/>
    <s v="General Consultation"/>
    <d v="2026-01-27T00:00:00"/>
    <d v="2026-03-14T00:00:00"/>
    <s v="Saturday"/>
    <s v="Afternoon"/>
    <x v="2"/>
    <n v="46"/>
    <n v="1"/>
    <x v="1"/>
    <x v="0"/>
    <s v="SMS"/>
    <n v="4.7"/>
    <x v="6"/>
    <x v="0"/>
  </r>
  <r>
    <s v="HC-02498"/>
    <s v="P-0175"/>
    <s v="Male"/>
    <n v="56"/>
    <x v="3"/>
    <s v="General Consultation"/>
    <d v="2026-04-13T00:00:00"/>
    <d v="2026-05-01T00:00:00"/>
    <s v="Friday"/>
    <s v="Morning"/>
    <x v="3"/>
    <n v="18"/>
    <n v="1"/>
    <x v="0"/>
    <x v="0"/>
    <s v="Email"/>
    <m/>
    <x v="35"/>
    <x v="1"/>
  </r>
  <r>
    <s v="HC-02499"/>
    <s v="P-0278"/>
    <s v="Male"/>
    <n v="33"/>
    <x v="1"/>
    <s v="General Consultation"/>
    <d v="2024-12-14T00:00:00"/>
    <d v="2025-01-18T00:00:00"/>
    <s v="Saturday"/>
    <s v="Morning"/>
    <x v="2"/>
    <n v="35"/>
    <n v="1"/>
    <x v="0"/>
    <x v="0"/>
    <s v="SMS"/>
    <n v="3"/>
    <x v="7"/>
    <x v="2"/>
  </r>
  <r>
    <s v="HC-02500"/>
    <s v="P-1241"/>
    <s v="Female"/>
    <n v="41"/>
    <x v="0"/>
    <s v="Follow-up"/>
    <d v="2026-05-11T00:00:00"/>
    <d v="2026-05-23T00:00:00"/>
    <s v="Saturday"/>
    <s v="Afternoon"/>
    <x v="0"/>
    <n v="12"/>
    <n v="5"/>
    <x v="0"/>
    <x v="0"/>
    <s v="SMS"/>
    <n v="8.9"/>
    <x v="38"/>
    <x v="1"/>
  </r>
  <r>
    <s v="HC-02501"/>
    <s v="P-0004"/>
    <s v="Male"/>
    <n v="29"/>
    <x v="1"/>
    <s v="Specialist Consultation"/>
    <d v="2025-11-26T00:00:00"/>
    <d v="2026-01-17T00:00:00"/>
    <s v="Saturday"/>
    <s v="Morning"/>
    <x v="2"/>
    <n v="52"/>
    <n v="5"/>
    <x v="1"/>
    <x v="0"/>
    <s v="WhatsApp"/>
    <n v="11.8"/>
    <x v="6"/>
    <x v="0"/>
  </r>
  <r>
    <s v="HC-02502"/>
    <s v="P-0490"/>
    <s v="Prefer not to say"/>
    <n v="70"/>
    <x v="4"/>
    <s v="Specialist Consultation"/>
    <d v="2025-02-19T00:00:00"/>
    <d v="2025-02-24T00:00:00"/>
    <s v="Monday"/>
    <s v="Morning"/>
    <x v="1"/>
    <n v="5"/>
    <n v="2"/>
    <x v="0"/>
    <x v="0"/>
    <s v="Email"/>
    <n v="27.3"/>
    <x v="32"/>
    <x v="0"/>
  </r>
  <r>
    <s v="HC-02503"/>
    <s v="P-0553"/>
    <s v="Female"/>
    <n v="29"/>
    <x v="1"/>
    <s v="General Consultation"/>
    <d v="2026-01-02T00:00:00"/>
    <d v="2026-02-16T00:00:00"/>
    <s v="Monday"/>
    <s v="Morning"/>
    <x v="2"/>
    <n v="45"/>
    <n v="2"/>
    <x v="1"/>
    <x v="0"/>
    <s v="SMS"/>
    <n v="7.4"/>
    <x v="4"/>
    <x v="1"/>
  </r>
  <r>
    <s v="HC-02504"/>
    <s v="P-1709"/>
    <s v="Female"/>
    <n v="30"/>
    <x v="1"/>
    <s v="General Consultation"/>
    <d v="2025-01-28T00:00:00"/>
    <d v="2025-02-28T00:00:00"/>
    <s v="Friday"/>
    <s v="Afternoon"/>
    <x v="2"/>
    <n v="31"/>
    <n v="5"/>
    <x v="0"/>
    <x v="0"/>
    <s v="SMS"/>
    <n v="20.7"/>
    <x v="20"/>
    <x v="0"/>
  </r>
  <r>
    <s v="HC-02505"/>
    <s v="P-0235"/>
    <s v="Male"/>
    <n v="47"/>
    <x v="2"/>
    <s v="General Consultation"/>
    <d v="2024-12-13T00:00:00"/>
    <d v="2025-01-28T00:00:00"/>
    <s v="Tuesday"/>
    <s v="Afternoon"/>
    <x v="2"/>
    <n v="46"/>
    <n v="1"/>
    <x v="1"/>
    <x v="0"/>
    <s v="WhatsApp"/>
    <n v="3.5"/>
    <x v="3"/>
    <x v="2"/>
  </r>
  <r>
    <s v="HC-02506"/>
    <s v="P-1623"/>
    <s v="Female"/>
    <n v="45"/>
    <x v="2"/>
    <s v="General Consultation"/>
    <d v="2025-02-05T00:00:00"/>
    <d v="2025-03-04T00:00:00"/>
    <s v="Tuesday"/>
    <s v="Morning"/>
    <x v="3"/>
    <n v="27"/>
    <n v="1"/>
    <x v="0"/>
    <x v="0"/>
    <s v="SMS"/>
    <m/>
    <x v="31"/>
    <x v="1"/>
  </r>
  <r>
    <s v="HC-02507"/>
    <s v="P-1375"/>
    <s v="Male"/>
    <n v="37"/>
    <x v="0"/>
    <s v="General Consultation"/>
    <d v="2025-08-31T00:00:00"/>
    <d v="2025-09-09T00:00:00"/>
    <s v="Tuesday"/>
    <s v="Morning"/>
    <x v="0"/>
    <n v="9"/>
    <n v="4"/>
    <x v="1"/>
    <x v="1"/>
    <s v="None"/>
    <n v="7.2"/>
    <x v="16"/>
    <x v="0"/>
  </r>
  <r>
    <s v="HC-02508"/>
    <s v="P-1584"/>
    <s v="Male"/>
    <n v="40"/>
    <x v="0"/>
    <s v="Diagnostic Test"/>
    <d v="2025-10-21T00:00:00"/>
    <d v="2025-12-05T00:00:00"/>
    <s v="Friday"/>
    <s v="Evening"/>
    <x v="2"/>
    <n v="45"/>
    <n v="3"/>
    <x v="0"/>
    <x v="0"/>
    <s v="SMS"/>
    <n v="3.6"/>
    <x v="47"/>
    <x v="1"/>
  </r>
  <r>
    <s v="HC-02509"/>
    <s v="P-1408"/>
    <s v="Male"/>
    <n v="36"/>
    <x v="0"/>
    <s v="General Consultation"/>
    <d v="2025-07-04T00:00:00"/>
    <d v="2025-08-11T00:00:00"/>
    <s v="Monday"/>
    <s v="Morning"/>
    <x v="2"/>
    <n v="38"/>
    <n v="3"/>
    <x v="0"/>
    <x v="0"/>
    <s v="Email"/>
    <n v="9.6"/>
    <x v="19"/>
    <x v="2"/>
  </r>
  <r>
    <s v="HC-02510"/>
    <s v="P-0006"/>
    <s v="Female"/>
    <n v="75"/>
    <x v="4"/>
    <s v="General Consultation"/>
    <d v="2025-02-08T00:00:00"/>
    <d v="2025-03-08T00:00:00"/>
    <s v="Saturday"/>
    <s v="Morning"/>
    <x v="3"/>
    <n v="28"/>
    <n v="3"/>
    <x v="1"/>
    <x v="0"/>
    <s v="SMS"/>
    <n v="2.8"/>
    <x v="11"/>
    <x v="2"/>
  </r>
  <r>
    <s v="HC-02511"/>
    <s v="P-0128"/>
    <s v="Female"/>
    <n v="54"/>
    <x v="2"/>
    <s v="Specialist Consultation"/>
    <d v="2025-03-28T00:00:00"/>
    <d v="2025-04-19T00:00:00"/>
    <s v="Saturday"/>
    <s v="Morning"/>
    <x v="3"/>
    <n v="22"/>
    <n v="10"/>
    <x v="1"/>
    <x v="0"/>
    <s v="WhatsApp"/>
    <n v="8.4"/>
    <x v="49"/>
    <x v="1"/>
  </r>
  <r>
    <s v="HC-02512"/>
    <s v="P-1692"/>
    <s v="Male"/>
    <n v="75"/>
    <x v="4"/>
    <s v="Follow-up"/>
    <d v="2026-03-22T00:00:00"/>
    <d v="2026-04-11T00:00:00"/>
    <s v="Saturday"/>
    <s v="Morning"/>
    <x v="3"/>
    <n v="20"/>
    <n v="3"/>
    <x v="1"/>
    <x v="0"/>
    <s v="SMS"/>
    <n v="8"/>
    <x v="15"/>
    <x v="1"/>
  </r>
  <r>
    <s v="HC-02513"/>
    <s v="P-0719"/>
    <s v="Female"/>
    <n v="80"/>
    <x v="4"/>
    <s v="General Consultation"/>
    <d v="2026-05-12T00:00:00"/>
    <d v="2026-06-10T00:00:00"/>
    <s v="Wednesday"/>
    <s v="Afternoon"/>
    <x v="3"/>
    <n v="29"/>
    <n v="7"/>
    <x v="2"/>
    <x v="0"/>
    <s v="Email"/>
    <n v="10.6"/>
    <x v="20"/>
    <x v="1"/>
  </r>
  <r>
    <s v="HC-02514"/>
    <s v="P-1233"/>
    <s v="Female"/>
    <n v="59"/>
    <x v="3"/>
    <s v="General Consultation"/>
    <d v="2026-02-01T00:00:00"/>
    <d v="2026-02-16T00:00:00"/>
    <s v="Monday"/>
    <s v="Afternoon"/>
    <x v="3"/>
    <n v="15"/>
    <n v="3"/>
    <x v="0"/>
    <x v="0"/>
    <s v="SMS"/>
    <n v="19.600000000000001"/>
    <x v="19"/>
    <x v="2"/>
  </r>
  <r>
    <s v="HC-02515"/>
    <s v="P-1666"/>
    <s v="Female"/>
    <n v="70"/>
    <x v="4"/>
    <s v="Diagnostic Test"/>
    <d v="2025-02-09T00:00:00"/>
    <d v="2025-02-26T00:00:00"/>
    <s v="Wednesday"/>
    <s v="Morning"/>
    <x v="3"/>
    <n v="17"/>
    <n v="1"/>
    <x v="0"/>
    <x v="0"/>
    <s v="WhatsApp"/>
    <n v="5"/>
    <x v="6"/>
    <x v="1"/>
  </r>
  <r>
    <s v="HC-02516"/>
    <s v="P-0088"/>
    <s v="Female"/>
    <n v="24"/>
    <x v="5"/>
    <s v="General Consultation"/>
    <d v="2026-03-08T00:00:00"/>
    <d v="2026-03-24T00:00:00"/>
    <s v="Tuesday"/>
    <s v="Evening"/>
    <x v="3"/>
    <n v="16"/>
    <n v="1"/>
    <x v="1"/>
    <x v="0"/>
    <s v="SMS"/>
    <n v="24.4"/>
    <x v="24"/>
    <x v="1"/>
  </r>
  <r>
    <s v="HC-02517"/>
    <s v="P-0569"/>
    <s v="Female"/>
    <n v="77"/>
    <x v="4"/>
    <s v="Follow-up"/>
    <d v="2026-01-13T00:00:00"/>
    <d v="2026-01-13T00:00:00"/>
    <s v="Tuesday"/>
    <s v="Morning"/>
    <x v="1"/>
    <n v="0"/>
    <n v="2"/>
    <x v="0"/>
    <x v="0"/>
    <s v="SMS"/>
    <n v="16"/>
    <x v="1"/>
    <x v="1"/>
  </r>
  <r>
    <s v="HC-02518"/>
    <s v="P-1294"/>
    <s v="Female"/>
    <n v="48"/>
    <x v="2"/>
    <s v="Specialist Consultation"/>
    <d v="2025-08-20T00:00:00"/>
    <d v="2025-10-15T00:00:00"/>
    <s v="Wednesday"/>
    <s v="Afternoon"/>
    <x v="2"/>
    <n v="56"/>
    <n v="2"/>
    <x v="1"/>
    <x v="1"/>
    <s v="None"/>
    <n v="10.6"/>
    <x v="47"/>
    <x v="0"/>
  </r>
  <r>
    <s v="HC-02519"/>
    <s v="P-1001"/>
    <s v="Male"/>
    <n v="62"/>
    <x v="3"/>
    <s v="General Consultation"/>
    <d v="2025-03-06T00:00:00"/>
    <d v="2025-03-20T00:00:00"/>
    <s v="Thursday"/>
    <s v="Morning"/>
    <x v="0"/>
    <n v="14"/>
    <n v="6"/>
    <x v="2"/>
    <x v="0"/>
    <s v="SMS"/>
    <n v="2.8"/>
    <x v="42"/>
    <x v="1"/>
  </r>
  <r>
    <s v="HC-02520"/>
    <s v="P-1656"/>
    <s v="Male"/>
    <n v="33"/>
    <x v="1"/>
    <s v="Specialist Consultation"/>
    <d v="2026-06-19T00:00:00"/>
    <d v="2026-06-29T00:00:00"/>
    <s v="Monday"/>
    <s v="Morning"/>
    <x v="0"/>
    <n v="10"/>
    <n v="4"/>
    <x v="1"/>
    <x v="1"/>
    <s v="None"/>
    <n v="9.5"/>
    <x v="49"/>
    <x v="1"/>
  </r>
  <r>
    <s v="HC-02521"/>
    <s v="P-0880"/>
    <s v="Male"/>
    <n v="24"/>
    <x v="5"/>
    <s v="General Consultation"/>
    <d v="2025-08-21T00:00:00"/>
    <d v="2025-08-30T00:00:00"/>
    <s v="Saturday"/>
    <s v="Afternoon"/>
    <x v="0"/>
    <n v="9"/>
    <n v="4"/>
    <x v="1"/>
    <x v="0"/>
    <s v="SMS"/>
    <n v="3.3"/>
    <x v="13"/>
    <x v="0"/>
  </r>
  <r>
    <s v="HC-02522"/>
    <s v="P-0621"/>
    <s v="Male"/>
    <n v="73"/>
    <x v="4"/>
    <s v="General Consultation"/>
    <d v="2024-11-26T00:00:00"/>
    <d v="2025-01-25T00:00:00"/>
    <s v="Saturday"/>
    <s v="Evening"/>
    <x v="2"/>
    <n v="60"/>
    <n v="2"/>
    <x v="0"/>
    <x v="0"/>
    <s v="Email"/>
    <n v="12.6"/>
    <x v="5"/>
    <x v="1"/>
  </r>
  <r>
    <s v="HC-02523"/>
    <s v="P-0565"/>
    <s v="Female"/>
    <n v="46"/>
    <x v="2"/>
    <s v="General Consultation"/>
    <d v="2025-03-27T00:00:00"/>
    <d v="2025-04-25T00:00:00"/>
    <s v="Friday"/>
    <s v="Afternoon"/>
    <x v="3"/>
    <n v="29"/>
    <n v="3"/>
    <x v="1"/>
    <x v="0"/>
    <s v="SMS"/>
    <n v="6"/>
    <x v="7"/>
    <x v="1"/>
  </r>
  <r>
    <s v="HC-02524"/>
    <s v="P-1223"/>
    <s v="Female"/>
    <n v="26"/>
    <x v="1"/>
    <s v="Diagnostic Test"/>
    <d v="2025-07-20T00:00:00"/>
    <d v="2025-08-08T00:00:00"/>
    <s v="Friday"/>
    <s v="Afternoon"/>
    <x v="3"/>
    <n v="19"/>
    <n v="2"/>
    <x v="1"/>
    <x v="1"/>
    <s v="None"/>
    <n v="18.2"/>
    <x v="20"/>
    <x v="1"/>
  </r>
  <r>
    <s v="HC-02525"/>
    <s v="P-0436"/>
    <s v="Male"/>
    <n v="59"/>
    <x v="3"/>
    <s v="General Consultation"/>
    <d v="2025-01-11T00:00:00"/>
    <d v="2025-02-04T00:00:00"/>
    <s v="Tuesday"/>
    <s v="Afternoon"/>
    <x v="3"/>
    <n v="24"/>
    <n v="3"/>
    <x v="1"/>
    <x v="0"/>
    <s v="SMS"/>
    <n v="18.7"/>
    <x v="47"/>
    <x v="1"/>
  </r>
  <r>
    <s v="HC-02526"/>
    <s v="P-0599"/>
    <s v="Female"/>
    <n v="21"/>
    <x v="5"/>
    <s v="General Consultation"/>
    <d v="2025-06-21T00:00:00"/>
    <d v="2025-06-26T00:00:00"/>
    <s v="Thursday"/>
    <s v="Afternoon"/>
    <x v="1"/>
    <n v="5"/>
    <n v="3"/>
    <x v="1"/>
    <x v="0"/>
    <s v="SMS"/>
    <n v="13.2"/>
    <x v="43"/>
    <x v="1"/>
  </r>
  <r>
    <s v="HC-02527"/>
    <s v="P-0749"/>
    <s v="Female"/>
    <n v="46"/>
    <x v="2"/>
    <s v="Diagnostic Test"/>
    <d v="2025-08-25T00:00:00"/>
    <d v="2025-09-13T00:00:00"/>
    <s v="Saturday"/>
    <s v="Morning"/>
    <x v="3"/>
    <n v="19"/>
    <n v="4"/>
    <x v="0"/>
    <x v="0"/>
    <s v="WhatsApp"/>
    <n v="3.8"/>
    <x v="26"/>
    <x v="0"/>
  </r>
  <r>
    <s v="HC-02528"/>
    <s v="P-1180"/>
    <s v="Female"/>
    <n v="62"/>
    <x v="3"/>
    <s v="General Consultation"/>
    <d v="2026-05-18T00:00:00"/>
    <d v="2026-06-02T00:00:00"/>
    <s v="Tuesday"/>
    <s v="Afternoon"/>
    <x v="3"/>
    <n v="15"/>
    <n v="2"/>
    <x v="0"/>
    <x v="0"/>
    <s v="SMS"/>
    <n v="6.7"/>
    <x v="22"/>
    <x v="1"/>
  </r>
  <r>
    <s v="HC-02529"/>
    <s v="P-0034"/>
    <s v="Male"/>
    <n v="63"/>
    <x v="3"/>
    <s v="Specialist Consultation"/>
    <d v="2024-12-31T00:00:00"/>
    <d v="2025-02-17T00:00:00"/>
    <s v="Monday"/>
    <s v="Afternoon"/>
    <x v="2"/>
    <n v="48"/>
    <n v="3"/>
    <x v="0"/>
    <x v="0"/>
    <s v="WhatsApp"/>
    <n v="18.7"/>
    <x v="13"/>
    <x v="1"/>
  </r>
  <r>
    <s v="HC-02530"/>
    <s v="P-0949"/>
    <s v="Female"/>
    <n v="46"/>
    <x v="2"/>
    <s v="Follow-up"/>
    <d v="2025-11-08T00:00:00"/>
    <d v="2025-11-11T00:00:00"/>
    <s v="Tuesday"/>
    <s v="Afternoon"/>
    <x v="1"/>
    <n v="3"/>
    <n v="3"/>
    <x v="1"/>
    <x v="0"/>
    <s v="SMS"/>
    <n v="34.200000000000003"/>
    <x v="12"/>
    <x v="0"/>
  </r>
  <r>
    <s v="HC-02531"/>
    <s v="P-0853"/>
    <s v="Female"/>
    <n v="41"/>
    <x v="0"/>
    <s v="Follow-up"/>
    <d v="2026-04-21T00:00:00"/>
    <d v="2026-05-16T00:00:00"/>
    <s v="Saturday"/>
    <s v="Evening"/>
    <x v="3"/>
    <n v="25"/>
    <n v="2"/>
    <x v="0"/>
    <x v="1"/>
    <s v="None"/>
    <n v="5.7"/>
    <x v="21"/>
    <x v="2"/>
  </r>
  <r>
    <s v="HC-02532"/>
    <s v="P-0233"/>
    <s v="Female"/>
    <n v="70"/>
    <x v="4"/>
    <s v="Specialist Consultation"/>
    <d v="2026-01-28T00:00:00"/>
    <d v="2026-03-17T00:00:00"/>
    <s v="Tuesday"/>
    <s v="Afternoon"/>
    <x v="2"/>
    <n v="48"/>
    <n v="0"/>
    <x v="0"/>
    <x v="0"/>
    <s v="WhatsApp"/>
    <n v="9.6"/>
    <x v="19"/>
    <x v="0"/>
  </r>
  <r>
    <s v="HC-02533"/>
    <s v="P-0612"/>
    <s v="Male"/>
    <n v="29"/>
    <x v="1"/>
    <s v="Specialist Consultation"/>
    <d v="2026-04-01T00:00:00"/>
    <d v="2026-05-21T00:00:00"/>
    <s v="Thursday"/>
    <s v="Morning"/>
    <x v="2"/>
    <n v="50"/>
    <n v="6"/>
    <x v="1"/>
    <x v="0"/>
    <s v="Email"/>
    <m/>
    <x v="0"/>
    <x v="0"/>
  </r>
  <r>
    <s v="HC-02534"/>
    <s v="P-0014"/>
    <s v="Female"/>
    <n v="22"/>
    <x v="5"/>
    <s v="General Consultation"/>
    <d v="2025-03-04T00:00:00"/>
    <d v="2025-04-04T00:00:00"/>
    <s v="Friday"/>
    <s v="Morning"/>
    <x v="2"/>
    <n v="31"/>
    <n v="4"/>
    <x v="0"/>
    <x v="0"/>
    <s v="Email"/>
    <n v="4"/>
    <x v="5"/>
    <x v="1"/>
  </r>
  <r>
    <s v="HC-02535"/>
    <s v="P-1798"/>
    <s v="Male"/>
    <n v="27"/>
    <x v="1"/>
    <s v="Diagnostic Test"/>
    <d v="2026-03-01T00:00:00"/>
    <d v="2026-03-14T00:00:00"/>
    <s v="Saturday"/>
    <s v="Afternoon"/>
    <x v="0"/>
    <n v="13"/>
    <n v="3"/>
    <x v="0"/>
    <x v="0"/>
    <s v="SMS"/>
    <n v="4.5999999999999996"/>
    <x v="28"/>
    <x v="0"/>
  </r>
  <r>
    <s v="HC-02536"/>
    <s v="P-1376"/>
    <s v="Female"/>
    <n v="68"/>
    <x v="4"/>
    <s v="Diagnostic Test"/>
    <d v="2026-05-30T00:00:00"/>
    <d v="2026-06-19T00:00:00"/>
    <s v="Friday"/>
    <s v="Morning"/>
    <x v="3"/>
    <n v="20"/>
    <n v="3"/>
    <x v="0"/>
    <x v="0"/>
    <s v="WhatsApp"/>
    <n v="8.1999999999999993"/>
    <x v="15"/>
    <x v="0"/>
  </r>
  <r>
    <s v="HC-02537"/>
    <s v="P-1452"/>
    <s v="Female"/>
    <n v="47"/>
    <x v="2"/>
    <s v="Diagnostic Test"/>
    <d v="2025-06-15T00:00:00"/>
    <d v="2025-06-28T00:00:00"/>
    <s v="Saturday"/>
    <s v="Afternoon"/>
    <x v="0"/>
    <n v="13"/>
    <n v="2"/>
    <x v="0"/>
    <x v="0"/>
    <s v="WhatsApp"/>
    <n v="2.1"/>
    <x v="19"/>
    <x v="0"/>
  </r>
  <r>
    <s v="HC-02538"/>
    <s v="P-0400"/>
    <s v="Female"/>
    <n v="20"/>
    <x v="5"/>
    <s v="Follow-up"/>
    <d v="2025-08-21T00:00:00"/>
    <d v="2025-09-30T00:00:00"/>
    <s v="Tuesday"/>
    <s v="Morning"/>
    <x v="2"/>
    <n v="40"/>
    <n v="2"/>
    <x v="0"/>
    <x v="1"/>
    <s v="None"/>
    <n v="16.5"/>
    <x v="50"/>
    <x v="0"/>
  </r>
  <r>
    <s v="HC-02539"/>
    <s v="P-0784"/>
    <s v="Female"/>
    <n v="28"/>
    <x v="1"/>
    <s v="Follow-up"/>
    <d v="2025-09-30T00:00:00"/>
    <d v="2025-10-17T00:00:00"/>
    <s v="Friday"/>
    <s v="Morning"/>
    <x v="3"/>
    <n v="17"/>
    <n v="4"/>
    <x v="0"/>
    <x v="0"/>
    <s v="SMS"/>
    <n v="7"/>
    <x v="24"/>
    <x v="0"/>
  </r>
  <r>
    <s v="HC-02540"/>
    <s v="P-0737"/>
    <s v="Female"/>
    <n v="19"/>
    <x v="5"/>
    <s v="Follow-up"/>
    <d v="2025-08-20T00:00:00"/>
    <d v="2025-09-27T00:00:00"/>
    <s v="Saturday"/>
    <s v="Afternoon"/>
    <x v="2"/>
    <n v="38"/>
    <n v="2"/>
    <x v="0"/>
    <x v="1"/>
    <s v="None"/>
    <n v="10"/>
    <x v="6"/>
    <x v="1"/>
  </r>
  <r>
    <s v="HC-02541"/>
    <s v="P-0170"/>
    <s v="Male"/>
    <n v="69"/>
    <x v="4"/>
    <s v="General Consultation"/>
    <d v="2025-04-30T00:00:00"/>
    <d v="2025-06-08T00:00:00"/>
    <s v="Sunday"/>
    <s v="Morning"/>
    <x v="2"/>
    <n v="39"/>
    <n v="7"/>
    <x v="1"/>
    <x v="1"/>
    <s v="None"/>
    <n v="9.8000000000000007"/>
    <x v="6"/>
    <x v="0"/>
  </r>
  <r>
    <s v="HC-02542"/>
    <s v="P-1609"/>
    <s v="Female"/>
    <n v="47"/>
    <x v="2"/>
    <s v="Follow-up"/>
    <d v="2026-04-19T00:00:00"/>
    <d v="2026-06-15T00:00:00"/>
    <s v="Monday"/>
    <s v="Afternoon"/>
    <x v="2"/>
    <n v="57"/>
    <n v="2"/>
    <x v="1"/>
    <x v="0"/>
    <s v="SMS"/>
    <n v="7.2"/>
    <x v="7"/>
    <x v="0"/>
  </r>
  <r>
    <s v="HC-02543"/>
    <s v="P-0109"/>
    <s v="Male"/>
    <n v="22"/>
    <x v="5"/>
    <s v="Follow-up"/>
    <d v="2026-05-16T00:00:00"/>
    <d v="2026-06-07T00:00:00"/>
    <s v="Sunday"/>
    <s v="Morning"/>
    <x v="3"/>
    <n v="22"/>
    <n v="3"/>
    <x v="0"/>
    <x v="0"/>
    <s v="SMS"/>
    <n v="5.6"/>
    <x v="18"/>
    <x v="1"/>
  </r>
  <r>
    <s v="HC-02544"/>
    <s v="P-1524"/>
    <s v="Female"/>
    <n v="31"/>
    <x v="1"/>
    <s v="Follow-up"/>
    <d v="2025-05-30T00:00:00"/>
    <d v="2025-07-27T00:00:00"/>
    <s v="Sunday"/>
    <s v="Afternoon"/>
    <x v="2"/>
    <n v="58"/>
    <n v="1"/>
    <x v="0"/>
    <x v="1"/>
    <s v="None"/>
    <n v="5.0999999999999996"/>
    <x v="16"/>
    <x v="2"/>
  </r>
  <r>
    <s v="HC-02545"/>
    <s v="P-0294"/>
    <s v="Female"/>
    <n v="56"/>
    <x v="3"/>
    <s v="General Consultation"/>
    <d v="2026-02-20T00:00:00"/>
    <d v="2026-03-16T00:00:00"/>
    <s v="Monday"/>
    <s v="Afternoon"/>
    <x v="3"/>
    <n v="24"/>
    <n v="3"/>
    <x v="1"/>
    <x v="1"/>
    <s v="None"/>
    <n v="15.9"/>
    <x v="0"/>
    <x v="1"/>
  </r>
  <r>
    <s v="HC-02546"/>
    <s v="P-1148"/>
    <s v="Male"/>
    <n v="55"/>
    <x v="3"/>
    <s v="Follow-up"/>
    <d v="2025-06-26T00:00:00"/>
    <d v="2025-08-06T00:00:00"/>
    <s v="Wednesday"/>
    <s v="Evening"/>
    <x v="2"/>
    <n v="41"/>
    <n v="3"/>
    <x v="0"/>
    <x v="0"/>
    <s v="SMS"/>
    <n v="2.9"/>
    <x v="27"/>
    <x v="0"/>
  </r>
  <r>
    <s v="HC-02547"/>
    <s v="P-1799"/>
    <s v="Male"/>
    <n v="69"/>
    <x v="4"/>
    <s v="Follow-up"/>
    <d v="2026-01-29T00:00:00"/>
    <d v="2026-03-10T00:00:00"/>
    <s v="Tuesday"/>
    <s v="Morning"/>
    <x v="2"/>
    <n v="40"/>
    <n v="3"/>
    <x v="0"/>
    <x v="1"/>
    <s v="None"/>
    <n v="13.2"/>
    <x v="46"/>
    <x v="1"/>
  </r>
  <r>
    <s v="HC-02548"/>
    <s v="P-0499"/>
    <s v="Female"/>
    <n v="19"/>
    <x v="5"/>
    <s v="Follow-up"/>
    <d v="2025-09-28T00:00:00"/>
    <d v="2025-11-16T00:00:00"/>
    <s v="Sunday"/>
    <s v="Morning"/>
    <x v="2"/>
    <n v="49"/>
    <n v="2"/>
    <x v="1"/>
    <x v="0"/>
    <s v="SMS"/>
    <n v="13.7"/>
    <x v="32"/>
    <x v="0"/>
  </r>
  <r>
    <s v="HC-02549"/>
    <s v="P-0475"/>
    <s v="Female"/>
    <n v="22"/>
    <x v="5"/>
    <s v="Diagnostic Test"/>
    <d v="2025-08-17T00:00:00"/>
    <d v="2025-09-14T00:00:00"/>
    <s v="Sunday"/>
    <s v="Afternoon"/>
    <x v="3"/>
    <n v="28"/>
    <n v="5"/>
    <x v="0"/>
    <x v="0"/>
    <s v="SMS"/>
    <m/>
    <x v="29"/>
    <x v="1"/>
  </r>
  <r>
    <s v="HC-02550"/>
    <s v="P-0225"/>
    <s v="Male"/>
    <n v="20"/>
    <x v="5"/>
    <s v="Specialist Consultation"/>
    <d v="2025-01-22T00:00:00"/>
    <d v="2025-03-11T00:00:00"/>
    <s v="Tuesday"/>
    <s v="Evening"/>
    <x v="2"/>
    <n v="48"/>
    <n v="6"/>
    <x v="3"/>
    <x v="1"/>
    <s v="None"/>
    <n v="6.2"/>
    <x v="12"/>
    <x v="0"/>
  </r>
  <r>
    <s v="HC-02551"/>
    <s v="P-1782"/>
    <s v="Female"/>
    <n v="42"/>
    <x v="0"/>
    <s v="General Consultation"/>
    <d v="2025-12-03T00:00:00"/>
    <d v="2025-12-24T00:00:00"/>
    <s v="Wednesday"/>
    <s v="Afternoon"/>
    <x v="3"/>
    <n v="21"/>
    <n v="3"/>
    <x v="0"/>
    <x v="0"/>
    <s v="WhatsApp"/>
    <n v="10.4"/>
    <x v="51"/>
    <x v="1"/>
  </r>
  <r>
    <s v="HC-02552"/>
    <s v="P-0323"/>
    <s v="Male"/>
    <n v="63"/>
    <x v="3"/>
    <s v="General Consultation"/>
    <d v="2025-05-27T00:00:00"/>
    <d v="2025-06-25T00:00:00"/>
    <s v="Wednesday"/>
    <s v="Afternoon"/>
    <x v="3"/>
    <n v="29"/>
    <n v="2"/>
    <x v="1"/>
    <x v="1"/>
    <s v="None"/>
    <n v="9.9"/>
    <x v="53"/>
    <x v="0"/>
  </r>
  <r>
    <s v="HC-02553"/>
    <s v="P-1399"/>
    <s v="Male"/>
    <n v="59"/>
    <x v="3"/>
    <s v="Follow-up"/>
    <d v="2025-03-30T00:00:00"/>
    <d v="2025-04-29T00:00:00"/>
    <s v="Tuesday"/>
    <s v="Afternoon"/>
    <x v="3"/>
    <n v="30"/>
    <n v="2"/>
    <x v="1"/>
    <x v="0"/>
    <s v="SMS"/>
    <n v="15.8"/>
    <x v="10"/>
    <x v="1"/>
  </r>
  <r>
    <s v="HC-02554"/>
    <s v="P-1709"/>
    <s v="Female"/>
    <n v="31"/>
    <x v="1"/>
    <s v="General Consultation"/>
    <d v="2025-03-05T00:00:00"/>
    <d v="2025-04-16T00:00:00"/>
    <s v="Wednesday"/>
    <s v="Afternoon"/>
    <x v="2"/>
    <n v="42"/>
    <n v="3"/>
    <x v="1"/>
    <x v="0"/>
    <s v="WhatsApp"/>
    <n v="13.9"/>
    <x v="6"/>
    <x v="0"/>
  </r>
  <r>
    <s v="HC-02555"/>
    <s v="P-1303"/>
    <s v="Male"/>
    <n v="59"/>
    <x v="3"/>
    <s v="Specialist Consultation"/>
    <d v="2026-05-15T00:00:00"/>
    <d v="2026-06-21T00:00:00"/>
    <s v="Sunday"/>
    <s v="Afternoon"/>
    <x v="2"/>
    <n v="37"/>
    <n v="3"/>
    <x v="0"/>
    <x v="1"/>
    <s v="None"/>
    <n v="4.5999999999999996"/>
    <x v="10"/>
    <x v="0"/>
  </r>
  <r>
    <s v="HC-02556"/>
    <s v="P-1136"/>
    <s v="Female"/>
    <n v="59"/>
    <x v="3"/>
    <s v="General Consultation"/>
    <d v="2025-02-22T00:00:00"/>
    <d v="2025-02-26T00:00:00"/>
    <s v="Wednesday"/>
    <s v="Afternoon"/>
    <x v="1"/>
    <n v="4"/>
    <n v="3"/>
    <x v="1"/>
    <x v="0"/>
    <s v="WhatsApp"/>
    <n v="18.3"/>
    <x v="9"/>
    <x v="1"/>
  </r>
  <r>
    <s v="HC-02557"/>
    <s v="P-0180"/>
    <s v="Male"/>
    <n v="30"/>
    <x v="1"/>
    <s v="General Consultation"/>
    <d v="2026-01-22T00:00:00"/>
    <d v="2026-03-12T00:00:00"/>
    <s v="Thursday"/>
    <s v="Afternoon"/>
    <x v="2"/>
    <n v="49"/>
    <n v="4"/>
    <x v="0"/>
    <x v="0"/>
    <s v="WhatsApp"/>
    <n v="6"/>
    <x v="20"/>
    <x v="0"/>
  </r>
  <r>
    <s v="HC-02558"/>
    <s v="P-0745"/>
    <s v="Male"/>
    <n v="65"/>
    <x v="4"/>
    <s v="General Consultation"/>
    <d v="2026-03-03T00:00:00"/>
    <d v="2026-04-18T00:00:00"/>
    <s v="Saturday"/>
    <s v="Afternoon"/>
    <x v="2"/>
    <n v="46"/>
    <n v="4"/>
    <x v="1"/>
    <x v="1"/>
    <s v="None"/>
    <n v="2.8"/>
    <x v="11"/>
    <x v="1"/>
  </r>
  <r>
    <s v="HC-02559"/>
    <s v="P-1165"/>
    <s v="Male"/>
    <n v="44"/>
    <x v="0"/>
    <s v="Specialist Consultation"/>
    <d v="2025-01-11T00:00:00"/>
    <d v="2025-01-17T00:00:00"/>
    <s v="Friday"/>
    <s v="Evening"/>
    <x v="1"/>
    <n v="6"/>
    <n v="5"/>
    <x v="2"/>
    <x v="1"/>
    <s v="None"/>
    <n v="2.2000000000000002"/>
    <x v="51"/>
    <x v="0"/>
  </r>
  <r>
    <s v="HC-02560"/>
    <s v="P-1701"/>
    <s v="Prefer not to say"/>
    <n v="21"/>
    <x v="5"/>
    <s v="Diagnostic Test"/>
    <d v="2025-09-21T00:00:00"/>
    <d v="2025-11-18T00:00:00"/>
    <s v="Tuesday"/>
    <s v="Morning"/>
    <x v="2"/>
    <n v="58"/>
    <n v="3"/>
    <x v="0"/>
    <x v="1"/>
    <s v="None"/>
    <n v="12.9"/>
    <x v="11"/>
    <x v="0"/>
  </r>
  <r>
    <s v="HC-02561"/>
    <s v="P-0558"/>
    <s v="Male"/>
    <n v="42"/>
    <x v="0"/>
    <s v="Diagnostic Test"/>
    <d v="2025-10-03T00:00:00"/>
    <d v="2025-11-12T00:00:00"/>
    <s v="Wednesday"/>
    <s v="Morning"/>
    <x v="2"/>
    <n v="40"/>
    <n v="3"/>
    <x v="0"/>
    <x v="1"/>
    <s v="None"/>
    <n v="29.2"/>
    <x v="16"/>
    <x v="0"/>
  </r>
  <r>
    <s v="HC-02562"/>
    <s v="P-0960"/>
    <s v="Female"/>
    <n v="66"/>
    <x v="4"/>
    <s v="Follow-up"/>
    <d v="2025-07-10T00:00:00"/>
    <d v="2025-07-15T00:00:00"/>
    <s v="Tuesday"/>
    <s v="Evening"/>
    <x v="1"/>
    <n v="5"/>
    <n v="6"/>
    <x v="1"/>
    <x v="0"/>
    <s v="Email"/>
    <n v="4.4000000000000004"/>
    <x v="42"/>
    <x v="1"/>
  </r>
  <r>
    <s v="HC-02563"/>
    <s v="P-0010"/>
    <s v="Female"/>
    <n v="61"/>
    <x v="3"/>
    <s v="Specialist Consultation"/>
    <d v="2025-12-02T00:00:00"/>
    <d v="2025-12-31T00:00:00"/>
    <s v="Wednesday"/>
    <s v="Afternoon"/>
    <x v="3"/>
    <n v="29"/>
    <n v="3"/>
    <x v="0"/>
    <x v="0"/>
    <s v="SMS"/>
    <n v="1.9"/>
    <x v="18"/>
    <x v="0"/>
  </r>
  <r>
    <s v="HC-02564"/>
    <s v="P-0725"/>
    <s v="Female"/>
    <n v="34"/>
    <x v="1"/>
    <s v="General Consultation"/>
    <d v="2025-06-22T00:00:00"/>
    <d v="2025-08-12T00:00:00"/>
    <s v="Tuesday"/>
    <s v="Morning"/>
    <x v="2"/>
    <n v="51"/>
    <n v="2"/>
    <x v="0"/>
    <x v="0"/>
    <s v="WhatsApp"/>
    <n v="12.1"/>
    <x v="5"/>
    <x v="0"/>
  </r>
  <r>
    <s v="HC-02565"/>
    <s v="P-1072"/>
    <s v="Female"/>
    <n v="65"/>
    <x v="4"/>
    <s v="Follow-up"/>
    <d v="2025-08-12T00:00:00"/>
    <d v="2025-08-29T00:00:00"/>
    <s v="Friday"/>
    <s v="Afternoon"/>
    <x v="3"/>
    <n v="17"/>
    <n v="4"/>
    <x v="0"/>
    <x v="0"/>
    <s v="Email"/>
    <n v="3.6"/>
    <x v="17"/>
    <x v="0"/>
  </r>
  <r>
    <s v="HC-02566"/>
    <s v="P-0227"/>
    <s v="Male"/>
    <n v="42"/>
    <x v="0"/>
    <s v="Diagnostic Test"/>
    <d v="2025-06-29T00:00:00"/>
    <d v="2025-08-24T00:00:00"/>
    <s v="Sunday"/>
    <s v="Afternoon"/>
    <x v="2"/>
    <n v="56"/>
    <n v="6"/>
    <x v="1"/>
    <x v="1"/>
    <s v="None"/>
    <n v="14.7"/>
    <x v="27"/>
    <x v="0"/>
  </r>
  <r>
    <s v="HC-02567"/>
    <s v="P-1588"/>
    <s v="Female"/>
    <n v="46"/>
    <x v="2"/>
    <s v="General Consultation"/>
    <d v="2026-02-17T00:00:00"/>
    <d v="2026-03-14T00:00:00"/>
    <s v="Saturday"/>
    <s v="Afternoon"/>
    <x v="3"/>
    <n v="25"/>
    <n v="4"/>
    <x v="0"/>
    <x v="0"/>
    <s v="Email"/>
    <n v="7.2"/>
    <x v="25"/>
    <x v="1"/>
  </r>
  <r>
    <s v="HC-02568"/>
    <s v="P-0153"/>
    <s v="Male"/>
    <n v="23"/>
    <x v="5"/>
    <s v="Diagnostic Test"/>
    <d v="2025-11-29T00:00:00"/>
    <d v="2025-12-12T00:00:00"/>
    <s v="Friday"/>
    <s v="Afternoon"/>
    <x v="0"/>
    <n v="13"/>
    <n v="6"/>
    <x v="2"/>
    <x v="1"/>
    <s v="None"/>
    <n v="4.7"/>
    <x v="26"/>
    <x v="1"/>
  </r>
  <r>
    <s v="HC-02569"/>
    <s v="P-1371"/>
    <s v="Female"/>
    <n v="80"/>
    <x v="4"/>
    <s v="General Consultation"/>
    <d v="2025-07-05T00:00:00"/>
    <d v="2025-07-26T00:00:00"/>
    <s v="Saturday"/>
    <s v="Morning"/>
    <x v="3"/>
    <n v="21"/>
    <n v="4"/>
    <x v="0"/>
    <x v="0"/>
    <s v="SMS"/>
    <n v="7.4"/>
    <x v="16"/>
    <x v="1"/>
  </r>
  <r>
    <s v="HC-02570"/>
    <s v="P-1206"/>
    <s v="Female"/>
    <n v="70"/>
    <x v="4"/>
    <s v="General Consultation"/>
    <d v="2026-04-20T00:00:00"/>
    <d v="2026-05-22T00:00:00"/>
    <s v="Friday"/>
    <s v="Afternoon"/>
    <x v="2"/>
    <n v="32"/>
    <n v="3"/>
    <x v="1"/>
    <x v="0"/>
    <s v="WhatsApp"/>
    <n v="20.9"/>
    <x v="19"/>
    <x v="1"/>
  </r>
  <r>
    <s v="HC-02571"/>
    <s v="P-1546"/>
    <s v="Female"/>
    <n v="30"/>
    <x v="1"/>
    <s v="Follow-up"/>
    <d v="2026-02-01T00:00:00"/>
    <d v="2026-03-14T00:00:00"/>
    <s v="Saturday"/>
    <s v="Morning"/>
    <x v="2"/>
    <n v="41"/>
    <n v="1"/>
    <x v="0"/>
    <x v="0"/>
    <s v="SMS"/>
    <n v="1.8"/>
    <x v="27"/>
    <x v="0"/>
  </r>
  <r>
    <s v="HC-02572"/>
    <s v="P-0100"/>
    <s v="Prefer not to say"/>
    <n v="53"/>
    <x v="2"/>
    <s v="Diagnostic Test"/>
    <d v="2026-03-30T00:00:00"/>
    <d v="2026-05-25T00:00:00"/>
    <s v="Monday"/>
    <s v="Evening"/>
    <x v="2"/>
    <n v="56"/>
    <n v="5"/>
    <x v="1"/>
    <x v="0"/>
    <s v="WhatsApp"/>
    <n v="15.2"/>
    <x v="20"/>
    <x v="0"/>
  </r>
  <r>
    <s v="HC-02573"/>
    <s v="P-1708"/>
    <s v="Female"/>
    <n v="67"/>
    <x v="4"/>
    <s v="General Consultation"/>
    <d v="2026-01-23T00:00:00"/>
    <d v="2026-02-03T00:00:00"/>
    <s v="Tuesday"/>
    <s v="Morning"/>
    <x v="0"/>
    <n v="11"/>
    <n v="2"/>
    <x v="0"/>
    <x v="0"/>
    <s v="SMS"/>
    <n v="16.100000000000001"/>
    <x v="12"/>
    <x v="1"/>
  </r>
  <r>
    <s v="HC-02574"/>
    <s v="P-0148"/>
    <s v="Female"/>
    <n v="49"/>
    <x v="2"/>
    <s v="Specialist Consultation"/>
    <d v="2025-06-05T00:00:00"/>
    <d v="2025-08-02T00:00:00"/>
    <s v="Saturday"/>
    <s v="Afternoon"/>
    <x v="2"/>
    <n v="58"/>
    <n v="7"/>
    <x v="2"/>
    <x v="0"/>
    <s v="Email"/>
    <n v="6.1"/>
    <x v="24"/>
    <x v="0"/>
  </r>
  <r>
    <s v="HC-02575"/>
    <s v="P-1744"/>
    <s v="Female"/>
    <n v="31"/>
    <x v="1"/>
    <s v="General Consultation"/>
    <d v="2026-01-26T00:00:00"/>
    <d v="2026-02-27T00:00:00"/>
    <s v="Friday"/>
    <s v="Afternoon"/>
    <x v="2"/>
    <n v="32"/>
    <n v="0"/>
    <x v="0"/>
    <x v="1"/>
    <s v="None"/>
    <n v="12.6"/>
    <x v="4"/>
    <x v="0"/>
  </r>
  <r>
    <s v="HC-02576"/>
    <s v="P-1731"/>
    <s v="Prefer not to say"/>
    <n v="79"/>
    <x v="4"/>
    <s v="Specialist Consultation"/>
    <d v="2025-06-22T00:00:00"/>
    <d v="2025-06-29T00:00:00"/>
    <s v="Sunday"/>
    <s v="Afternoon"/>
    <x v="1"/>
    <n v="7"/>
    <n v="5"/>
    <x v="1"/>
    <x v="1"/>
    <s v="None"/>
    <n v="10.4"/>
    <x v="14"/>
    <x v="2"/>
  </r>
  <r>
    <s v="HC-02577"/>
    <s v="P-0322"/>
    <s v="Female"/>
    <n v="34"/>
    <x v="1"/>
    <s v="Follow-up"/>
    <d v="2025-04-02T00:00:00"/>
    <d v="2025-05-28T00:00:00"/>
    <s v="Wednesday"/>
    <s v="Afternoon"/>
    <x v="2"/>
    <n v="56"/>
    <n v="3"/>
    <x v="0"/>
    <x v="1"/>
    <s v="None"/>
    <n v="16"/>
    <x v="43"/>
    <x v="0"/>
  </r>
  <r>
    <s v="HC-02578"/>
    <s v="P-1068"/>
    <s v="Male"/>
    <n v="39"/>
    <x v="0"/>
    <s v="General Consultation"/>
    <d v="2025-08-14T00:00:00"/>
    <d v="2025-09-04T00:00:00"/>
    <s v="Thursday"/>
    <s v="Afternoon"/>
    <x v="3"/>
    <n v="21"/>
    <n v="3"/>
    <x v="1"/>
    <x v="1"/>
    <s v="None"/>
    <n v="7.5"/>
    <x v="10"/>
    <x v="0"/>
  </r>
  <r>
    <s v="HC-02579"/>
    <s v="P-1282"/>
    <s v="Female"/>
    <n v="41"/>
    <x v="0"/>
    <s v="Specialist Consultation"/>
    <d v="2026-05-08T00:00:00"/>
    <d v="2026-06-14T00:00:00"/>
    <s v="Sunday"/>
    <s v="Afternoon"/>
    <x v="2"/>
    <n v="37"/>
    <n v="6"/>
    <x v="2"/>
    <x v="1"/>
    <s v="None"/>
    <n v="2.6"/>
    <x v="45"/>
    <x v="1"/>
  </r>
  <r>
    <s v="HC-02580"/>
    <s v="P-1610"/>
    <s v="Female"/>
    <n v="74"/>
    <x v="4"/>
    <s v="Specialist Consultation"/>
    <d v="2025-09-26T00:00:00"/>
    <d v="2025-11-07T00:00:00"/>
    <s v="Friday"/>
    <s v="Morning"/>
    <x v="2"/>
    <n v="42"/>
    <n v="5"/>
    <x v="1"/>
    <x v="0"/>
    <s v="Email"/>
    <n v="19"/>
    <x v="47"/>
    <x v="0"/>
  </r>
  <r>
    <s v="HC-02581"/>
    <s v="P-0360"/>
    <s v="Male"/>
    <n v="49"/>
    <x v="2"/>
    <s v="Follow-up"/>
    <d v="2025-07-29T00:00:00"/>
    <d v="2025-07-29T00:00:00"/>
    <s v="Tuesday"/>
    <s v="Morning"/>
    <x v="1"/>
    <n v="0"/>
    <n v="3"/>
    <x v="0"/>
    <x v="0"/>
    <s v="SMS"/>
    <n v="4.9000000000000004"/>
    <x v="3"/>
    <x v="1"/>
  </r>
  <r>
    <s v="HC-02582"/>
    <s v="P-0305"/>
    <s v="Male"/>
    <n v="63"/>
    <x v="3"/>
    <s v="General Consultation"/>
    <d v="2025-08-28T00:00:00"/>
    <d v="2025-09-10T00:00:00"/>
    <s v="Wednesday"/>
    <s v="Afternoon"/>
    <x v="0"/>
    <n v="13"/>
    <n v="1"/>
    <x v="0"/>
    <x v="0"/>
    <s v="WhatsApp"/>
    <n v="6"/>
    <x v="5"/>
    <x v="0"/>
  </r>
  <r>
    <s v="HC-02583"/>
    <s v="P-1085"/>
    <s v="Male"/>
    <n v="74"/>
    <x v="4"/>
    <s v="General Consultation"/>
    <d v="2025-04-29T00:00:00"/>
    <d v="2025-06-09T00:00:00"/>
    <s v="Monday"/>
    <s v="Morning"/>
    <x v="2"/>
    <n v="41"/>
    <n v="2"/>
    <x v="0"/>
    <x v="0"/>
    <s v="WhatsApp"/>
    <n v="6.9"/>
    <x v="7"/>
    <x v="2"/>
  </r>
  <r>
    <s v="HC-02584"/>
    <s v="P-1711"/>
    <s v="Female"/>
    <n v="76"/>
    <x v="4"/>
    <s v="Diagnostic Test"/>
    <d v="2025-12-07T00:00:00"/>
    <d v="2025-12-26T00:00:00"/>
    <s v="Friday"/>
    <s v="Afternoon"/>
    <x v="3"/>
    <n v="19"/>
    <n v="2"/>
    <x v="0"/>
    <x v="1"/>
    <s v="None"/>
    <n v="17.5"/>
    <x v="11"/>
    <x v="2"/>
  </r>
  <r>
    <s v="HC-02585"/>
    <s v="P-1035"/>
    <s v="Prefer not to say"/>
    <n v="71"/>
    <x v="4"/>
    <s v="Follow-up"/>
    <d v="2025-07-11T00:00:00"/>
    <d v="2025-07-11T00:00:00"/>
    <s v="Friday"/>
    <s v="Morning"/>
    <x v="1"/>
    <n v="0"/>
    <n v="3"/>
    <x v="1"/>
    <x v="1"/>
    <s v="None"/>
    <n v="26.3"/>
    <x v="22"/>
    <x v="0"/>
  </r>
  <r>
    <s v="HC-02586"/>
    <s v="P-1273"/>
    <s v="Male"/>
    <n v="75"/>
    <x v="4"/>
    <s v="Specialist Consultation"/>
    <d v="2025-10-29T00:00:00"/>
    <d v="2025-10-30T00:00:00"/>
    <s v="Thursday"/>
    <s v="Afternoon"/>
    <x v="1"/>
    <n v="1"/>
    <n v="4"/>
    <x v="1"/>
    <x v="0"/>
    <s v="WhatsApp"/>
    <n v="6.5"/>
    <x v="36"/>
    <x v="0"/>
  </r>
  <r>
    <s v="HC-02587"/>
    <s v="P-1549"/>
    <s v="Male"/>
    <n v="77"/>
    <x v="4"/>
    <s v="Follow-up"/>
    <d v="2025-06-01T00:00:00"/>
    <d v="2025-07-21T00:00:00"/>
    <s v="Monday"/>
    <s v="Morning"/>
    <x v="2"/>
    <n v="50"/>
    <n v="6"/>
    <x v="2"/>
    <x v="0"/>
    <s v="Email"/>
    <n v="6.6"/>
    <x v="37"/>
    <x v="1"/>
  </r>
  <r>
    <s v="HC-02588"/>
    <s v="P-0569"/>
    <s v="Female"/>
    <n v="80"/>
    <x v="4"/>
    <s v="Specialist Consultation"/>
    <d v="2025-06-16T00:00:00"/>
    <d v="2025-06-25T00:00:00"/>
    <s v="Wednesday"/>
    <s v="Afternoon"/>
    <x v="0"/>
    <n v="9"/>
    <n v="6"/>
    <x v="0"/>
    <x v="0"/>
    <s v="SMS"/>
    <n v="10.1"/>
    <x v="15"/>
    <x v="1"/>
  </r>
  <r>
    <s v="HC-02589"/>
    <s v="P-0719"/>
    <s v="Female"/>
    <n v="58"/>
    <x v="3"/>
    <s v="General Consultation"/>
    <d v="2026-06-08T00:00:00"/>
    <d v="2026-06-14T00:00:00"/>
    <s v="Sunday"/>
    <s v="Morning"/>
    <x v="1"/>
    <n v="6"/>
    <n v="2"/>
    <x v="1"/>
    <x v="1"/>
    <s v="None"/>
    <n v="3.9"/>
    <x v="1"/>
    <x v="1"/>
  </r>
  <r>
    <s v="HC-02590"/>
    <s v="P-1631"/>
    <s v="Female"/>
    <n v="26"/>
    <x v="1"/>
    <s v="Follow-up"/>
    <d v="2025-06-04T00:00:00"/>
    <d v="2025-07-08T00:00:00"/>
    <s v="Tuesday"/>
    <s v="Afternoon"/>
    <x v="2"/>
    <n v="34"/>
    <n v="1"/>
    <x v="0"/>
    <x v="0"/>
    <s v="SMS"/>
    <n v="12.2"/>
    <x v="23"/>
    <x v="2"/>
  </r>
  <r>
    <s v="HC-02591"/>
    <s v="P-0397"/>
    <s v="Male"/>
    <n v="25"/>
    <x v="1"/>
    <s v="Follow-up"/>
    <d v="2025-02-01T00:00:00"/>
    <d v="2025-02-08T00:00:00"/>
    <s v="Saturday"/>
    <s v="Morning"/>
    <x v="1"/>
    <n v="7"/>
    <n v="4"/>
    <x v="0"/>
    <x v="0"/>
    <s v="SMS"/>
    <m/>
    <x v="14"/>
    <x v="1"/>
  </r>
  <r>
    <s v="HC-02592"/>
    <s v="P-0189"/>
    <s v="Male"/>
    <n v="68"/>
    <x v="4"/>
    <s v="General Consultation"/>
    <d v="2025-06-17T00:00:00"/>
    <d v="2025-07-26T00:00:00"/>
    <s v="Saturday"/>
    <s v="Afternoon"/>
    <x v="2"/>
    <n v="39"/>
    <n v="4"/>
    <x v="1"/>
    <x v="0"/>
    <s v="SMS"/>
    <n v="10.3"/>
    <x v="6"/>
    <x v="0"/>
  </r>
  <r>
    <s v="HC-02593"/>
    <s v="P-0100"/>
    <s v="Female"/>
    <n v="37"/>
    <x v="0"/>
    <s v="General Consultation"/>
    <d v="2025-09-15T00:00:00"/>
    <d v="2025-10-18T00:00:00"/>
    <s v="Saturday"/>
    <s v="Morning"/>
    <x v="2"/>
    <n v="33"/>
    <n v="5"/>
    <x v="1"/>
    <x v="1"/>
    <s v="None"/>
    <n v="2.9"/>
    <x v="8"/>
    <x v="0"/>
  </r>
  <r>
    <s v="HC-02594"/>
    <s v="P-1611"/>
    <s v="Female"/>
    <n v="68"/>
    <x v="4"/>
    <s v="Follow-up"/>
    <d v="2025-01-13T00:00:00"/>
    <d v="2025-02-21T00:00:00"/>
    <s v="Friday"/>
    <s v="Afternoon"/>
    <x v="2"/>
    <n v="39"/>
    <n v="2"/>
    <x v="0"/>
    <x v="0"/>
    <s v="SMS"/>
    <n v="25.7"/>
    <x v="8"/>
    <x v="0"/>
  </r>
  <r>
    <s v="HC-02595"/>
    <s v="P-1320"/>
    <s v="Female"/>
    <n v="76"/>
    <x v="4"/>
    <s v="Specialist Consultation"/>
    <d v="2025-05-18T00:00:00"/>
    <d v="2025-06-16T00:00:00"/>
    <s v="Monday"/>
    <s v="Afternoon"/>
    <x v="3"/>
    <n v="29"/>
    <n v="5"/>
    <x v="2"/>
    <x v="0"/>
    <s v="Email"/>
    <n v="12.9"/>
    <x v="35"/>
    <x v="0"/>
  </r>
  <r>
    <s v="HC-02596"/>
    <s v="P-1190"/>
    <s v="Female"/>
    <n v="58"/>
    <x v="3"/>
    <s v="Follow-up"/>
    <d v="2025-02-13T00:00:00"/>
    <d v="2025-04-01T00:00:00"/>
    <s v="Tuesday"/>
    <s v="Evening"/>
    <x v="2"/>
    <n v="47"/>
    <n v="1"/>
    <x v="0"/>
    <x v="0"/>
    <s v="Email"/>
    <n v="23.5"/>
    <x v="26"/>
    <x v="0"/>
  </r>
  <r>
    <s v="HC-02597"/>
    <s v="P-0592"/>
    <s v="Male"/>
    <n v="66"/>
    <x v="4"/>
    <s v="General Consultation"/>
    <d v="2025-08-23T00:00:00"/>
    <d v="2025-10-01T00:00:00"/>
    <s v="Wednesday"/>
    <s v="Afternoon"/>
    <x v="2"/>
    <n v="39"/>
    <n v="6"/>
    <x v="1"/>
    <x v="0"/>
    <s v="Email"/>
    <n v="3.2"/>
    <x v="5"/>
    <x v="1"/>
  </r>
  <r>
    <s v="HC-02598"/>
    <s v="P-0916"/>
    <s v="Female"/>
    <n v="35"/>
    <x v="0"/>
    <s v="Diagnostic Test"/>
    <d v="2026-01-05T00:00:00"/>
    <d v="2026-01-30T00:00:00"/>
    <s v="Friday"/>
    <s v="Afternoon"/>
    <x v="3"/>
    <n v="25"/>
    <n v="2"/>
    <x v="0"/>
    <x v="0"/>
    <s v="SMS"/>
    <n v="4.3"/>
    <x v="30"/>
    <x v="1"/>
  </r>
  <r>
    <s v="HC-02599"/>
    <s v="P-0893"/>
    <s v="Female"/>
    <n v="45"/>
    <x v="2"/>
    <s v="General Consultation"/>
    <d v="2026-06-13T00:00:00"/>
    <d v="2026-06-13T00:00:00"/>
    <s v="Saturday"/>
    <s v="Afternoon"/>
    <x v="1"/>
    <n v="0"/>
    <n v="2"/>
    <x v="0"/>
    <x v="0"/>
    <s v="SMS"/>
    <n v="5.0999999999999996"/>
    <x v="36"/>
    <x v="1"/>
  </r>
  <r>
    <s v="HC-02600"/>
    <s v="P-1585"/>
    <s v="Female"/>
    <n v="78"/>
    <x v="4"/>
    <s v="General Consultation"/>
    <d v="2025-07-16T00:00:00"/>
    <d v="2025-08-01T00:00:00"/>
    <s v="Friday"/>
    <s v="Morning"/>
    <x v="3"/>
    <n v="16"/>
    <n v="1"/>
    <x v="0"/>
    <x v="0"/>
    <s v="WhatsApp"/>
    <n v="26.5"/>
    <x v="12"/>
    <x v="1"/>
  </r>
  <r>
    <s v="HC-02601"/>
    <s v="P-1752"/>
    <s v="Female"/>
    <n v="69"/>
    <x v="4"/>
    <s v="Diagnostic Test"/>
    <d v="2026-04-09T00:00:00"/>
    <d v="2026-04-17T00:00:00"/>
    <s v="Friday"/>
    <s v="Afternoon"/>
    <x v="0"/>
    <n v="8"/>
    <n v="3"/>
    <x v="1"/>
    <x v="0"/>
    <s v="Email"/>
    <n v="9.8000000000000007"/>
    <x v="12"/>
    <x v="1"/>
  </r>
  <r>
    <s v="HC-02602"/>
    <s v="P-0025"/>
    <s v="Male"/>
    <n v="30"/>
    <x v="1"/>
    <s v="Specialist Consultation"/>
    <d v="2025-04-28T00:00:00"/>
    <d v="2025-04-28T00:00:00"/>
    <s v="Monday"/>
    <s v="Morning"/>
    <x v="1"/>
    <n v="0"/>
    <n v="1"/>
    <x v="0"/>
    <x v="0"/>
    <s v="SMS"/>
    <n v="8.4"/>
    <x v="15"/>
    <x v="1"/>
  </r>
  <r>
    <s v="HC-02603"/>
    <s v="P-1098"/>
    <s v="Female"/>
    <n v="76"/>
    <x v="4"/>
    <s v="Diagnostic Test"/>
    <d v="2026-02-15T00:00:00"/>
    <d v="2026-03-03T00:00:00"/>
    <s v="Tuesday"/>
    <s v="Afternoon"/>
    <x v="3"/>
    <n v="16"/>
    <n v="2"/>
    <x v="0"/>
    <x v="0"/>
    <s v="WhatsApp"/>
    <n v="1"/>
    <x v="15"/>
    <x v="1"/>
  </r>
  <r>
    <s v="HC-02604"/>
    <s v="P-1002"/>
    <s v="Male"/>
    <n v="49"/>
    <x v="2"/>
    <s v="Specialist Consultation"/>
    <d v="2025-10-23T00:00:00"/>
    <d v="2025-11-04T00:00:00"/>
    <s v="Tuesday"/>
    <s v="Morning"/>
    <x v="0"/>
    <n v="12"/>
    <n v="3"/>
    <x v="0"/>
    <x v="0"/>
    <s v="SMS"/>
    <n v="6.6"/>
    <x v="24"/>
    <x v="1"/>
  </r>
  <r>
    <s v="HC-02605"/>
    <s v="P-1137"/>
    <s v="Male"/>
    <n v="71"/>
    <x v="4"/>
    <s v="Follow-up"/>
    <d v="2026-02-14T00:00:00"/>
    <d v="2026-02-18T00:00:00"/>
    <s v="Wednesday"/>
    <s v="Morning"/>
    <x v="1"/>
    <n v="4"/>
    <n v="1"/>
    <x v="0"/>
    <x v="1"/>
    <s v="None"/>
    <n v="7.5"/>
    <x v="14"/>
    <x v="0"/>
  </r>
  <r>
    <s v="HC-02606"/>
    <s v="P-0915"/>
    <s v="Male"/>
    <n v="50"/>
    <x v="2"/>
    <s v="General Consultation"/>
    <d v="2026-01-29T00:00:00"/>
    <d v="2026-02-17T00:00:00"/>
    <s v="Tuesday"/>
    <s v="Afternoon"/>
    <x v="3"/>
    <n v="19"/>
    <n v="2"/>
    <x v="0"/>
    <x v="0"/>
    <s v="WhatsApp"/>
    <n v="10.6"/>
    <x v="53"/>
    <x v="0"/>
  </r>
  <r>
    <s v="HC-02607"/>
    <s v="P-1739"/>
    <s v="Female"/>
    <n v="56"/>
    <x v="3"/>
    <s v="General Consultation"/>
    <d v="2025-09-18T00:00:00"/>
    <d v="2025-10-18T00:00:00"/>
    <s v="Saturday"/>
    <s v="Afternoon"/>
    <x v="3"/>
    <n v="30"/>
    <n v="8"/>
    <x v="2"/>
    <x v="0"/>
    <s v="SMS"/>
    <n v="26.8"/>
    <x v="8"/>
    <x v="1"/>
  </r>
  <r>
    <s v="HC-02608"/>
    <s v="P-0280"/>
    <s v="Male"/>
    <n v="28"/>
    <x v="1"/>
    <s v="Diagnostic Test"/>
    <d v="2025-05-11T00:00:00"/>
    <d v="2025-05-21T00:00:00"/>
    <s v="Wednesday"/>
    <s v="Morning"/>
    <x v="0"/>
    <n v="10"/>
    <n v="8"/>
    <x v="2"/>
    <x v="0"/>
    <s v="SMS"/>
    <n v="20.6"/>
    <x v="38"/>
    <x v="1"/>
  </r>
  <r>
    <s v="HC-02609"/>
    <s v="P-0388"/>
    <s v="Male"/>
    <n v="39"/>
    <x v="0"/>
    <s v="Specialist Consultation"/>
    <d v="2025-09-29T00:00:00"/>
    <d v="2025-10-15T00:00:00"/>
    <s v="Wednesday"/>
    <s v="Afternoon"/>
    <x v="3"/>
    <n v="16"/>
    <n v="2"/>
    <x v="1"/>
    <x v="1"/>
    <s v="None"/>
    <n v="7.2"/>
    <x v="50"/>
    <x v="1"/>
  </r>
  <r>
    <s v="HC-02610"/>
    <s v="P-0468"/>
    <s v="Female"/>
    <n v="63"/>
    <x v="3"/>
    <s v="General Consultation"/>
    <d v="2026-03-27T00:00:00"/>
    <d v="2026-03-28T00:00:00"/>
    <s v="Saturday"/>
    <s v="Afternoon"/>
    <x v="1"/>
    <n v="1"/>
    <n v="6"/>
    <x v="0"/>
    <x v="1"/>
    <s v="None"/>
    <n v="4.2"/>
    <x v="19"/>
    <x v="0"/>
  </r>
  <r>
    <s v="HC-02611"/>
    <s v="P-1253"/>
    <s v="Male"/>
    <n v="71"/>
    <x v="4"/>
    <s v="General Consultation"/>
    <d v="2026-06-11T00:00:00"/>
    <d v="2026-06-14T00:00:00"/>
    <s v="Sunday"/>
    <s v="Morning"/>
    <x v="1"/>
    <n v="3"/>
    <n v="5"/>
    <x v="1"/>
    <x v="0"/>
    <s v="Email"/>
    <n v="7.1"/>
    <x v="0"/>
    <x v="2"/>
  </r>
  <r>
    <s v="HC-02612"/>
    <s v="P-0332"/>
    <s v="Female"/>
    <n v="23"/>
    <x v="5"/>
    <s v="General Consultation"/>
    <d v="2026-05-13T00:00:00"/>
    <d v="2026-05-22T00:00:00"/>
    <s v="Friday"/>
    <s v="Morning"/>
    <x v="0"/>
    <n v="9"/>
    <n v="2"/>
    <x v="0"/>
    <x v="0"/>
    <s v="SMS"/>
    <n v="9.1999999999999993"/>
    <x v="47"/>
    <x v="2"/>
  </r>
  <r>
    <s v="HC-02613"/>
    <s v="P-0509"/>
    <s v="Female"/>
    <n v="22"/>
    <x v="5"/>
    <s v="General Consultation"/>
    <d v="2025-03-14T00:00:00"/>
    <d v="2025-04-10T00:00:00"/>
    <s v="Thursday"/>
    <s v="Evening"/>
    <x v="3"/>
    <n v="27"/>
    <n v="5"/>
    <x v="2"/>
    <x v="0"/>
    <s v="WhatsApp"/>
    <n v="12.6"/>
    <x v="23"/>
    <x v="1"/>
  </r>
  <r>
    <s v="HC-02614"/>
    <s v="P-0444"/>
    <s v="Female"/>
    <n v="61"/>
    <x v="3"/>
    <s v="Specialist Consultation"/>
    <d v="2025-10-14T00:00:00"/>
    <d v="2025-11-23T00:00:00"/>
    <s v="Sunday"/>
    <s v="Evening"/>
    <x v="2"/>
    <n v="40"/>
    <n v="3"/>
    <x v="0"/>
    <x v="0"/>
    <s v="SMS"/>
    <n v="0.5"/>
    <x v="1"/>
    <x v="1"/>
  </r>
  <r>
    <s v="HC-02615"/>
    <s v="P-0464"/>
    <s v="Male"/>
    <n v="46"/>
    <x v="2"/>
    <s v="General Consultation"/>
    <d v="2025-01-10T00:00:00"/>
    <d v="2025-02-27T00:00:00"/>
    <s v="Thursday"/>
    <s v="Morning"/>
    <x v="2"/>
    <n v="48"/>
    <n v="4"/>
    <x v="0"/>
    <x v="0"/>
    <s v="WhatsApp"/>
    <m/>
    <x v="10"/>
    <x v="1"/>
  </r>
  <r>
    <s v="HC-02616"/>
    <s v="P-1267"/>
    <s v="Female"/>
    <n v="71"/>
    <x v="4"/>
    <s v="Follow-up"/>
    <d v="2025-11-24T00:00:00"/>
    <d v="2026-01-01T00:00:00"/>
    <s v="Thursday"/>
    <s v="Afternoon"/>
    <x v="2"/>
    <n v="38"/>
    <n v="1"/>
    <x v="1"/>
    <x v="0"/>
    <s v="SMS"/>
    <n v="7.6"/>
    <x v="23"/>
    <x v="0"/>
  </r>
  <r>
    <s v="HC-02617"/>
    <s v="P-0321"/>
    <s v="Female"/>
    <n v="22"/>
    <x v="5"/>
    <s v="Diagnostic Test"/>
    <d v="2026-05-20T00:00:00"/>
    <d v="2026-06-26T00:00:00"/>
    <s v="Friday"/>
    <s v="Morning"/>
    <x v="2"/>
    <n v="37"/>
    <n v="2"/>
    <x v="0"/>
    <x v="0"/>
    <s v="WhatsApp"/>
    <n v="7"/>
    <x v="23"/>
    <x v="1"/>
  </r>
  <r>
    <s v="HC-02618"/>
    <s v="P-1738"/>
    <s v="Female"/>
    <n v="40"/>
    <x v="0"/>
    <s v="Follow-up"/>
    <d v="2024-12-03T00:00:00"/>
    <d v="2025-01-29T00:00:00"/>
    <s v="Wednesday"/>
    <s v="Evening"/>
    <x v="2"/>
    <n v="57"/>
    <n v="2"/>
    <x v="2"/>
    <x v="0"/>
    <s v="WhatsApp"/>
    <n v="26.7"/>
    <x v="26"/>
    <x v="0"/>
  </r>
  <r>
    <s v="HC-02619"/>
    <s v="P-0185"/>
    <s v="Female"/>
    <n v="20"/>
    <x v="5"/>
    <s v="Follow-up"/>
    <d v="2025-12-10T00:00:00"/>
    <d v="2025-12-25T00:00:00"/>
    <s v="Thursday"/>
    <s v="Morning"/>
    <x v="3"/>
    <n v="15"/>
    <n v="3"/>
    <x v="1"/>
    <x v="0"/>
    <s v="SMS"/>
    <n v="7.9"/>
    <x v="25"/>
    <x v="0"/>
  </r>
  <r>
    <s v="HC-02620"/>
    <s v="P-1170"/>
    <s v="Female"/>
    <n v="62"/>
    <x v="3"/>
    <s v="General Consultation"/>
    <d v="2026-04-14T00:00:00"/>
    <d v="2026-06-01T00:00:00"/>
    <s v="Monday"/>
    <s v="Morning"/>
    <x v="2"/>
    <n v="48"/>
    <n v="2"/>
    <x v="0"/>
    <x v="0"/>
    <s v="Email"/>
    <n v="8.6999999999999993"/>
    <x v="17"/>
    <x v="1"/>
  </r>
  <r>
    <s v="HC-02621"/>
    <s v="P-0042"/>
    <s v="Male"/>
    <n v="72"/>
    <x v="4"/>
    <s v="General Consultation"/>
    <d v="2026-02-10T00:00:00"/>
    <d v="2026-04-08T00:00:00"/>
    <s v="Wednesday"/>
    <s v="Morning"/>
    <x v="2"/>
    <n v="57"/>
    <n v="1"/>
    <x v="0"/>
    <x v="0"/>
    <s v="SMS"/>
    <n v="24.7"/>
    <x v="19"/>
    <x v="0"/>
  </r>
  <r>
    <s v="HC-02622"/>
    <s v="P-0994"/>
    <s v="Female"/>
    <n v="27"/>
    <x v="1"/>
    <s v="General Consultation"/>
    <d v="2025-06-30T00:00:00"/>
    <d v="2025-08-03T00:00:00"/>
    <s v="Sunday"/>
    <s v="Afternoon"/>
    <x v="2"/>
    <n v="34"/>
    <n v="0"/>
    <x v="0"/>
    <x v="1"/>
    <s v="None"/>
    <n v="20.399999999999999"/>
    <x v="21"/>
    <x v="1"/>
  </r>
  <r>
    <s v="HC-02623"/>
    <s v="P-0048"/>
    <s v="Male"/>
    <n v="38"/>
    <x v="0"/>
    <s v="General Consultation"/>
    <d v="2025-01-06T00:00:00"/>
    <d v="2025-02-26T00:00:00"/>
    <s v="Wednesday"/>
    <s v="Morning"/>
    <x v="2"/>
    <n v="51"/>
    <n v="1"/>
    <x v="0"/>
    <x v="0"/>
    <s v="SMS"/>
    <n v="18.600000000000001"/>
    <x v="31"/>
    <x v="1"/>
  </r>
  <r>
    <s v="HC-02624"/>
    <s v="P-0887"/>
    <s v="Male"/>
    <n v="71"/>
    <x v="4"/>
    <s v="General Consultation"/>
    <d v="2026-05-12T00:00:00"/>
    <d v="2026-05-20T00:00:00"/>
    <s v="Wednesday"/>
    <s v="Afternoon"/>
    <x v="0"/>
    <n v="8"/>
    <n v="3"/>
    <x v="0"/>
    <x v="0"/>
    <s v="WhatsApp"/>
    <n v="10.3"/>
    <x v="18"/>
    <x v="1"/>
  </r>
  <r>
    <s v="HC-02625"/>
    <s v="P-0392"/>
    <s v="Male"/>
    <n v="20"/>
    <x v="5"/>
    <s v="General Consultation"/>
    <d v="2026-03-27T00:00:00"/>
    <d v="2026-05-19T00:00:00"/>
    <s v="Tuesday"/>
    <s v="Afternoon"/>
    <x v="2"/>
    <n v="53"/>
    <n v="5"/>
    <x v="0"/>
    <x v="1"/>
    <s v="None"/>
    <n v="6.3"/>
    <x v="8"/>
    <x v="1"/>
  </r>
  <r>
    <s v="HC-02626"/>
    <s v="P-0252"/>
    <s v="Male"/>
    <n v="77"/>
    <x v="4"/>
    <s v="General Consultation"/>
    <d v="2025-10-10T00:00:00"/>
    <d v="2025-11-13T00:00:00"/>
    <s v="Thursday"/>
    <s v="Afternoon"/>
    <x v="2"/>
    <n v="34"/>
    <n v="4"/>
    <x v="0"/>
    <x v="0"/>
    <s v="Email"/>
    <n v="4.0999999999999996"/>
    <x v="12"/>
    <x v="2"/>
  </r>
  <r>
    <s v="HC-02627"/>
    <s v="P-0515"/>
    <s v="Female"/>
    <n v="73"/>
    <x v="4"/>
    <s v="General Consultation"/>
    <d v="2026-06-06T00:00:00"/>
    <d v="2026-06-19T00:00:00"/>
    <s v="Friday"/>
    <s v="Afternoon"/>
    <x v="0"/>
    <n v="13"/>
    <n v="1"/>
    <x v="0"/>
    <x v="0"/>
    <s v="WhatsApp"/>
    <n v="16.100000000000001"/>
    <x v="17"/>
    <x v="1"/>
  </r>
  <r>
    <s v="HC-02628"/>
    <s v="P-1351"/>
    <s v="Male"/>
    <n v="27"/>
    <x v="1"/>
    <s v="Diagnostic Test"/>
    <d v="2024-12-31T00:00:00"/>
    <d v="2025-01-03T00:00:00"/>
    <s v="Friday"/>
    <s v="Morning"/>
    <x v="1"/>
    <n v="3"/>
    <n v="2"/>
    <x v="0"/>
    <x v="0"/>
    <s v="SMS"/>
    <n v="23.4"/>
    <x v="36"/>
    <x v="1"/>
  </r>
  <r>
    <s v="HC-02629"/>
    <s v="P-0526"/>
    <s v="Female"/>
    <n v="26"/>
    <x v="1"/>
    <s v="General Consultation"/>
    <d v="2025-10-21T00:00:00"/>
    <d v="2025-12-03T00:00:00"/>
    <s v="Wednesday"/>
    <s v="Morning"/>
    <x v="2"/>
    <n v="43"/>
    <n v="4"/>
    <x v="1"/>
    <x v="0"/>
    <s v="SMS"/>
    <n v="12.6"/>
    <x v="28"/>
    <x v="2"/>
  </r>
  <r>
    <s v="HC-02630"/>
    <s v="P-1642"/>
    <s v="Female"/>
    <n v="61"/>
    <x v="3"/>
    <s v="General Consultation"/>
    <d v="2024-12-27T00:00:00"/>
    <d v="2025-01-22T00:00:00"/>
    <s v="Wednesday"/>
    <s v="Morning"/>
    <x v="3"/>
    <n v="26"/>
    <n v="2"/>
    <x v="1"/>
    <x v="0"/>
    <s v="Email"/>
    <n v="3.6"/>
    <x v="36"/>
    <x v="1"/>
  </r>
  <r>
    <s v="HC-02631"/>
    <s v="P-1558"/>
    <s v="Female"/>
    <n v="18"/>
    <x v="5"/>
    <s v="Specialist Consultation"/>
    <d v="2026-05-08T00:00:00"/>
    <d v="2026-05-26T00:00:00"/>
    <s v="Tuesday"/>
    <s v="Afternoon"/>
    <x v="3"/>
    <n v="18"/>
    <n v="4"/>
    <x v="1"/>
    <x v="1"/>
    <s v="None"/>
    <n v="9.8000000000000007"/>
    <x v="3"/>
    <x v="1"/>
  </r>
  <r>
    <s v="HC-02632"/>
    <s v="P-0672"/>
    <s v="Male"/>
    <n v="49"/>
    <x v="2"/>
    <s v="General Consultation"/>
    <d v="2025-12-15T00:00:00"/>
    <d v="2026-01-07T00:00:00"/>
    <s v="Wednesday"/>
    <s v="Morning"/>
    <x v="3"/>
    <n v="23"/>
    <n v="3"/>
    <x v="1"/>
    <x v="0"/>
    <s v="SMS"/>
    <n v="18.2"/>
    <x v="3"/>
    <x v="0"/>
  </r>
  <r>
    <s v="HC-02633"/>
    <s v="P-0811"/>
    <s v="Male"/>
    <n v="22"/>
    <x v="5"/>
    <s v="Follow-up"/>
    <d v="2026-03-15T00:00:00"/>
    <d v="2026-05-14T00:00:00"/>
    <s v="Thursday"/>
    <s v="Afternoon"/>
    <x v="2"/>
    <n v="60"/>
    <n v="3"/>
    <x v="0"/>
    <x v="1"/>
    <s v="None"/>
    <n v="4.4000000000000004"/>
    <x v="51"/>
    <x v="0"/>
  </r>
  <r>
    <s v="HC-02634"/>
    <s v="P-0210"/>
    <s v="Female"/>
    <n v="51"/>
    <x v="2"/>
    <s v="Specialist Consultation"/>
    <d v="2025-10-09T00:00:00"/>
    <d v="2025-11-04T00:00:00"/>
    <s v="Tuesday"/>
    <s v="Afternoon"/>
    <x v="3"/>
    <n v="26"/>
    <n v="5"/>
    <x v="2"/>
    <x v="0"/>
    <s v="SMS"/>
    <n v="4.5999999999999996"/>
    <x v="18"/>
    <x v="0"/>
  </r>
  <r>
    <s v="HC-02635"/>
    <s v="P-0007"/>
    <s v="Male"/>
    <n v="40"/>
    <x v="0"/>
    <s v="Follow-up"/>
    <d v="2025-02-11T00:00:00"/>
    <d v="2025-02-15T00:00:00"/>
    <s v="Saturday"/>
    <s v="Afternoon"/>
    <x v="1"/>
    <n v="4"/>
    <n v="2"/>
    <x v="0"/>
    <x v="0"/>
    <s v="Email"/>
    <n v="12"/>
    <x v="2"/>
    <x v="0"/>
  </r>
  <r>
    <s v="HC-02636"/>
    <s v="P-1257"/>
    <s v="Female"/>
    <n v="62"/>
    <x v="3"/>
    <s v="General Consultation"/>
    <d v="2024-12-29T00:00:00"/>
    <d v="2025-01-15T00:00:00"/>
    <s v="Wednesday"/>
    <s v="Afternoon"/>
    <x v="3"/>
    <n v="17"/>
    <n v="3"/>
    <x v="1"/>
    <x v="0"/>
    <s v="SMS"/>
    <n v="12.7"/>
    <x v="18"/>
    <x v="1"/>
  </r>
  <r>
    <s v="HC-02637"/>
    <s v="P-1482"/>
    <s v="Female"/>
    <n v="73"/>
    <x v="4"/>
    <s v="Specialist Consultation"/>
    <d v="2025-06-25T00:00:00"/>
    <d v="2025-07-03T00:00:00"/>
    <s v="Thursday"/>
    <s v="Morning"/>
    <x v="0"/>
    <n v="8"/>
    <n v="3"/>
    <x v="1"/>
    <x v="0"/>
    <s v="WhatsApp"/>
    <n v="11.6"/>
    <x v="14"/>
    <x v="1"/>
  </r>
  <r>
    <s v="HC-02638"/>
    <s v="P-1343"/>
    <s v="Female"/>
    <n v="48"/>
    <x v="2"/>
    <s v="Follow-up"/>
    <d v="2025-12-31T00:00:00"/>
    <d v="2026-02-10T00:00:00"/>
    <s v="Tuesday"/>
    <s v="Morning"/>
    <x v="2"/>
    <n v="41"/>
    <n v="3"/>
    <x v="1"/>
    <x v="0"/>
    <s v="WhatsApp"/>
    <n v="19.7"/>
    <x v="23"/>
    <x v="0"/>
  </r>
  <r>
    <s v="HC-02639"/>
    <s v="P-1149"/>
    <s v="Male"/>
    <n v="58"/>
    <x v="3"/>
    <s v="General Consultation"/>
    <d v="2025-02-04T00:00:00"/>
    <d v="2025-03-24T00:00:00"/>
    <s v="Monday"/>
    <s v="Afternoon"/>
    <x v="2"/>
    <n v="48"/>
    <n v="3"/>
    <x v="0"/>
    <x v="0"/>
    <s v="WhatsApp"/>
    <n v="8.6"/>
    <x v="0"/>
    <x v="0"/>
  </r>
  <r>
    <s v="HC-02640"/>
    <s v="P-0256"/>
    <s v="Female"/>
    <n v="55"/>
    <x v="3"/>
    <s v="General Consultation"/>
    <d v="2026-02-19T00:00:00"/>
    <d v="2026-04-11T00:00:00"/>
    <s v="Saturday"/>
    <s v="Morning"/>
    <x v="2"/>
    <n v="51"/>
    <n v="3"/>
    <x v="0"/>
    <x v="0"/>
    <s v="Email"/>
    <n v="5.9"/>
    <x v="24"/>
    <x v="0"/>
  </r>
  <r>
    <s v="HC-02641"/>
    <s v="P-1180"/>
    <s v="Female"/>
    <n v="80"/>
    <x v="4"/>
    <s v="General Consultation"/>
    <d v="2025-04-03T00:00:00"/>
    <d v="2025-05-11T00:00:00"/>
    <s v="Sunday"/>
    <s v="Afternoon"/>
    <x v="2"/>
    <n v="38"/>
    <n v="2"/>
    <x v="1"/>
    <x v="1"/>
    <s v="None"/>
    <n v="15.3"/>
    <x v="32"/>
    <x v="0"/>
  </r>
  <r>
    <s v="HC-02642"/>
    <s v="P-0435"/>
    <s v="Female"/>
    <n v="32"/>
    <x v="1"/>
    <s v="Specialist Consultation"/>
    <d v="2025-08-14T00:00:00"/>
    <d v="2025-09-29T00:00:00"/>
    <s v="Monday"/>
    <s v="Evening"/>
    <x v="2"/>
    <n v="46"/>
    <n v="3"/>
    <x v="1"/>
    <x v="0"/>
    <s v="SMS"/>
    <n v="30.2"/>
    <x v="31"/>
    <x v="0"/>
  </r>
  <r>
    <s v="HC-02643"/>
    <s v="P-1608"/>
    <s v="Male"/>
    <n v="33"/>
    <x v="1"/>
    <s v="General Consultation"/>
    <d v="2025-03-27T00:00:00"/>
    <d v="2025-04-21T00:00:00"/>
    <s v="Monday"/>
    <s v="Morning"/>
    <x v="3"/>
    <n v="25"/>
    <n v="0"/>
    <x v="0"/>
    <x v="1"/>
    <s v="None"/>
    <n v="6.2"/>
    <x v="10"/>
    <x v="1"/>
  </r>
  <r>
    <s v="HC-02644"/>
    <s v="P-0613"/>
    <s v="Male"/>
    <n v="41"/>
    <x v="0"/>
    <s v="General Consultation"/>
    <d v="2025-08-05T00:00:00"/>
    <d v="2025-09-12T00:00:00"/>
    <s v="Friday"/>
    <s v="Morning"/>
    <x v="2"/>
    <n v="38"/>
    <n v="3"/>
    <x v="0"/>
    <x v="0"/>
    <s v="WhatsApp"/>
    <n v="14"/>
    <x v="49"/>
    <x v="0"/>
  </r>
  <r>
    <s v="HC-02645"/>
    <s v="P-0084"/>
    <s v="Female"/>
    <n v="64"/>
    <x v="3"/>
    <s v="Follow-up"/>
    <d v="2025-08-29T00:00:00"/>
    <d v="2025-09-04T00:00:00"/>
    <s v="Thursday"/>
    <s v="Morning"/>
    <x v="1"/>
    <n v="6"/>
    <n v="2"/>
    <x v="0"/>
    <x v="0"/>
    <s v="Email"/>
    <m/>
    <x v="47"/>
    <x v="1"/>
  </r>
  <r>
    <s v="HC-02646"/>
    <s v="P-0583"/>
    <s v="Male"/>
    <n v="72"/>
    <x v="4"/>
    <s v="Diagnostic Test"/>
    <d v="2024-12-02T00:00:00"/>
    <d v="2025-01-03T00:00:00"/>
    <s v="Friday"/>
    <s v="Morning"/>
    <x v="2"/>
    <n v="32"/>
    <n v="3"/>
    <x v="2"/>
    <x v="0"/>
    <s v="SMS"/>
    <n v="10.8"/>
    <x v="21"/>
    <x v="0"/>
  </r>
  <r>
    <s v="HC-02647"/>
    <s v="P-0753"/>
    <s v="Male"/>
    <n v="35"/>
    <x v="0"/>
    <s v="General Consultation"/>
    <d v="2025-10-04T00:00:00"/>
    <d v="2025-11-07T00:00:00"/>
    <s v="Friday"/>
    <s v="Evening"/>
    <x v="2"/>
    <n v="34"/>
    <n v="0"/>
    <x v="0"/>
    <x v="0"/>
    <s v="Email"/>
    <n v="3.7"/>
    <x v="23"/>
    <x v="0"/>
  </r>
  <r>
    <s v="HC-02648"/>
    <s v="P-0497"/>
    <s v="Female"/>
    <n v="24"/>
    <x v="5"/>
    <s v="General Consultation"/>
    <d v="2026-03-05T00:00:00"/>
    <d v="2026-03-06T00:00:00"/>
    <s v="Friday"/>
    <s v="Evening"/>
    <x v="1"/>
    <n v="1"/>
    <n v="7"/>
    <x v="2"/>
    <x v="1"/>
    <s v="None"/>
    <n v="11"/>
    <x v="0"/>
    <x v="0"/>
  </r>
  <r>
    <s v="HC-02649"/>
    <s v="P-0217"/>
    <s v="Female"/>
    <n v="56"/>
    <x v="3"/>
    <s v="General Consultation"/>
    <d v="2026-04-24T00:00:00"/>
    <d v="2026-05-27T00:00:00"/>
    <s v="Wednesday"/>
    <s v="Morning"/>
    <x v="2"/>
    <n v="33"/>
    <n v="2"/>
    <x v="0"/>
    <x v="0"/>
    <s v="Email"/>
    <n v="12.2"/>
    <x v="47"/>
    <x v="1"/>
  </r>
  <r>
    <s v="HC-02650"/>
    <s v="P-1056"/>
    <s v="Male"/>
    <n v="55"/>
    <x v="3"/>
    <s v="Follow-up"/>
    <d v="2025-05-17T00:00:00"/>
    <d v="2025-06-30T00:00:00"/>
    <s v="Monday"/>
    <s v="Evening"/>
    <x v="2"/>
    <n v="44"/>
    <n v="4"/>
    <x v="1"/>
    <x v="0"/>
    <s v="SMS"/>
    <n v="7.3"/>
    <x v="0"/>
    <x v="1"/>
  </r>
  <r>
    <s v="HC-02651"/>
    <s v="P-0520"/>
    <s v="Female"/>
    <n v="41"/>
    <x v="0"/>
    <s v="Follow-up"/>
    <d v="2026-04-04T00:00:00"/>
    <d v="2026-04-26T00:00:00"/>
    <s v="Sunday"/>
    <s v="Morning"/>
    <x v="3"/>
    <n v="22"/>
    <n v="4"/>
    <x v="0"/>
    <x v="1"/>
    <s v="None"/>
    <n v="7.2"/>
    <x v="25"/>
    <x v="1"/>
  </r>
  <r>
    <s v="HC-02652"/>
    <s v="P-1533"/>
    <s v="Female"/>
    <n v="29"/>
    <x v="1"/>
    <s v="Diagnostic Test"/>
    <d v="2026-03-23T00:00:00"/>
    <d v="2026-04-25T00:00:00"/>
    <s v="Saturday"/>
    <s v="Evening"/>
    <x v="2"/>
    <n v="33"/>
    <n v="2"/>
    <x v="0"/>
    <x v="0"/>
    <s v="SMS"/>
    <n v="2.9"/>
    <x v="17"/>
    <x v="1"/>
  </r>
  <r>
    <s v="HC-02653"/>
    <s v="P-0835"/>
    <s v="Male"/>
    <n v="71"/>
    <x v="4"/>
    <s v="General Consultation"/>
    <d v="2026-06-07T00:00:00"/>
    <d v="2026-06-24T00:00:00"/>
    <s v="Wednesday"/>
    <s v="Afternoon"/>
    <x v="3"/>
    <n v="17"/>
    <n v="3"/>
    <x v="0"/>
    <x v="0"/>
    <s v="WhatsApp"/>
    <n v="5.2"/>
    <x v="20"/>
    <x v="1"/>
  </r>
  <r>
    <s v="HC-02654"/>
    <s v="P-1057"/>
    <s v="Male"/>
    <n v="71"/>
    <x v="4"/>
    <s v="General Consultation"/>
    <d v="2025-07-07T00:00:00"/>
    <d v="2025-07-23T00:00:00"/>
    <s v="Wednesday"/>
    <s v="Morning"/>
    <x v="3"/>
    <n v="16"/>
    <n v="1"/>
    <x v="1"/>
    <x v="0"/>
    <s v="Email"/>
    <n v="5.7"/>
    <x v="19"/>
    <x v="0"/>
  </r>
  <r>
    <s v="HC-02655"/>
    <s v="P-0249"/>
    <s v="Male"/>
    <n v="65"/>
    <x v="4"/>
    <s v="General Consultation"/>
    <d v="2026-04-03T00:00:00"/>
    <d v="2026-04-10T00:00:00"/>
    <s v="Friday"/>
    <s v="Afternoon"/>
    <x v="1"/>
    <n v="7"/>
    <n v="2"/>
    <x v="1"/>
    <x v="0"/>
    <s v="SMS"/>
    <n v="4.5999999999999996"/>
    <x v="37"/>
    <x v="1"/>
  </r>
  <r>
    <s v="HC-02656"/>
    <s v="P-0290"/>
    <s v="Male"/>
    <n v="54"/>
    <x v="2"/>
    <s v="General Consultation"/>
    <d v="2025-10-17T00:00:00"/>
    <d v="2025-11-05T00:00:00"/>
    <s v="Wednesday"/>
    <s v="Afternoon"/>
    <x v="3"/>
    <n v="19"/>
    <n v="2"/>
    <x v="0"/>
    <x v="0"/>
    <s v="SMS"/>
    <n v="8.1999999999999993"/>
    <x v="28"/>
    <x v="1"/>
  </r>
  <r>
    <s v="HC-02657"/>
    <s v="P-1364"/>
    <s v="Female"/>
    <n v="34"/>
    <x v="1"/>
    <s v="Follow-up"/>
    <d v="2024-12-15T00:00:00"/>
    <d v="2025-02-01T00:00:00"/>
    <s v="Saturday"/>
    <s v="Morning"/>
    <x v="2"/>
    <n v="48"/>
    <n v="2"/>
    <x v="2"/>
    <x v="0"/>
    <s v="SMS"/>
    <n v="16.8"/>
    <x v="8"/>
    <x v="0"/>
  </r>
  <r>
    <s v="HC-02658"/>
    <s v="P-0255"/>
    <s v="Male"/>
    <n v="43"/>
    <x v="0"/>
    <s v="Specialist Consultation"/>
    <d v="2025-04-01T00:00:00"/>
    <d v="2025-05-28T00:00:00"/>
    <s v="Wednesday"/>
    <s v="Morning"/>
    <x v="2"/>
    <n v="57"/>
    <n v="4"/>
    <x v="0"/>
    <x v="0"/>
    <s v="SMS"/>
    <n v="5.6"/>
    <x v="24"/>
    <x v="1"/>
  </r>
  <r>
    <s v="HC-02659"/>
    <s v="P-1437"/>
    <s v="Female"/>
    <n v="22"/>
    <x v="5"/>
    <s v="General Consultation"/>
    <d v="2025-11-25T00:00:00"/>
    <d v="2026-01-02T00:00:00"/>
    <s v="Friday"/>
    <s v="Afternoon"/>
    <x v="2"/>
    <n v="38"/>
    <n v="3"/>
    <x v="1"/>
    <x v="0"/>
    <s v="Email"/>
    <n v="22.3"/>
    <x v="31"/>
    <x v="0"/>
  </r>
  <r>
    <s v="HC-02660"/>
    <s v="P-1741"/>
    <s v="Male"/>
    <n v="33"/>
    <x v="1"/>
    <s v="Specialist Consultation"/>
    <d v="2025-02-19T00:00:00"/>
    <d v="2025-03-29T00:00:00"/>
    <s v="Saturday"/>
    <s v="Morning"/>
    <x v="2"/>
    <n v="38"/>
    <n v="3"/>
    <x v="0"/>
    <x v="0"/>
    <s v="SMS"/>
    <n v="11.8"/>
    <x v="26"/>
    <x v="1"/>
  </r>
  <r>
    <s v="HC-02661"/>
    <s v="P-0665"/>
    <s v="Female"/>
    <n v="46"/>
    <x v="2"/>
    <s v="General Consultation"/>
    <d v="2025-07-20T00:00:00"/>
    <d v="2025-08-26T00:00:00"/>
    <s v="Tuesday"/>
    <s v="Morning"/>
    <x v="2"/>
    <n v="37"/>
    <n v="4"/>
    <x v="0"/>
    <x v="0"/>
    <s v="SMS"/>
    <n v="36.5"/>
    <x v="5"/>
    <x v="0"/>
  </r>
  <r>
    <s v="HC-02662"/>
    <s v="P-0016"/>
    <s v="Female"/>
    <n v="45"/>
    <x v="2"/>
    <s v="Follow-up"/>
    <d v="2026-01-30T00:00:00"/>
    <d v="2026-02-28T00:00:00"/>
    <s v="Saturday"/>
    <s v="Morning"/>
    <x v="3"/>
    <n v="29"/>
    <n v="1"/>
    <x v="0"/>
    <x v="0"/>
    <s v="SMS"/>
    <n v="14.1"/>
    <x v="13"/>
    <x v="0"/>
  </r>
  <r>
    <s v="HC-02663"/>
    <s v="P-1184"/>
    <s v="Female"/>
    <n v="23"/>
    <x v="5"/>
    <s v="General Consultation"/>
    <d v="2025-02-26T00:00:00"/>
    <d v="2025-03-23T00:00:00"/>
    <s v="Sunday"/>
    <s v="Afternoon"/>
    <x v="3"/>
    <n v="25"/>
    <n v="4"/>
    <x v="2"/>
    <x v="0"/>
    <s v="WhatsApp"/>
    <n v="2.5"/>
    <x v="20"/>
    <x v="0"/>
  </r>
  <r>
    <s v="HC-02664"/>
    <s v="P-1683"/>
    <s v="Male"/>
    <n v="78"/>
    <x v="4"/>
    <s v="Follow-up"/>
    <d v="2025-08-23T00:00:00"/>
    <d v="2025-09-29T00:00:00"/>
    <s v="Monday"/>
    <s v="Morning"/>
    <x v="2"/>
    <n v="37"/>
    <n v="2"/>
    <x v="1"/>
    <x v="1"/>
    <s v="None"/>
    <n v="19.899999999999999"/>
    <x v="45"/>
    <x v="0"/>
  </r>
  <r>
    <s v="HC-02665"/>
    <s v="P-0911"/>
    <s v="Female"/>
    <n v="34"/>
    <x v="1"/>
    <s v="General Consultation"/>
    <d v="2025-03-12T00:00:00"/>
    <d v="2025-04-28T00:00:00"/>
    <s v="Monday"/>
    <s v="Afternoon"/>
    <x v="2"/>
    <n v="47"/>
    <n v="4"/>
    <x v="0"/>
    <x v="1"/>
    <s v="None"/>
    <m/>
    <x v="12"/>
    <x v="1"/>
  </r>
  <r>
    <s v="HC-02666"/>
    <s v="P-0838"/>
    <s v="Male"/>
    <n v="50"/>
    <x v="2"/>
    <s v="Diagnostic Test"/>
    <d v="2025-09-25T00:00:00"/>
    <d v="2025-10-20T00:00:00"/>
    <s v="Monday"/>
    <s v="Morning"/>
    <x v="3"/>
    <n v="25"/>
    <n v="4"/>
    <x v="2"/>
    <x v="0"/>
    <s v="SMS"/>
    <n v="2.1"/>
    <x v="8"/>
    <x v="0"/>
  </r>
  <r>
    <s v="HC-02667"/>
    <s v="P-1377"/>
    <s v="Female"/>
    <n v="47"/>
    <x v="2"/>
    <s v="Diagnostic Test"/>
    <d v="2025-04-08T00:00:00"/>
    <d v="2025-05-12T00:00:00"/>
    <s v="Monday"/>
    <s v="Morning"/>
    <x v="2"/>
    <n v="34"/>
    <n v="1"/>
    <x v="0"/>
    <x v="0"/>
    <s v="WhatsApp"/>
    <n v="16.8"/>
    <x v="19"/>
    <x v="0"/>
  </r>
  <r>
    <s v="HC-02668"/>
    <s v="P-0011"/>
    <s v="Female"/>
    <n v="47"/>
    <x v="2"/>
    <s v="Specialist Consultation"/>
    <d v="2026-05-15T00:00:00"/>
    <d v="2026-06-12T00:00:00"/>
    <s v="Friday"/>
    <s v="Afternoon"/>
    <x v="3"/>
    <n v="28"/>
    <n v="3"/>
    <x v="1"/>
    <x v="1"/>
    <s v="None"/>
    <n v="28"/>
    <x v="7"/>
    <x v="0"/>
  </r>
  <r>
    <s v="HC-02669"/>
    <s v="P-0606"/>
    <s v="Male"/>
    <n v="71"/>
    <x v="4"/>
    <s v="Diagnostic Test"/>
    <d v="2025-01-25T00:00:00"/>
    <d v="2025-02-11T00:00:00"/>
    <s v="Tuesday"/>
    <s v="Morning"/>
    <x v="3"/>
    <n v="17"/>
    <n v="1"/>
    <x v="0"/>
    <x v="0"/>
    <s v="SMS"/>
    <n v="28"/>
    <x v="5"/>
    <x v="1"/>
  </r>
  <r>
    <s v="HC-02670"/>
    <s v="P-0441"/>
    <s v="Female"/>
    <n v="65"/>
    <x v="4"/>
    <s v="General Consultation"/>
    <d v="2026-05-25T00:00:00"/>
    <d v="2026-06-11T00:00:00"/>
    <s v="Thursday"/>
    <s v="Afternoon"/>
    <x v="3"/>
    <n v="17"/>
    <n v="2"/>
    <x v="0"/>
    <x v="0"/>
    <s v="SMS"/>
    <n v="11.1"/>
    <x v="31"/>
    <x v="0"/>
  </r>
  <r>
    <s v="HC-02671"/>
    <s v="P-0007"/>
    <s v="Male"/>
    <n v="72"/>
    <x v="4"/>
    <s v="Follow-up"/>
    <d v="2026-03-05T00:00:00"/>
    <d v="2026-03-09T00:00:00"/>
    <s v="Monday"/>
    <s v="Morning"/>
    <x v="1"/>
    <n v="4"/>
    <n v="2"/>
    <x v="0"/>
    <x v="0"/>
    <s v="Email"/>
    <n v="7.1"/>
    <x v="15"/>
    <x v="1"/>
  </r>
  <r>
    <s v="HC-02672"/>
    <s v="P-1110"/>
    <s v="Male"/>
    <n v="41"/>
    <x v="0"/>
    <s v="General Consultation"/>
    <d v="2026-03-18T00:00:00"/>
    <d v="2026-04-13T00:00:00"/>
    <s v="Monday"/>
    <s v="Afternoon"/>
    <x v="3"/>
    <n v="26"/>
    <n v="2"/>
    <x v="0"/>
    <x v="0"/>
    <s v="SMS"/>
    <n v="8.4"/>
    <x v="51"/>
    <x v="0"/>
  </r>
  <r>
    <s v="HC-02673"/>
    <s v="P-0895"/>
    <s v="Male"/>
    <n v="34"/>
    <x v="1"/>
    <s v="Diagnostic Test"/>
    <d v="2026-02-26T00:00:00"/>
    <d v="2026-04-10T00:00:00"/>
    <s v="Friday"/>
    <s v="Morning"/>
    <x v="2"/>
    <n v="43"/>
    <n v="2"/>
    <x v="0"/>
    <x v="1"/>
    <s v="None"/>
    <n v="8.5"/>
    <x v="16"/>
    <x v="1"/>
  </r>
  <r>
    <s v="HC-02674"/>
    <s v="P-0374"/>
    <s v="Female"/>
    <n v="44"/>
    <x v="0"/>
    <s v="General Consultation"/>
    <d v="2025-03-03T00:00:00"/>
    <d v="2025-04-13T00:00:00"/>
    <s v="Sunday"/>
    <s v="Afternoon"/>
    <x v="2"/>
    <n v="41"/>
    <n v="3"/>
    <x v="1"/>
    <x v="1"/>
    <s v="None"/>
    <n v="9.6"/>
    <x v="35"/>
    <x v="0"/>
  </r>
  <r>
    <s v="HC-02675"/>
    <s v="P-0479"/>
    <s v="Male"/>
    <n v="53"/>
    <x v="2"/>
    <s v="General Consultation"/>
    <d v="2026-03-25T00:00:00"/>
    <d v="2026-05-24T00:00:00"/>
    <s v="Sunday"/>
    <s v="Morning"/>
    <x v="2"/>
    <n v="60"/>
    <n v="3"/>
    <x v="0"/>
    <x v="0"/>
    <s v="SMS"/>
    <n v="5"/>
    <x v="3"/>
    <x v="0"/>
  </r>
  <r>
    <s v="HC-02676"/>
    <s v="P-1663"/>
    <s v="Male"/>
    <n v="39"/>
    <x v="0"/>
    <s v="Follow-up"/>
    <d v="2025-11-19T00:00:00"/>
    <d v="2025-11-21T00:00:00"/>
    <s v="Friday"/>
    <s v="Evening"/>
    <x v="1"/>
    <n v="2"/>
    <n v="2"/>
    <x v="0"/>
    <x v="0"/>
    <s v="Email"/>
    <n v="9.3000000000000007"/>
    <x v="2"/>
    <x v="2"/>
  </r>
  <r>
    <s v="HC-02677"/>
    <s v="P-0971"/>
    <s v="Male"/>
    <n v="46"/>
    <x v="2"/>
    <s v="General Consultation"/>
    <d v="2026-04-25T00:00:00"/>
    <d v="2026-06-10T00:00:00"/>
    <s v="Wednesday"/>
    <s v="Morning"/>
    <x v="2"/>
    <n v="46"/>
    <n v="1"/>
    <x v="1"/>
    <x v="1"/>
    <s v="None"/>
    <n v="6.3"/>
    <x v="45"/>
    <x v="1"/>
  </r>
  <r>
    <s v="HC-02678"/>
    <s v="P-0056"/>
    <s v="Male"/>
    <n v="27"/>
    <x v="1"/>
    <s v="Specialist Consultation"/>
    <d v="2026-03-08T00:00:00"/>
    <d v="2026-04-25T00:00:00"/>
    <s v="Saturday"/>
    <s v="Morning"/>
    <x v="2"/>
    <n v="48"/>
    <n v="1"/>
    <x v="0"/>
    <x v="0"/>
    <s v="SMS"/>
    <n v="4.5999999999999996"/>
    <x v="17"/>
    <x v="0"/>
  </r>
  <r>
    <s v="HC-02679"/>
    <s v="P-0469"/>
    <s v="Female"/>
    <n v="54"/>
    <x v="2"/>
    <s v="General Consultation"/>
    <d v="2025-10-18T00:00:00"/>
    <d v="2025-11-13T00:00:00"/>
    <s v="Thursday"/>
    <s v="Afternoon"/>
    <x v="3"/>
    <n v="26"/>
    <n v="2"/>
    <x v="0"/>
    <x v="1"/>
    <s v="None"/>
    <n v="22.8"/>
    <x v="39"/>
    <x v="2"/>
  </r>
  <r>
    <s v="HC-02680"/>
    <s v="P-0610"/>
    <s v="Male"/>
    <n v="62"/>
    <x v="3"/>
    <s v="Follow-up"/>
    <d v="2025-07-07T00:00:00"/>
    <d v="2025-07-24T00:00:00"/>
    <s v="Thursday"/>
    <s v="Morning"/>
    <x v="3"/>
    <n v="17"/>
    <n v="2"/>
    <x v="0"/>
    <x v="0"/>
    <s v="SMS"/>
    <n v="12.6"/>
    <x v="0"/>
    <x v="1"/>
  </r>
  <r>
    <s v="HC-02681"/>
    <s v="P-1498"/>
    <s v="Female"/>
    <n v="51"/>
    <x v="2"/>
    <s v="Specialist Consultation"/>
    <d v="2025-02-13T00:00:00"/>
    <d v="2025-03-06T00:00:00"/>
    <s v="Thursday"/>
    <s v="Afternoon"/>
    <x v="3"/>
    <n v="21"/>
    <n v="2"/>
    <x v="0"/>
    <x v="0"/>
    <s v="WhatsApp"/>
    <n v="12.5"/>
    <x v="7"/>
    <x v="1"/>
  </r>
  <r>
    <s v="HC-02682"/>
    <s v="P-0622"/>
    <s v="Male"/>
    <n v="73"/>
    <x v="4"/>
    <s v="Follow-up"/>
    <d v="2025-01-15T00:00:00"/>
    <d v="2025-02-25T00:00:00"/>
    <s v="Tuesday"/>
    <s v="Afternoon"/>
    <x v="2"/>
    <n v="41"/>
    <n v="1"/>
    <x v="0"/>
    <x v="1"/>
    <s v="None"/>
    <n v="9.6999999999999993"/>
    <x v="19"/>
    <x v="0"/>
  </r>
  <r>
    <s v="HC-02683"/>
    <s v="P-0880"/>
    <s v="Male"/>
    <n v="80"/>
    <x v="4"/>
    <s v="General Consultation"/>
    <d v="2025-06-10T00:00:00"/>
    <d v="2025-08-01T00:00:00"/>
    <s v="Friday"/>
    <s v="Afternoon"/>
    <x v="2"/>
    <n v="52"/>
    <n v="5"/>
    <x v="0"/>
    <x v="0"/>
    <s v="WhatsApp"/>
    <n v="5"/>
    <x v="32"/>
    <x v="0"/>
  </r>
  <r>
    <s v="HC-02684"/>
    <s v="P-1263"/>
    <s v="Male"/>
    <n v="75"/>
    <x v="4"/>
    <s v="General Consultation"/>
    <d v="2026-02-08T00:00:00"/>
    <d v="2026-03-19T00:00:00"/>
    <s v="Thursday"/>
    <s v="Afternoon"/>
    <x v="2"/>
    <n v="39"/>
    <n v="4"/>
    <x v="0"/>
    <x v="0"/>
    <s v="WhatsApp"/>
    <n v="9.1"/>
    <x v="7"/>
    <x v="1"/>
  </r>
  <r>
    <s v="HC-02685"/>
    <s v="P-0116"/>
    <s v="Female"/>
    <n v="23"/>
    <x v="5"/>
    <s v="General Consultation"/>
    <d v="2025-09-02T00:00:00"/>
    <d v="2025-10-03T00:00:00"/>
    <s v="Friday"/>
    <s v="Evening"/>
    <x v="2"/>
    <n v="31"/>
    <n v="2"/>
    <x v="0"/>
    <x v="0"/>
    <s v="SMS"/>
    <n v="27.4"/>
    <x v="35"/>
    <x v="0"/>
  </r>
  <r>
    <s v="HC-02686"/>
    <s v="P-1776"/>
    <s v="Male"/>
    <n v="73"/>
    <x v="4"/>
    <s v="General Consultation"/>
    <d v="2025-08-13T00:00:00"/>
    <d v="2025-09-21T00:00:00"/>
    <s v="Sunday"/>
    <s v="Afternoon"/>
    <x v="2"/>
    <n v="39"/>
    <n v="2"/>
    <x v="1"/>
    <x v="0"/>
    <s v="WhatsApp"/>
    <n v="12.7"/>
    <x v="8"/>
    <x v="0"/>
  </r>
  <r>
    <s v="HC-02687"/>
    <s v="P-0261"/>
    <s v="Female"/>
    <n v="39"/>
    <x v="0"/>
    <s v="Follow-up"/>
    <d v="2025-05-10T00:00:00"/>
    <d v="2025-05-14T00:00:00"/>
    <s v="Wednesday"/>
    <s v="Morning"/>
    <x v="1"/>
    <n v="4"/>
    <n v="5"/>
    <x v="0"/>
    <x v="0"/>
    <s v="SMS"/>
    <n v="8.1999999999999993"/>
    <x v="7"/>
    <x v="1"/>
  </r>
  <r>
    <s v="HC-02688"/>
    <s v="P-1710"/>
    <s v="Female"/>
    <n v="46"/>
    <x v="2"/>
    <s v="General Consultation"/>
    <d v="2025-09-29T00:00:00"/>
    <d v="2025-11-05T00:00:00"/>
    <s v="Wednesday"/>
    <s v="Afternoon"/>
    <x v="2"/>
    <n v="37"/>
    <n v="5"/>
    <x v="0"/>
    <x v="0"/>
    <s v="SMS"/>
    <n v="11.5"/>
    <x v="25"/>
    <x v="0"/>
  </r>
  <r>
    <s v="HC-02689"/>
    <s v="P-1116"/>
    <s v="Male"/>
    <n v="43"/>
    <x v="0"/>
    <s v="General Consultation"/>
    <d v="2025-12-13T00:00:00"/>
    <d v="2025-12-15T00:00:00"/>
    <s v="Monday"/>
    <s v="Morning"/>
    <x v="1"/>
    <n v="2"/>
    <n v="6"/>
    <x v="2"/>
    <x v="0"/>
    <s v="Email"/>
    <n v="7"/>
    <x v="21"/>
    <x v="1"/>
  </r>
  <r>
    <s v="HC-02690"/>
    <s v="P-0755"/>
    <s v="Female"/>
    <n v="35"/>
    <x v="0"/>
    <s v="General Consultation"/>
    <d v="2026-04-24T00:00:00"/>
    <d v="2026-06-21T00:00:00"/>
    <s v="Sunday"/>
    <s v="Morning"/>
    <x v="2"/>
    <n v="58"/>
    <n v="3"/>
    <x v="0"/>
    <x v="1"/>
    <s v="None"/>
    <n v="6.8"/>
    <x v="25"/>
    <x v="0"/>
  </r>
  <r>
    <s v="HC-02691"/>
    <s v="P-1703"/>
    <s v="Female"/>
    <n v="73"/>
    <x v="4"/>
    <s v="Diagnostic Test"/>
    <d v="2025-12-11T00:00:00"/>
    <d v="2026-02-03T00:00:00"/>
    <s v="Tuesday"/>
    <s v="Morning"/>
    <x v="2"/>
    <n v="54"/>
    <n v="2"/>
    <x v="0"/>
    <x v="1"/>
    <s v="None"/>
    <n v="17.3"/>
    <x v="10"/>
    <x v="2"/>
  </r>
  <r>
    <s v="HC-02692"/>
    <s v="P-1147"/>
    <s v="Male"/>
    <n v="58"/>
    <x v="3"/>
    <s v="General Consultation"/>
    <d v="2025-10-28T00:00:00"/>
    <d v="2025-11-28T00:00:00"/>
    <s v="Friday"/>
    <s v="Morning"/>
    <x v="2"/>
    <n v="31"/>
    <n v="5"/>
    <x v="1"/>
    <x v="0"/>
    <s v="WhatsApp"/>
    <n v="9.8000000000000007"/>
    <x v="15"/>
    <x v="0"/>
  </r>
  <r>
    <s v="HC-02693"/>
    <s v="P-1234"/>
    <s v="Male"/>
    <n v="78"/>
    <x v="4"/>
    <s v="General Consultation"/>
    <d v="2026-04-20T00:00:00"/>
    <d v="2026-05-12T00:00:00"/>
    <s v="Tuesday"/>
    <s v="Morning"/>
    <x v="3"/>
    <n v="22"/>
    <n v="5"/>
    <x v="1"/>
    <x v="1"/>
    <s v="None"/>
    <n v="13"/>
    <x v="8"/>
    <x v="1"/>
  </r>
  <r>
    <s v="HC-02694"/>
    <s v="P-1654"/>
    <s v="Male"/>
    <n v="78"/>
    <x v="4"/>
    <s v="Follow-up"/>
    <d v="2025-07-08T00:00:00"/>
    <d v="2025-08-21T00:00:00"/>
    <s v="Thursday"/>
    <s v="Morning"/>
    <x v="2"/>
    <n v="44"/>
    <n v="3"/>
    <x v="0"/>
    <x v="0"/>
    <s v="SMS"/>
    <n v="9.4"/>
    <x v="8"/>
    <x v="0"/>
  </r>
  <r>
    <s v="HC-02695"/>
    <s v="P-0464"/>
    <s v="Male"/>
    <n v="44"/>
    <x v="0"/>
    <s v="General Consultation"/>
    <d v="2026-04-18T00:00:00"/>
    <d v="2026-05-26T00:00:00"/>
    <s v="Tuesday"/>
    <s v="Afternoon"/>
    <x v="2"/>
    <n v="38"/>
    <n v="4"/>
    <x v="0"/>
    <x v="1"/>
    <s v="None"/>
    <n v="14.9"/>
    <x v="14"/>
    <x v="2"/>
  </r>
  <r>
    <s v="HC-02696"/>
    <s v="P-1351"/>
    <s v="Male"/>
    <n v="63"/>
    <x v="3"/>
    <s v="Diagnostic Test"/>
    <d v="2025-06-09T00:00:00"/>
    <d v="2025-07-22T00:00:00"/>
    <s v="Tuesday"/>
    <s v="Afternoon"/>
    <x v="2"/>
    <n v="43"/>
    <n v="4"/>
    <x v="3"/>
    <x v="0"/>
    <s v="Email"/>
    <n v="6.7"/>
    <x v="19"/>
    <x v="0"/>
  </r>
  <r>
    <s v="HC-02697"/>
    <s v="P-0393"/>
    <s v="Female"/>
    <n v="49"/>
    <x v="2"/>
    <s v="General Consultation"/>
    <d v="2025-02-08T00:00:00"/>
    <d v="2025-03-11T00:00:00"/>
    <s v="Tuesday"/>
    <s v="Evening"/>
    <x v="2"/>
    <n v="31"/>
    <n v="1"/>
    <x v="1"/>
    <x v="1"/>
    <s v="None"/>
    <n v="7.5"/>
    <x v="12"/>
    <x v="0"/>
  </r>
  <r>
    <s v="HC-02698"/>
    <s v="P-0273"/>
    <s v="Female"/>
    <n v="49"/>
    <x v="2"/>
    <s v="Follow-up"/>
    <d v="2025-08-03T00:00:00"/>
    <d v="2025-08-17T00:00:00"/>
    <s v="Sunday"/>
    <s v="Morning"/>
    <x v="0"/>
    <n v="14"/>
    <n v="1"/>
    <x v="0"/>
    <x v="1"/>
    <s v="None"/>
    <n v="25.8"/>
    <x v="14"/>
    <x v="2"/>
  </r>
  <r>
    <s v="HC-02699"/>
    <s v="P-0781"/>
    <s v="Male"/>
    <n v="64"/>
    <x v="3"/>
    <s v="Follow-up"/>
    <d v="2025-03-08T00:00:00"/>
    <d v="2025-03-12T00:00:00"/>
    <s v="Wednesday"/>
    <s v="Morning"/>
    <x v="1"/>
    <n v="4"/>
    <n v="5"/>
    <x v="0"/>
    <x v="1"/>
    <s v="None"/>
    <n v="2.1"/>
    <x v="36"/>
    <x v="0"/>
  </r>
  <r>
    <s v="HC-02700"/>
    <s v="P-1655"/>
    <s v="Male"/>
    <n v="61"/>
    <x v="3"/>
    <s v="Specialist Consultation"/>
    <d v="2025-02-17T00:00:00"/>
    <d v="2025-03-06T00:00:00"/>
    <s v="Thursday"/>
    <s v="Afternoon"/>
    <x v="3"/>
    <n v="17"/>
    <n v="0"/>
    <x v="0"/>
    <x v="0"/>
    <s v="SMS"/>
    <n v="14.6"/>
    <x v="27"/>
    <x v="1"/>
  </r>
  <r>
    <s v="HC-02701"/>
    <s v="P-1177"/>
    <s v="Female"/>
    <n v="75"/>
    <x v="4"/>
    <s v="Follow-up"/>
    <d v="2026-03-26T00:00:00"/>
    <d v="2026-04-27T00:00:00"/>
    <s v="Monday"/>
    <s v="Morning"/>
    <x v="2"/>
    <n v="32"/>
    <n v="6"/>
    <x v="2"/>
    <x v="1"/>
    <s v="None"/>
    <n v="10.4"/>
    <x v="20"/>
    <x v="1"/>
  </r>
  <r>
    <s v="HC-02702"/>
    <s v="P-0809"/>
    <s v="Female"/>
    <n v="66"/>
    <x v="4"/>
    <s v="Specialist Consultation"/>
    <d v="2026-02-13T00:00:00"/>
    <d v="2026-03-10T00:00:00"/>
    <s v="Tuesday"/>
    <s v="Morning"/>
    <x v="3"/>
    <n v="25"/>
    <n v="2"/>
    <x v="0"/>
    <x v="0"/>
    <s v="SMS"/>
    <n v="7.8"/>
    <x v="11"/>
    <x v="1"/>
  </r>
  <r>
    <s v="HC-02703"/>
    <s v="P-0325"/>
    <s v="Male"/>
    <n v="57"/>
    <x v="3"/>
    <s v="Follow-up"/>
    <d v="2025-04-01T00:00:00"/>
    <d v="2025-05-01T00:00:00"/>
    <s v="Thursday"/>
    <s v="Afternoon"/>
    <x v="3"/>
    <n v="30"/>
    <n v="4"/>
    <x v="2"/>
    <x v="0"/>
    <s v="WhatsApp"/>
    <n v="5.2"/>
    <x v="0"/>
    <x v="0"/>
  </r>
  <r>
    <s v="HC-02704"/>
    <s v="P-0763"/>
    <s v="Male"/>
    <n v="75"/>
    <x v="4"/>
    <s v="Follow-up"/>
    <d v="2026-03-18T00:00:00"/>
    <d v="2026-04-03T00:00:00"/>
    <s v="Friday"/>
    <s v="Afternoon"/>
    <x v="3"/>
    <n v="16"/>
    <n v="3"/>
    <x v="2"/>
    <x v="1"/>
    <s v="None"/>
    <n v="19.2"/>
    <x v="28"/>
    <x v="0"/>
  </r>
  <r>
    <s v="HC-02705"/>
    <s v="P-1174"/>
    <s v="Male"/>
    <n v="24"/>
    <x v="5"/>
    <s v="Specialist Consultation"/>
    <d v="2024-12-12T00:00:00"/>
    <d v="2025-02-07T00:00:00"/>
    <s v="Friday"/>
    <s v="Morning"/>
    <x v="2"/>
    <n v="57"/>
    <n v="3"/>
    <x v="0"/>
    <x v="1"/>
    <s v="None"/>
    <n v="27.8"/>
    <x v="32"/>
    <x v="0"/>
  </r>
  <r>
    <s v="HC-02706"/>
    <s v="P-0122"/>
    <s v="Male"/>
    <n v="66"/>
    <x v="4"/>
    <s v="Follow-up"/>
    <d v="2025-05-14T00:00:00"/>
    <d v="2025-06-05T00:00:00"/>
    <s v="Thursday"/>
    <s v="Afternoon"/>
    <x v="3"/>
    <n v="22"/>
    <n v="2"/>
    <x v="0"/>
    <x v="0"/>
    <s v="WhatsApp"/>
    <n v="7.5"/>
    <x v="19"/>
    <x v="0"/>
  </r>
  <r>
    <s v="HC-02707"/>
    <s v="P-0780"/>
    <s v="Male"/>
    <n v="42"/>
    <x v="0"/>
    <s v="Follow-up"/>
    <d v="2025-12-01T00:00:00"/>
    <d v="2026-01-21T00:00:00"/>
    <s v="Wednesday"/>
    <s v="Afternoon"/>
    <x v="2"/>
    <n v="51"/>
    <n v="4"/>
    <x v="0"/>
    <x v="0"/>
    <s v="SMS"/>
    <n v="13.7"/>
    <x v="5"/>
    <x v="2"/>
  </r>
  <r>
    <s v="HC-02708"/>
    <s v="P-1548"/>
    <s v="Male"/>
    <n v="45"/>
    <x v="2"/>
    <s v="General Consultation"/>
    <d v="2025-05-23T00:00:00"/>
    <d v="2025-06-15T00:00:00"/>
    <s v="Sunday"/>
    <s v="Afternoon"/>
    <x v="3"/>
    <n v="23"/>
    <n v="2"/>
    <x v="0"/>
    <x v="0"/>
    <s v="WhatsApp"/>
    <n v="13.4"/>
    <x v="4"/>
    <x v="1"/>
  </r>
  <r>
    <s v="HC-02709"/>
    <s v="P-0062"/>
    <s v="Female"/>
    <n v="67"/>
    <x v="4"/>
    <s v="General Consultation"/>
    <d v="2026-01-07T00:00:00"/>
    <d v="2026-02-03T00:00:00"/>
    <s v="Tuesday"/>
    <s v="Morning"/>
    <x v="3"/>
    <n v="27"/>
    <n v="7"/>
    <x v="1"/>
    <x v="0"/>
    <s v="SMS"/>
    <n v="14"/>
    <x v="45"/>
    <x v="0"/>
  </r>
  <r>
    <s v="HC-02710"/>
    <s v="P-1647"/>
    <s v="Male"/>
    <n v="35"/>
    <x v="0"/>
    <s v="General Consultation"/>
    <d v="2026-03-18T00:00:00"/>
    <d v="2026-04-23T00:00:00"/>
    <s v="Thursday"/>
    <s v="Afternoon"/>
    <x v="2"/>
    <n v="36"/>
    <n v="5"/>
    <x v="1"/>
    <x v="0"/>
    <s v="SMS"/>
    <n v="3.5"/>
    <x v="17"/>
    <x v="0"/>
  </r>
  <r>
    <s v="HC-02711"/>
    <s v="P-1179"/>
    <s v="Male"/>
    <n v="73"/>
    <x v="4"/>
    <s v="General Consultation"/>
    <d v="2025-01-21T00:00:00"/>
    <d v="2025-02-06T00:00:00"/>
    <s v="Thursday"/>
    <s v="Afternoon"/>
    <x v="3"/>
    <n v="16"/>
    <n v="3"/>
    <x v="0"/>
    <x v="1"/>
    <s v="None"/>
    <n v="18"/>
    <x v="15"/>
    <x v="0"/>
  </r>
  <r>
    <s v="HC-02712"/>
    <s v="P-1612"/>
    <s v="Male"/>
    <n v="49"/>
    <x v="2"/>
    <s v="General Consultation"/>
    <d v="2025-01-01T00:00:00"/>
    <d v="2025-01-14T00:00:00"/>
    <s v="Tuesday"/>
    <s v="Morning"/>
    <x v="0"/>
    <n v="13"/>
    <n v="6"/>
    <x v="0"/>
    <x v="0"/>
    <s v="SMS"/>
    <n v="2.6"/>
    <x v="12"/>
    <x v="2"/>
  </r>
  <r>
    <s v="HC-02713"/>
    <s v="P-1135"/>
    <s v="Female"/>
    <n v="39"/>
    <x v="0"/>
    <s v="General Consultation"/>
    <d v="2026-05-06T00:00:00"/>
    <d v="2026-05-29T00:00:00"/>
    <s v="Friday"/>
    <s v="Afternoon"/>
    <x v="3"/>
    <n v="23"/>
    <n v="7"/>
    <x v="1"/>
    <x v="0"/>
    <s v="SMS"/>
    <n v="13.3"/>
    <x v="23"/>
    <x v="0"/>
  </r>
  <r>
    <s v="HC-02714"/>
    <s v="P-0349"/>
    <s v="Male"/>
    <n v="38"/>
    <x v="0"/>
    <s v="Follow-up"/>
    <d v="2025-08-24T00:00:00"/>
    <d v="2025-10-12T00:00:00"/>
    <s v="Sunday"/>
    <s v="Afternoon"/>
    <x v="2"/>
    <n v="49"/>
    <n v="0"/>
    <x v="0"/>
    <x v="0"/>
    <s v="SMS"/>
    <n v="20.6"/>
    <x v="42"/>
    <x v="0"/>
  </r>
  <r>
    <s v="HC-02715"/>
    <s v="P-1413"/>
    <s v="Male"/>
    <n v="44"/>
    <x v="0"/>
    <s v="Specialist Consultation"/>
    <d v="2025-09-26T00:00:00"/>
    <d v="2025-10-04T00:00:00"/>
    <s v="Saturday"/>
    <s v="Morning"/>
    <x v="0"/>
    <n v="8"/>
    <n v="0"/>
    <x v="0"/>
    <x v="0"/>
    <s v="SMS"/>
    <n v="6.4"/>
    <x v="12"/>
    <x v="0"/>
  </r>
  <r>
    <s v="HC-02716"/>
    <s v="P-0197"/>
    <s v="Female"/>
    <n v="77"/>
    <x v="4"/>
    <s v="Follow-up"/>
    <d v="2025-08-16T00:00:00"/>
    <d v="2025-09-11T00:00:00"/>
    <s v="Thursday"/>
    <s v="Afternoon"/>
    <x v="3"/>
    <n v="26"/>
    <n v="4"/>
    <x v="2"/>
    <x v="0"/>
    <s v="WhatsApp"/>
    <n v="10.199999999999999"/>
    <x v="49"/>
    <x v="0"/>
  </r>
  <r>
    <s v="HC-02717"/>
    <s v="P-0112"/>
    <s v="Prefer not to say"/>
    <n v="24"/>
    <x v="5"/>
    <s v="Follow-up"/>
    <d v="2025-07-16T00:00:00"/>
    <d v="2025-08-25T00:00:00"/>
    <s v="Monday"/>
    <s v="Morning"/>
    <x v="2"/>
    <n v="40"/>
    <n v="1"/>
    <x v="0"/>
    <x v="1"/>
    <s v="None"/>
    <n v="15.1"/>
    <x v="17"/>
    <x v="1"/>
  </r>
  <r>
    <s v="HC-02718"/>
    <s v="P-0401"/>
    <s v="Male"/>
    <n v="50"/>
    <x v="2"/>
    <s v="General Consultation"/>
    <d v="2025-11-30T00:00:00"/>
    <d v="2026-01-12T00:00:00"/>
    <s v="Monday"/>
    <s v="Afternoon"/>
    <x v="2"/>
    <n v="43"/>
    <n v="2"/>
    <x v="1"/>
    <x v="0"/>
    <s v="SMS"/>
    <n v="7.7"/>
    <x v="22"/>
    <x v="0"/>
  </r>
  <r>
    <s v="HC-02719"/>
    <s v="P-0183"/>
    <s v="Male"/>
    <n v="70"/>
    <x v="4"/>
    <s v="General Consultation"/>
    <d v="2025-10-18T00:00:00"/>
    <d v="2025-11-13T00:00:00"/>
    <s v="Thursday"/>
    <s v="Morning"/>
    <x v="3"/>
    <n v="26"/>
    <n v="6"/>
    <x v="1"/>
    <x v="0"/>
    <s v="SMS"/>
    <n v="4.8"/>
    <x v="49"/>
    <x v="0"/>
  </r>
  <r>
    <s v="HC-02720"/>
    <s v="P-0454"/>
    <s v="Male"/>
    <n v="47"/>
    <x v="2"/>
    <s v="Follow-up"/>
    <d v="2025-03-27T00:00:00"/>
    <d v="2025-03-31T00:00:00"/>
    <s v="Monday"/>
    <s v="Afternoon"/>
    <x v="1"/>
    <n v="4"/>
    <n v="2"/>
    <x v="1"/>
    <x v="0"/>
    <s v="SMS"/>
    <n v="13.9"/>
    <x v="29"/>
    <x v="1"/>
  </r>
  <r>
    <s v="HC-02721"/>
    <s v="P-0028"/>
    <s v="Female"/>
    <n v="53"/>
    <x v="2"/>
    <s v="Specialist Consultation"/>
    <d v="2025-12-09T00:00:00"/>
    <d v="2025-12-09T00:00:00"/>
    <s v="Tuesday"/>
    <s v="Morning"/>
    <x v="1"/>
    <n v="0"/>
    <n v="0"/>
    <x v="0"/>
    <x v="0"/>
    <s v="Email"/>
    <n v="4.0999999999999996"/>
    <x v="8"/>
    <x v="1"/>
  </r>
  <r>
    <s v="HC-02722"/>
    <s v="P-0605"/>
    <s v="Male"/>
    <n v="39"/>
    <x v="0"/>
    <s v="Specialist Consultation"/>
    <d v="2025-12-03T00:00:00"/>
    <d v="2025-12-31T00:00:00"/>
    <s v="Wednesday"/>
    <s v="Afternoon"/>
    <x v="3"/>
    <n v="28"/>
    <n v="4"/>
    <x v="0"/>
    <x v="0"/>
    <s v="SMS"/>
    <m/>
    <x v="4"/>
    <x v="0"/>
  </r>
  <r>
    <s v="HC-02723"/>
    <s v="P-1623"/>
    <s v="Female"/>
    <n v="26"/>
    <x v="1"/>
    <s v="Follow-up"/>
    <d v="2025-01-14T00:00:00"/>
    <d v="2025-03-04T00:00:00"/>
    <s v="Tuesday"/>
    <s v="Afternoon"/>
    <x v="2"/>
    <n v="49"/>
    <n v="0"/>
    <x v="0"/>
    <x v="0"/>
    <s v="SMS"/>
    <n v="9.9"/>
    <x v="26"/>
    <x v="2"/>
  </r>
  <r>
    <s v="HC-02724"/>
    <s v="P-0919"/>
    <s v="Male"/>
    <n v="58"/>
    <x v="3"/>
    <s v="Specialist Consultation"/>
    <d v="2025-07-24T00:00:00"/>
    <d v="2025-07-25T00:00:00"/>
    <s v="Friday"/>
    <s v="Afternoon"/>
    <x v="1"/>
    <n v="1"/>
    <n v="4"/>
    <x v="1"/>
    <x v="1"/>
    <s v="None"/>
    <n v="7.7"/>
    <x v="47"/>
    <x v="1"/>
  </r>
  <r>
    <s v="HC-02725"/>
    <s v="P-1335"/>
    <s v="Male"/>
    <n v="75"/>
    <x v="4"/>
    <s v="Specialist Consultation"/>
    <d v="2026-01-13T00:00:00"/>
    <d v="2026-03-08T00:00:00"/>
    <s v="Sunday"/>
    <s v="Afternoon"/>
    <x v="2"/>
    <n v="54"/>
    <n v="3"/>
    <x v="0"/>
    <x v="0"/>
    <s v="SMS"/>
    <n v="14.1"/>
    <x v="21"/>
    <x v="1"/>
  </r>
  <r>
    <s v="HC-02726"/>
    <s v="P-1776"/>
    <s v="Male"/>
    <n v="50"/>
    <x v="2"/>
    <s v="Specialist Consultation"/>
    <d v="2025-10-24T00:00:00"/>
    <d v="2025-12-04T00:00:00"/>
    <s v="Thursday"/>
    <s v="Morning"/>
    <x v="2"/>
    <n v="41"/>
    <n v="1"/>
    <x v="0"/>
    <x v="0"/>
    <s v="WhatsApp"/>
    <n v="10.4"/>
    <x v="20"/>
    <x v="1"/>
  </r>
  <r>
    <s v="HC-02727"/>
    <s v="P-0890"/>
    <s v="Male"/>
    <n v="45"/>
    <x v="2"/>
    <s v="Specialist Consultation"/>
    <d v="2025-03-16T00:00:00"/>
    <d v="2025-03-16T00:00:00"/>
    <s v="Sunday"/>
    <s v="Morning"/>
    <x v="1"/>
    <n v="0"/>
    <n v="2"/>
    <x v="0"/>
    <x v="1"/>
    <s v="None"/>
    <n v="30.6"/>
    <x v="21"/>
    <x v="1"/>
  </r>
  <r>
    <s v="HC-02728"/>
    <s v="P-0664"/>
    <s v="Male"/>
    <n v="26"/>
    <x v="1"/>
    <s v="General Consultation"/>
    <d v="2025-01-02T00:00:00"/>
    <d v="2025-01-22T00:00:00"/>
    <s v="Wednesday"/>
    <s v="Afternoon"/>
    <x v="3"/>
    <n v="20"/>
    <n v="6"/>
    <x v="1"/>
    <x v="0"/>
    <s v="SMS"/>
    <n v="19.7"/>
    <x v="25"/>
    <x v="0"/>
  </r>
  <r>
    <s v="HC-02729"/>
    <s v="P-1135"/>
    <s v="Female"/>
    <n v="77"/>
    <x v="4"/>
    <s v="General Consultation"/>
    <d v="2025-11-01T00:00:00"/>
    <d v="2025-11-14T00:00:00"/>
    <s v="Friday"/>
    <s v="Morning"/>
    <x v="0"/>
    <n v="13"/>
    <n v="3"/>
    <x v="0"/>
    <x v="1"/>
    <s v="None"/>
    <n v="11.2"/>
    <x v="38"/>
    <x v="1"/>
  </r>
  <r>
    <s v="HC-02730"/>
    <s v="P-0402"/>
    <s v="Female"/>
    <n v="72"/>
    <x v="4"/>
    <s v="General Consultation"/>
    <d v="2025-07-15T00:00:00"/>
    <d v="2025-09-10T00:00:00"/>
    <s v="Wednesday"/>
    <s v="Afternoon"/>
    <x v="2"/>
    <n v="57"/>
    <n v="3"/>
    <x v="0"/>
    <x v="0"/>
    <s v="Email"/>
    <n v="18.2"/>
    <x v="25"/>
    <x v="0"/>
  </r>
  <r>
    <s v="HC-02731"/>
    <s v="P-1735"/>
    <s v="Female"/>
    <n v="74"/>
    <x v="4"/>
    <s v="Follow-up"/>
    <d v="2026-05-07T00:00:00"/>
    <d v="2026-06-09T00:00:00"/>
    <s v="Tuesday"/>
    <s v="Afternoon"/>
    <x v="2"/>
    <n v="33"/>
    <n v="0"/>
    <x v="0"/>
    <x v="0"/>
    <s v="SMS"/>
    <m/>
    <x v="10"/>
    <x v="0"/>
  </r>
  <r>
    <s v="HC-02732"/>
    <s v="P-0372"/>
    <s v="Male"/>
    <n v="40"/>
    <x v="0"/>
    <s v="Specialist Consultation"/>
    <d v="2025-09-24T00:00:00"/>
    <d v="2025-10-13T00:00:00"/>
    <s v="Monday"/>
    <s v="Evening"/>
    <x v="3"/>
    <n v="19"/>
    <n v="2"/>
    <x v="0"/>
    <x v="0"/>
    <s v="SMS"/>
    <n v="21.6"/>
    <x v="3"/>
    <x v="0"/>
  </r>
  <r>
    <s v="HC-02733"/>
    <s v="P-1658"/>
    <s v="Male"/>
    <n v="57"/>
    <x v="3"/>
    <s v="General Consultation"/>
    <d v="2026-05-08T00:00:00"/>
    <d v="2026-05-24T00:00:00"/>
    <s v="Sunday"/>
    <s v="Morning"/>
    <x v="3"/>
    <n v="16"/>
    <n v="1"/>
    <x v="0"/>
    <x v="0"/>
    <s v="WhatsApp"/>
    <n v="4.4000000000000004"/>
    <x v="17"/>
    <x v="0"/>
  </r>
  <r>
    <s v="HC-02734"/>
    <s v="P-1067"/>
    <s v="Male"/>
    <n v="45"/>
    <x v="2"/>
    <s v="General Consultation"/>
    <d v="2025-03-25T00:00:00"/>
    <d v="2025-04-28T00:00:00"/>
    <s v="Monday"/>
    <s v="Afternoon"/>
    <x v="2"/>
    <n v="34"/>
    <n v="2"/>
    <x v="0"/>
    <x v="0"/>
    <s v="WhatsApp"/>
    <n v="5.2"/>
    <x v="0"/>
    <x v="2"/>
  </r>
  <r>
    <s v="HC-02735"/>
    <s v="P-0570"/>
    <s v="Female"/>
    <n v="32"/>
    <x v="1"/>
    <s v="Specialist Consultation"/>
    <d v="2025-09-02T00:00:00"/>
    <d v="2025-09-02T00:00:00"/>
    <s v="Tuesday"/>
    <s v="Morning"/>
    <x v="1"/>
    <n v="0"/>
    <n v="5"/>
    <x v="1"/>
    <x v="0"/>
    <s v="SMS"/>
    <n v="24"/>
    <x v="10"/>
    <x v="1"/>
  </r>
  <r>
    <s v="HC-02736"/>
    <s v="P-1240"/>
    <s v="Male"/>
    <n v="30"/>
    <x v="1"/>
    <s v="General Consultation"/>
    <d v="2025-03-03T00:00:00"/>
    <d v="2025-03-18T00:00:00"/>
    <s v="Tuesday"/>
    <s v="Evening"/>
    <x v="3"/>
    <n v="15"/>
    <n v="5"/>
    <x v="2"/>
    <x v="0"/>
    <s v="SMS"/>
    <n v="10.1"/>
    <x v="51"/>
    <x v="1"/>
  </r>
  <r>
    <s v="HC-02737"/>
    <s v="P-1270"/>
    <s v="Female"/>
    <n v="42"/>
    <x v="0"/>
    <s v="Specialist Consultation"/>
    <d v="2025-10-31T00:00:00"/>
    <d v="2025-11-10T00:00:00"/>
    <s v="Monday"/>
    <s v="Afternoon"/>
    <x v="0"/>
    <n v="10"/>
    <n v="4"/>
    <x v="1"/>
    <x v="0"/>
    <s v="WhatsApp"/>
    <n v="10.6"/>
    <x v="11"/>
    <x v="1"/>
  </r>
  <r>
    <s v="HC-02738"/>
    <s v="P-0829"/>
    <s v="Prefer not to say"/>
    <n v="52"/>
    <x v="2"/>
    <s v="General Consultation"/>
    <d v="2025-03-07T00:00:00"/>
    <d v="2025-04-13T00:00:00"/>
    <s v="Sunday"/>
    <s v="Afternoon"/>
    <x v="2"/>
    <n v="37"/>
    <n v="4"/>
    <x v="1"/>
    <x v="0"/>
    <s v="Email"/>
    <n v="12.9"/>
    <x v="27"/>
    <x v="0"/>
  </r>
  <r>
    <s v="HC-02739"/>
    <s v="P-0902"/>
    <s v="Male"/>
    <n v="25"/>
    <x v="1"/>
    <s v="General Consultation"/>
    <d v="2025-08-17T00:00:00"/>
    <d v="2025-09-26T00:00:00"/>
    <s v="Friday"/>
    <s v="Afternoon"/>
    <x v="2"/>
    <n v="40"/>
    <n v="1"/>
    <x v="0"/>
    <x v="0"/>
    <s v="SMS"/>
    <n v="8.6"/>
    <x v="21"/>
    <x v="1"/>
  </r>
  <r>
    <s v="HC-02740"/>
    <s v="P-1467"/>
    <s v="Male"/>
    <n v="62"/>
    <x v="3"/>
    <s v="General Consultation"/>
    <d v="2025-06-09T00:00:00"/>
    <d v="2025-07-07T00:00:00"/>
    <s v="Monday"/>
    <s v="Morning"/>
    <x v="3"/>
    <n v="28"/>
    <n v="3"/>
    <x v="0"/>
    <x v="0"/>
    <s v="SMS"/>
    <n v="25.5"/>
    <x v="44"/>
    <x v="1"/>
  </r>
  <r>
    <s v="HC-02741"/>
    <s v="P-1341"/>
    <s v="Male"/>
    <n v="46"/>
    <x v="2"/>
    <s v="General Consultation"/>
    <d v="2025-04-04T00:00:00"/>
    <d v="2025-04-12T00:00:00"/>
    <s v="Saturday"/>
    <s v="Afternoon"/>
    <x v="0"/>
    <n v="8"/>
    <n v="4"/>
    <x v="2"/>
    <x v="1"/>
    <s v="None"/>
    <n v="11.8"/>
    <x v="27"/>
    <x v="0"/>
  </r>
  <r>
    <s v="HC-02742"/>
    <s v="P-0028"/>
    <s v="Female"/>
    <n v="73"/>
    <x v="4"/>
    <s v="General Consultation"/>
    <d v="2025-01-31T00:00:00"/>
    <d v="2025-02-22T00:00:00"/>
    <s v="Saturday"/>
    <s v="Afternoon"/>
    <x v="3"/>
    <n v="22"/>
    <n v="5"/>
    <x v="0"/>
    <x v="1"/>
    <s v="None"/>
    <n v="17.100000000000001"/>
    <x v="37"/>
    <x v="2"/>
  </r>
  <r>
    <s v="HC-02743"/>
    <s v="P-1318"/>
    <s v="Female"/>
    <n v="35"/>
    <x v="0"/>
    <s v="General Consultation"/>
    <d v="2025-08-17T00:00:00"/>
    <d v="2025-10-07T00:00:00"/>
    <s v="Tuesday"/>
    <s v="Morning"/>
    <x v="2"/>
    <n v="51"/>
    <n v="2"/>
    <x v="1"/>
    <x v="0"/>
    <s v="WhatsApp"/>
    <n v="7.3"/>
    <x v="50"/>
    <x v="1"/>
  </r>
  <r>
    <s v="HC-02744"/>
    <s v="P-1098"/>
    <s v="Male"/>
    <n v="21"/>
    <x v="5"/>
    <s v="General Consultation"/>
    <d v="2026-05-21T00:00:00"/>
    <d v="2026-06-02T00:00:00"/>
    <s v="Tuesday"/>
    <s v="Evening"/>
    <x v="0"/>
    <n v="12"/>
    <n v="1"/>
    <x v="0"/>
    <x v="0"/>
    <s v="WhatsApp"/>
    <n v="8.1"/>
    <x v="16"/>
    <x v="1"/>
  </r>
  <r>
    <s v="HC-02745"/>
    <s v="P-0779"/>
    <s v="Male"/>
    <n v="37"/>
    <x v="0"/>
    <s v="General Consultation"/>
    <d v="2025-04-10T00:00:00"/>
    <d v="2025-04-19T00:00:00"/>
    <s v="Saturday"/>
    <s v="Evening"/>
    <x v="0"/>
    <n v="9"/>
    <n v="2"/>
    <x v="0"/>
    <x v="0"/>
    <s v="SMS"/>
    <n v="5"/>
    <x v="8"/>
    <x v="0"/>
  </r>
  <r>
    <s v="HC-02746"/>
    <s v="P-1090"/>
    <s v="Female"/>
    <n v="79"/>
    <x v="4"/>
    <s v="Specialist Consultation"/>
    <d v="2025-08-04T00:00:00"/>
    <d v="2025-08-10T00:00:00"/>
    <s v="Sunday"/>
    <s v="Evening"/>
    <x v="1"/>
    <n v="6"/>
    <n v="1"/>
    <x v="1"/>
    <x v="0"/>
    <s v="WhatsApp"/>
    <n v="15.7"/>
    <x v="20"/>
    <x v="1"/>
  </r>
  <r>
    <s v="HC-02747"/>
    <s v="P-0538"/>
    <s v="Female"/>
    <n v="38"/>
    <x v="0"/>
    <s v="General Consultation"/>
    <d v="2025-03-15T00:00:00"/>
    <d v="2025-05-03T00:00:00"/>
    <s v="Saturday"/>
    <s v="Afternoon"/>
    <x v="2"/>
    <n v="49"/>
    <n v="1"/>
    <x v="1"/>
    <x v="0"/>
    <s v="SMS"/>
    <n v="9"/>
    <x v="46"/>
    <x v="1"/>
  </r>
  <r>
    <s v="HC-02748"/>
    <s v="P-1618"/>
    <s v="Male"/>
    <n v="62"/>
    <x v="3"/>
    <s v="General Consultation"/>
    <d v="2026-03-11T00:00:00"/>
    <d v="2026-03-18T00:00:00"/>
    <s v="Wednesday"/>
    <s v="Morning"/>
    <x v="1"/>
    <n v="7"/>
    <n v="3"/>
    <x v="1"/>
    <x v="1"/>
    <s v="None"/>
    <n v="15.7"/>
    <x v="3"/>
    <x v="0"/>
  </r>
  <r>
    <s v="HC-02749"/>
    <s v="P-0935"/>
    <s v="Female"/>
    <n v="71"/>
    <x v="4"/>
    <s v="General Consultation"/>
    <d v="2025-07-11T00:00:00"/>
    <d v="2025-08-15T00:00:00"/>
    <s v="Friday"/>
    <s v="Afternoon"/>
    <x v="2"/>
    <n v="35"/>
    <n v="1"/>
    <x v="1"/>
    <x v="1"/>
    <s v="None"/>
    <n v="14.8"/>
    <x v="19"/>
    <x v="1"/>
  </r>
  <r>
    <s v="HC-02750"/>
    <s v="P-0369"/>
    <s v="Female"/>
    <n v="35"/>
    <x v="0"/>
    <s v="Diagnostic Test"/>
    <d v="2026-04-18T00:00:00"/>
    <d v="2026-06-17T00:00:00"/>
    <s v="Wednesday"/>
    <s v="Morning"/>
    <x v="2"/>
    <n v="60"/>
    <n v="6"/>
    <x v="1"/>
    <x v="0"/>
    <s v="SMS"/>
    <m/>
    <x v="17"/>
    <x v="0"/>
  </r>
  <r>
    <s v="HC-02751"/>
    <s v="P-0879"/>
    <s v="Female"/>
    <n v="58"/>
    <x v="3"/>
    <s v="Specialist Consultation"/>
    <d v="2025-04-05T00:00:00"/>
    <d v="2025-05-14T00:00:00"/>
    <s v="Wednesday"/>
    <s v="Afternoon"/>
    <x v="2"/>
    <n v="39"/>
    <n v="2"/>
    <x v="0"/>
    <x v="0"/>
    <s v="Email"/>
    <n v="8.3000000000000007"/>
    <x v="47"/>
    <x v="2"/>
  </r>
  <r>
    <s v="HC-02752"/>
    <s v="P-0672"/>
    <s v="Male"/>
    <n v="30"/>
    <x v="1"/>
    <s v="Diagnostic Test"/>
    <d v="2025-01-20T00:00:00"/>
    <d v="2025-02-14T00:00:00"/>
    <s v="Friday"/>
    <s v="Morning"/>
    <x v="3"/>
    <n v="25"/>
    <n v="2"/>
    <x v="0"/>
    <x v="0"/>
    <s v="Email"/>
    <n v="4.2"/>
    <x v="51"/>
    <x v="1"/>
  </r>
  <r>
    <s v="HC-02753"/>
    <s v="P-0322"/>
    <s v="Female"/>
    <n v="40"/>
    <x v="0"/>
    <s v="Diagnostic Test"/>
    <d v="2025-11-03T00:00:00"/>
    <d v="2025-11-15T00:00:00"/>
    <s v="Saturday"/>
    <s v="Afternoon"/>
    <x v="0"/>
    <n v="12"/>
    <n v="4"/>
    <x v="0"/>
    <x v="0"/>
    <s v="SMS"/>
    <n v="4.7"/>
    <x v="20"/>
    <x v="0"/>
  </r>
  <r>
    <s v="HC-02754"/>
    <s v="P-0889"/>
    <s v="Female"/>
    <n v="36"/>
    <x v="0"/>
    <s v="General Consultation"/>
    <d v="2025-12-22T00:00:00"/>
    <d v="2025-12-22T00:00:00"/>
    <s v="Monday"/>
    <s v="Morning"/>
    <x v="1"/>
    <n v="0"/>
    <n v="3"/>
    <x v="0"/>
    <x v="1"/>
    <s v="None"/>
    <n v="3.9"/>
    <x v="16"/>
    <x v="0"/>
  </r>
  <r>
    <s v="HC-02755"/>
    <s v="P-0484"/>
    <s v="Female"/>
    <n v="60"/>
    <x v="3"/>
    <s v="Follow-up"/>
    <d v="2026-06-16T00:00:00"/>
    <d v="2026-06-25T00:00:00"/>
    <s v="Thursday"/>
    <s v="Morning"/>
    <x v="0"/>
    <n v="9"/>
    <n v="1"/>
    <x v="0"/>
    <x v="0"/>
    <s v="SMS"/>
    <n v="5.4"/>
    <x v="22"/>
    <x v="0"/>
  </r>
  <r>
    <s v="HC-02756"/>
    <s v="P-0944"/>
    <s v="Female"/>
    <n v="73"/>
    <x v="4"/>
    <s v="General Consultation"/>
    <d v="2026-02-22T00:00:00"/>
    <d v="2026-04-21T00:00:00"/>
    <s v="Tuesday"/>
    <s v="Morning"/>
    <x v="2"/>
    <n v="58"/>
    <n v="2"/>
    <x v="1"/>
    <x v="0"/>
    <s v="WhatsApp"/>
    <n v="6.1"/>
    <x v="43"/>
    <x v="0"/>
  </r>
  <r>
    <s v="HC-02757"/>
    <s v="P-0200"/>
    <s v="Male"/>
    <n v="33"/>
    <x v="1"/>
    <s v="Diagnostic Test"/>
    <d v="2026-04-20T00:00:00"/>
    <d v="2026-04-28T00:00:00"/>
    <s v="Tuesday"/>
    <s v="Afternoon"/>
    <x v="0"/>
    <n v="8"/>
    <n v="3"/>
    <x v="1"/>
    <x v="0"/>
    <s v="WhatsApp"/>
    <m/>
    <x v="14"/>
    <x v="0"/>
  </r>
  <r>
    <s v="HC-02758"/>
    <s v="P-0509"/>
    <s v="Female"/>
    <n v="36"/>
    <x v="0"/>
    <s v="General Consultation"/>
    <d v="2025-12-12T00:00:00"/>
    <d v="2025-12-13T00:00:00"/>
    <s v="Saturday"/>
    <s v="Morning"/>
    <x v="1"/>
    <n v="1"/>
    <n v="1"/>
    <x v="0"/>
    <x v="0"/>
    <s v="SMS"/>
    <n v="7.7"/>
    <x v="47"/>
    <x v="1"/>
  </r>
  <r>
    <s v="HC-02759"/>
    <s v="P-0527"/>
    <s v="Female"/>
    <n v="69"/>
    <x v="4"/>
    <s v="General Consultation"/>
    <d v="2025-05-28T00:00:00"/>
    <d v="2025-07-16T00:00:00"/>
    <s v="Wednesday"/>
    <s v="Morning"/>
    <x v="2"/>
    <n v="49"/>
    <n v="3"/>
    <x v="1"/>
    <x v="0"/>
    <s v="SMS"/>
    <n v="16.3"/>
    <x v="23"/>
    <x v="0"/>
  </r>
  <r>
    <s v="HC-02760"/>
    <s v="P-0918"/>
    <s v="Male"/>
    <n v="47"/>
    <x v="2"/>
    <s v="Diagnostic Test"/>
    <d v="2025-07-29T00:00:00"/>
    <d v="2025-08-23T00:00:00"/>
    <s v="Saturday"/>
    <s v="Morning"/>
    <x v="3"/>
    <n v="25"/>
    <n v="5"/>
    <x v="1"/>
    <x v="0"/>
    <s v="WhatsApp"/>
    <n v="13.5"/>
    <x v="16"/>
    <x v="0"/>
  </r>
  <r>
    <s v="HC-02761"/>
    <s v="P-0043"/>
    <s v="Male"/>
    <n v="50"/>
    <x v="2"/>
    <s v="Specialist Consultation"/>
    <d v="2025-02-22T00:00:00"/>
    <d v="2025-03-15T00:00:00"/>
    <s v="Saturday"/>
    <s v="Morning"/>
    <x v="3"/>
    <n v="21"/>
    <n v="4"/>
    <x v="2"/>
    <x v="0"/>
    <s v="WhatsApp"/>
    <n v="11.8"/>
    <x v="27"/>
    <x v="0"/>
  </r>
  <r>
    <s v="HC-02762"/>
    <s v="P-0293"/>
    <s v="Female"/>
    <n v="62"/>
    <x v="3"/>
    <s v="Diagnostic Test"/>
    <d v="2025-07-12T00:00:00"/>
    <d v="2025-08-24T00:00:00"/>
    <s v="Sunday"/>
    <s v="Evening"/>
    <x v="2"/>
    <n v="43"/>
    <n v="3"/>
    <x v="0"/>
    <x v="0"/>
    <s v="Email"/>
    <n v="17.600000000000001"/>
    <x v="7"/>
    <x v="1"/>
  </r>
  <r>
    <s v="HC-02763"/>
    <s v="P-1013"/>
    <s v="Female"/>
    <n v="26"/>
    <x v="1"/>
    <s v="General Consultation"/>
    <d v="2025-06-17T00:00:00"/>
    <d v="2025-07-18T00:00:00"/>
    <s v="Friday"/>
    <s v="Afternoon"/>
    <x v="2"/>
    <n v="31"/>
    <n v="4"/>
    <x v="1"/>
    <x v="1"/>
    <s v="None"/>
    <n v="11.2"/>
    <x v="46"/>
    <x v="1"/>
  </r>
  <r>
    <s v="HC-02764"/>
    <s v="P-0668"/>
    <s v="Male"/>
    <n v="72"/>
    <x v="4"/>
    <s v="General Consultation"/>
    <d v="2024-11-26T00:00:00"/>
    <d v="2025-01-20T00:00:00"/>
    <s v="Monday"/>
    <s v="Morning"/>
    <x v="2"/>
    <n v="55"/>
    <n v="2"/>
    <x v="0"/>
    <x v="0"/>
    <s v="SMS"/>
    <n v="5"/>
    <x v="14"/>
    <x v="1"/>
  </r>
  <r>
    <s v="HC-02765"/>
    <s v="P-0085"/>
    <s v="Male"/>
    <n v="41"/>
    <x v="0"/>
    <s v="General Consultation"/>
    <d v="2025-03-25T00:00:00"/>
    <d v="2025-04-22T00:00:00"/>
    <s v="Tuesday"/>
    <s v="Morning"/>
    <x v="3"/>
    <n v="28"/>
    <n v="3"/>
    <x v="1"/>
    <x v="0"/>
    <s v="SMS"/>
    <n v="12.7"/>
    <x v="22"/>
    <x v="0"/>
  </r>
  <r>
    <s v="HC-02766"/>
    <s v="P-1700"/>
    <s v="Male"/>
    <n v="59"/>
    <x v="3"/>
    <s v="Follow-up"/>
    <d v="2025-09-06T00:00:00"/>
    <d v="2025-10-19T00:00:00"/>
    <s v="Sunday"/>
    <s v="Morning"/>
    <x v="2"/>
    <n v="43"/>
    <n v="3"/>
    <x v="1"/>
    <x v="0"/>
    <s v="SMS"/>
    <n v="14.7"/>
    <x v="0"/>
    <x v="0"/>
  </r>
  <r>
    <s v="HC-02767"/>
    <s v="P-1507"/>
    <s v="Female"/>
    <n v="45"/>
    <x v="2"/>
    <s v="Follow-up"/>
    <d v="2025-05-29T00:00:00"/>
    <d v="2025-07-21T00:00:00"/>
    <s v="Monday"/>
    <s v="Morning"/>
    <x v="2"/>
    <n v="53"/>
    <n v="3"/>
    <x v="0"/>
    <x v="1"/>
    <s v="None"/>
    <n v="4.2"/>
    <x v="52"/>
    <x v="1"/>
  </r>
  <r>
    <s v="HC-02768"/>
    <s v="P-0334"/>
    <s v="Male"/>
    <n v="65"/>
    <x v="4"/>
    <s v="General Consultation"/>
    <d v="2026-05-30T00:00:00"/>
    <d v="2026-06-27T00:00:00"/>
    <s v="Saturday"/>
    <s v="Morning"/>
    <x v="3"/>
    <n v="28"/>
    <n v="2"/>
    <x v="0"/>
    <x v="0"/>
    <s v="WhatsApp"/>
    <n v="11.1"/>
    <x v="59"/>
    <x v="2"/>
  </r>
  <r>
    <s v="HC-02769"/>
    <s v="P-0384"/>
    <s v="Female"/>
    <n v="56"/>
    <x v="3"/>
    <s v="Specialist Consultation"/>
    <d v="2025-09-02T00:00:00"/>
    <d v="2025-09-19T00:00:00"/>
    <s v="Friday"/>
    <s v="Morning"/>
    <x v="3"/>
    <n v="17"/>
    <n v="2"/>
    <x v="0"/>
    <x v="1"/>
    <s v="None"/>
    <n v="17.100000000000001"/>
    <x v="25"/>
    <x v="0"/>
  </r>
  <r>
    <s v="HC-02770"/>
    <s v="P-0247"/>
    <s v="Female"/>
    <n v="28"/>
    <x v="1"/>
    <s v="General Consultation"/>
    <d v="2026-04-10T00:00:00"/>
    <d v="2026-06-08T00:00:00"/>
    <s v="Monday"/>
    <s v="Morning"/>
    <x v="2"/>
    <n v="59"/>
    <n v="5"/>
    <x v="1"/>
    <x v="1"/>
    <s v="None"/>
    <m/>
    <x v="20"/>
    <x v="0"/>
  </r>
  <r>
    <s v="HC-02771"/>
    <s v="P-1493"/>
    <s v="Male"/>
    <n v="29"/>
    <x v="1"/>
    <s v="Follow-up"/>
    <d v="2025-12-14T00:00:00"/>
    <d v="2025-12-27T00:00:00"/>
    <s v="Saturday"/>
    <s v="Morning"/>
    <x v="0"/>
    <n v="13"/>
    <n v="4"/>
    <x v="0"/>
    <x v="0"/>
    <s v="SMS"/>
    <n v="28.4"/>
    <x v="11"/>
    <x v="0"/>
  </r>
  <r>
    <s v="HC-02772"/>
    <s v="P-0055"/>
    <s v="Male"/>
    <n v="73"/>
    <x v="4"/>
    <s v="Specialist Consultation"/>
    <d v="2025-01-21T00:00:00"/>
    <d v="2025-01-23T00:00:00"/>
    <s v="Thursday"/>
    <s v="Afternoon"/>
    <x v="1"/>
    <n v="2"/>
    <n v="7"/>
    <x v="2"/>
    <x v="1"/>
    <s v="None"/>
    <n v="6.3"/>
    <x v="10"/>
    <x v="0"/>
  </r>
  <r>
    <s v="HC-02773"/>
    <s v="P-1773"/>
    <s v="Female"/>
    <n v="50"/>
    <x v="2"/>
    <s v="Follow-up"/>
    <d v="2025-03-18T00:00:00"/>
    <d v="2025-04-22T00:00:00"/>
    <s v="Tuesday"/>
    <s v="Morning"/>
    <x v="2"/>
    <n v="35"/>
    <n v="4"/>
    <x v="0"/>
    <x v="0"/>
    <s v="WhatsApp"/>
    <n v="7.9"/>
    <x v="36"/>
    <x v="1"/>
  </r>
  <r>
    <s v="HC-02774"/>
    <s v="P-1318"/>
    <s v="Female"/>
    <n v="35"/>
    <x v="0"/>
    <s v="General Consultation"/>
    <d v="2025-11-22T00:00:00"/>
    <d v="2026-01-21T00:00:00"/>
    <s v="Wednesday"/>
    <s v="Afternoon"/>
    <x v="2"/>
    <n v="60"/>
    <n v="0"/>
    <x v="0"/>
    <x v="0"/>
    <s v="SMS"/>
    <n v="13"/>
    <x v="49"/>
    <x v="0"/>
  </r>
  <r>
    <s v="HC-02775"/>
    <s v="P-0010"/>
    <s v="Male"/>
    <n v="27"/>
    <x v="1"/>
    <s v="General Consultation"/>
    <d v="2025-10-20T00:00:00"/>
    <d v="2025-10-25T00:00:00"/>
    <s v="Saturday"/>
    <s v="Afternoon"/>
    <x v="1"/>
    <n v="5"/>
    <n v="5"/>
    <x v="1"/>
    <x v="0"/>
    <s v="SMS"/>
    <n v="6.7"/>
    <x v="8"/>
    <x v="1"/>
  </r>
  <r>
    <s v="HC-02776"/>
    <s v="P-1115"/>
    <s v="Female"/>
    <n v="26"/>
    <x v="1"/>
    <s v="General Consultation"/>
    <d v="2025-04-24T00:00:00"/>
    <d v="2025-06-14T00:00:00"/>
    <s v="Saturday"/>
    <s v="Evening"/>
    <x v="2"/>
    <n v="51"/>
    <n v="2"/>
    <x v="1"/>
    <x v="0"/>
    <s v="WhatsApp"/>
    <n v="6.5"/>
    <x v="44"/>
    <x v="0"/>
  </r>
  <r>
    <s v="HC-02777"/>
    <s v="P-1347"/>
    <s v="Female"/>
    <n v="75"/>
    <x v="4"/>
    <s v="Specialist Consultation"/>
    <d v="2025-08-24T00:00:00"/>
    <d v="2025-10-13T00:00:00"/>
    <s v="Monday"/>
    <s v="Morning"/>
    <x v="2"/>
    <n v="50"/>
    <n v="2"/>
    <x v="0"/>
    <x v="0"/>
    <s v="SMS"/>
    <n v="20.5"/>
    <x v="36"/>
    <x v="0"/>
  </r>
  <r>
    <s v="HC-02778"/>
    <s v="P-0364"/>
    <s v="Female"/>
    <n v="79"/>
    <x v="4"/>
    <s v="Follow-up"/>
    <d v="2026-03-14T00:00:00"/>
    <d v="2026-05-09T00:00:00"/>
    <s v="Saturday"/>
    <s v="Afternoon"/>
    <x v="2"/>
    <n v="56"/>
    <n v="3"/>
    <x v="1"/>
    <x v="0"/>
    <s v="WhatsApp"/>
    <n v="7.9"/>
    <x v="12"/>
    <x v="0"/>
  </r>
  <r>
    <s v="HC-02779"/>
    <s v="P-0179"/>
    <s v="Female"/>
    <n v="42"/>
    <x v="0"/>
    <s v="General Consultation"/>
    <d v="2025-07-07T00:00:00"/>
    <d v="2025-08-01T00:00:00"/>
    <s v="Friday"/>
    <s v="Afternoon"/>
    <x v="3"/>
    <n v="25"/>
    <n v="3"/>
    <x v="1"/>
    <x v="0"/>
    <s v="SMS"/>
    <n v="17.2"/>
    <x v="22"/>
    <x v="0"/>
  </r>
  <r>
    <s v="HC-02780"/>
    <s v="P-0728"/>
    <s v="Male"/>
    <n v="30"/>
    <x v="1"/>
    <s v="Diagnostic Test"/>
    <d v="2025-01-10T00:00:00"/>
    <d v="2025-01-25T00:00:00"/>
    <s v="Saturday"/>
    <s v="Evening"/>
    <x v="3"/>
    <n v="15"/>
    <n v="2"/>
    <x v="0"/>
    <x v="0"/>
    <s v="SMS"/>
    <n v="4.5999999999999996"/>
    <x v="6"/>
    <x v="1"/>
  </r>
  <r>
    <s v="HC-02781"/>
    <s v="P-0359"/>
    <s v="Female"/>
    <n v="44"/>
    <x v="0"/>
    <s v="Follow-up"/>
    <d v="2025-05-19T00:00:00"/>
    <d v="2025-06-19T00:00:00"/>
    <s v="Thursday"/>
    <s v="Afternoon"/>
    <x v="2"/>
    <n v="31"/>
    <n v="1"/>
    <x v="0"/>
    <x v="0"/>
    <s v="WhatsApp"/>
    <n v="7.8"/>
    <x v="12"/>
    <x v="1"/>
  </r>
  <r>
    <s v="HC-02782"/>
    <s v="P-0346"/>
    <s v="Male"/>
    <n v="26"/>
    <x v="1"/>
    <s v="Specialist Consultation"/>
    <d v="2026-05-18T00:00:00"/>
    <d v="2026-05-26T00:00:00"/>
    <s v="Tuesday"/>
    <s v="Morning"/>
    <x v="0"/>
    <n v="8"/>
    <n v="4"/>
    <x v="1"/>
    <x v="0"/>
    <s v="SMS"/>
    <n v="7.6"/>
    <x v="20"/>
    <x v="1"/>
  </r>
  <r>
    <s v="HC-02783"/>
    <s v="P-1230"/>
    <s v="Male"/>
    <n v="52"/>
    <x v="2"/>
    <s v="Follow-up"/>
    <d v="2025-12-31T00:00:00"/>
    <d v="2026-02-20T00:00:00"/>
    <s v="Friday"/>
    <s v="Evening"/>
    <x v="2"/>
    <n v="51"/>
    <n v="5"/>
    <x v="0"/>
    <x v="0"/>
    <s v="SMS"/>
    <n v="8"/>
    <x v="7"/>
    <x v="1"/>
  </r>
  <r>
    <s v="HC-02784"/>
    <s v="P-1258"/>
    <s v="Female"/>
    <n v="57"/>
    <x v="3"/>
    <s v="Diagnostic Test"/>
    <d v="2026-02-22T00:00:00"/>
    <d v="2026-04-03T00:00:00"/>
    <s v="Friday"/>
    <s v="Afternoon"/>
    <x v="2"/>
    <n v="40"/>
    <n v="5"/>
    <x v="0"/>
    <x v="0"/>
    <s v="SMS"/>
    <n v="4.5999999999999996"/>
    <x v="6"/>
    <x v="1"/>
  </r>
  <r>
    <s v="HC-02785"/>
    <s v="P-1599"/>
    <s v="Male"/>
    <n v="80"/>
    <x v="4"/>
    <s v="General Consultation"/>
    <d v="2026-04-14T00:00:00"/>
    <d v="2026-05-13T00:00:00"/>
    <s v="Wednesday"/>
    <s v="Morning"/>
    <x v="3"/>
    <n v="29"/>
    <n v="6"/>
    <x v="1"/>
    <x v="0"/>
    <s v="SMS"/>
    <n v="7.2"/>
    <x v="13"/>
    <x v="1"/>
  </r>
  <r>
    <s v="HC-02786"/>
    <s v="P-0249"/>
    <s v="Female"/>
    <n v="38"/>
    <x v="0"/>
    <s v="General Consultation"/>
    <d v="2025-02-03T00:00:00"/>
    <d v="2025-03-06T00:00:00"/>
    <s v="Thursday"/>
    <s v="Morning"/>
    <x v="2"/>
    <n v="31"/>
    <n v="2"/>
    <x v="1"/>
    <x v="1"/>
    <s v="None"/>
    <n v="9.5"/>
    <x v="9"/>
    <x v="0"/>
  </r>
  <r>
    <s v="HC-02787"/>
    <s v="P-0104"/>
    <s v="Male"/>
    <n v="30"/>
    <x v="1"/>
    <s v="Diagnostic Test"/>
    <d v="2025-04-22T00:00:00"/>
    <d v="2025-06-04T00:00:00"/>
    <s v="Wednesday"/>
    <s v="Evening"/>
    <x v="2"/>
    <n v="43"/>
    <n v="3"/>
    <x v="1"/>
    <x v="0"/>
    <s v="Email"/>
    <n v="2.2999999999999998"/>
    <x v="36"/>
    <x v="0"/>
  </r>
  <r>
    <s v="HC-02788"/>
    <s v="P-1360"/>
    <s v="Male"/>
    <n v="26"/>
    <x v="1"/>
    <s v="Diagnostic Test"/>
    <d v="2025-01-02T00:00:00"/>
    <d v="2025-02-02T00:00:00"/>
    <s v="Sunday"/>
    <s v="Morning"/>
    <x v="2"/>
    <n v="31"/>
    <n v="0"/>
    <x v="0"/>
    <x v="0"/>
    <s v="SMS"/>
    <n v="6.4"/>
    <x v="25"/>
    <x v="1"/>
  </r>
  <r>
    <s v="HC-02789"/>
    <s v="P-1201"/>
    <s v="Male"/>
    <n v="41"/>
    <x v="0"/>
    <s v="Follow-up"/>
    <d v="2024-11-13T00:00:00"/>
    <d v="2025-01-03T00:00:00"/>
    <s v="Friday"/>
    <s v="Afternoon"/>
    <x v="2"/>
    <n v="51"/>
    <n v="4"/>
    <x v="0"/>
    <x v="0"/>
    <s v="SMS"/>
    <n v="13"/>
    <x v="15"/>
    <x v="0"/>
  </r>
  <r>
    <s v="HC-02790"/>
    <s v="P-0612"/>
    <s v="Female"/>
    <n v="55"/>
    <x v="3"/>
    <s v="General Consultation"/>
    <d v="2026-02-04T00:00:00"/>
    <d v="2026-04-01T00:00:00"/>
    <s v="Wednesday"/>
    <s v="Morning"/>
    <x v="2"/>
    <n v="56"/>
    <n v="3"/>
    <x v="1"/>
    <x v="0"/>
    <s v="SMS"/>
    <n v="5.7"/>
    <x v="24"/>
    <x v="0"/>
  </r>
  <r>
    <s v="HC-02791"/>
    <s v="P-0818"/>
    <s v="Male"/>
    <n v="22"/>
    <x v="5"/>
    <s v="General Consultation"/>
    <d v="2026-03-31T00:00:00"/>
    <d v="2026-05-27T00:00:00"/>
    <s v="Wednesday"/>
    <s v="Afternoon"/>
    <x v="2"/>
    <n v="57"/>
    <n v="2"/>
    <x v="0"/>
    <x v="1"/>
    <s v="None"/>
    <n v="10.9"/>
    <x v="4"/>
    <x v="1"/>
  </r>
  <r>
    <s v="HC-02792"/>
    <s v="P-0856"/>
    <s v="Male"/>
    <n v="65"/>
    <x v="4"/>
    <s v="Specialist Consultation"/>
    <d v="2025-02-18T00:00:00"/>
    <d v="2025-03-27T00:00:00"/>
    <s v="Thursday"/>
    <s v="Morning"/>
    <x v="2"/>
    <n v="37"/>
    <n v="2"/>
    <x v="2"/>
    <x v="0"/>
    <s v="SMS"/>
    <n v="5.4"/>
    <x v="4"/>
    <x v="0"/>
  </r>
  <r>
    <s v="HC-02793"/>
    <s v="P-1305"/>
    <s v="Female"/>
    <n v="46"/>
    <x v="2"/>
    <s v="Specialist Consultation"/>
    <d v="2025-12-16T00:00:00"/>
    <d v="2026-01-30T00:00:00"/>
    <s v="Friday"/>
    <s v="Afternoon"/>
    <x v="2"/>
    <n v="45"/>
    <n v="3"/>
    <x v="1"/>
    <x v="0"/>
    <s v="WhatsApp"/>
    <n v="8.9"/>
    <x v="7"/>
    <x v="2"/>
  </r>
  <r>
    <s v="HC-02794"/>
    <s v="P-1453"/>
    <s v="Female"/>
    <n v="67"/>
    <x v="4"/>
    <s v="General Consultation"/>
    <d v="2025-10-02T00:00:00"/>
    <d v="2025-10-20T00:00:00"/>
    <s v="Monday"/>
    <s v="Afternoon"/>
    <x v="3"/>
    <n v="18"/>
    <n v="5"/>
    <x v="1"/>
    <x v="0"/>
    <s v="WhatsApp"/>
    <n v="1.7"/>
    <x v="10"/>
    <x v="0"/>
  </r>
  <r>
    <s v="HC-02795"/>
    <s v="P-1399"/>
    <s v="Female"/>
    <n v="47"/>
    <x v="2"/>
    <s v="General Consultation"/>
    <d v="2025-02-05T00:00:00"/>
    <d v="2025-02-07T00:00:00"/>
    <s v="Friday"/>
    <s v="Evening"/>
    <x v="1"/>
    <n v="2"/>
    <n v="2"/>
    <x v="1"/>
    <x v="0"/>
    <s v="SMS"/>
    <n v="12.7"/>
    <x v="14"/>
    <x v="0"/>
  </r>
  <r>
    <s v="HC-02796"/>
    <s v="P-0958"/>
    <s v="Female"/>
    <n v="27"/>
    <x v="1"/>
    <s v="Follow-up"/>
    <d v="2026-04-21T00:00:00"/>
    <d v="2026-05-15T00:00:00"/>
    <s v="Friday"/>
    <s v="Morning"/>
    <x v="3"/>
    <n v="24"/>
    <n v="1"/>
    <x v="1"/>
    <x v="0"/>
    <s v="SMS"/>
    <n v="6.6"/>
    <x v="31"/>
    <x v="0"/>
  </r>
  <r>
    <s v="HC-02797"/>
    <s v="P-0746"/>
    <s v="Female"/>
    <n v="19"/>
    <x v="5"/>
    <s v="Specialist Consultation"/>
    <d v="2026-02-27T00:00:00"/>
    <d v="2026-04-21T00:00:00"/>
    <s v="Tuesday"/>
    <s v="Morning"/>
    <x v="2"/>
    <n v="53"/>
    <n v="1"/>
    <x v="0"/>
    <x v="0"/>
    <s v="WhatsApp"/>
    <n v="16"/>
    <x v="11"/>
    <x v="1"/>
  </r>
  <r>
    <s v="HC-02798"/>
    <s v="P-0696"/>
    <s v="Male"/>
    <n v="53"/>
    <x v="2"/>
    <s v="Follow-up"/>
    <d v="2025-10-29T00:00:00"/>
    <d v="2025-11-06T00:00:00"/>
    <s v="Thursday"/>
    <s v="Morning"/>
    <x v="0"/>
    <n v="8"/>
    <n v="2"/>
    <x v="0"/>
    <x v="0"/>
    <s v="SMS"/>
    <n v="8.3000000000000007"/>
    <x v="24"/>
    <x v="0"/>
  </r>
  <r>
    <s v="HC-02799"/>
    <s v="P-1625"/>
    <s v="Prefer not to say"/>
    <n v="51"/>
    <x v="2"/>
    <s v="Follow-up"/>
    <d v="2025-12-20T00:00:00"/>
    <d v="2026-01-22T00:00:00"/>
    <s v="Thursday"/>
    <s v="Morning"/>
    <x v="2"/>
    <n v="33"/>
    <n v="3"/>
    <x v="1"/>
    <x v="0"/>
    <s v="WhatsApp"/>
    <n v="7"/>
    <x v="6"/>
    <x v="1"/>
  </r>
  <r>
    <s v="HC-02800"/>
    <s v="P-0690"/>
    <s v="Female"/>
    <n v="69"/>
    <x v="4"/>
    <s v="Diagnostic Test"/>
    <d v="2025-07-25T00:00:00"/>
    <d v="2025-08-05T00:00:00"/>
    <s v="Tuesday"/>
    <s v="Evening"/>
    <x v="0"/>
    <n v="11"/>
    <n v="0"/>
    <x v="0"/>
    <x v="0"/>
    <s v="WhatsApp"/>
    <n v="5.9"/>
    <x v="27"/>
    <x v="1"/>
  </r>
  <r>
    <s v="HC-02801"/>
    <s v="P-0934"/>
    <s v="Male"/>
    <n v="73"/>
    <x v="4"/>
    <s v="General Consultation"/>
    <d v="2026-02-11T00:00:00"/>
    <d v="2026-03-09T00:00:00"/>
    <s v="Monday"/>
    <s v="Morning"/>
    <x v="3"/>
    <n v="26"/>
    <n v="3"/>
    <x v="0"/>
    <x v="0"/>
    <s v="Email"/>
    <n v="6.5"/>
    <x v="36"/>
    <x v="0"/>
  </r>
  <r>
    <s v="HC-02802"/>
    <s v="P-0942"/>
    <s v="Male"/>
    <n v="28"/>
    <x v="1"/>
    <s v="Follow-up"/>
    <d v="2025-08-23T00:00:00"/>
    <d v="2025-08-31T00:00:00"/>
    <s v="Sunday"/>
    <s v="Morning"/>
    <x v="0"/>
    <n v="8"/>
    <n v="3"/>
    <x v="0"/>
    <x v="0"/>
    <s v="SMS"/>
    <n v="6.3"/>
    <x v="40"/>
    <x v="1"/>
  </r>
  <r>
    <s v="HC-02803"/>
    <s v="P-1460"/>
    <s v="Female"/>
    <n v="37"/>
    <x v="0"/>
    <s v="Follow-up"/>
    <d v="2026-05-12T00:00:00"/>
    <d v="2026-06-25T00:00:00"/>
    <s v="Thursday"/>
    <s v="Afternoon"/>
    <x v="2"/>
    <n v="44"/>
    <n v="2"/>
    <x v="0"/>
    <x v="0"/>
    <s v="SMS"/>
    <n v="5.3"/>
    <x v="19"/>
    <x v="0"/>
  </r>
  <r>
    <s v="HC-02804"/>
    <s v="P-0296"/>
    <s v="Male"/>
    <n v="31"/>
    <x v="1"/>
    <s v="Follow-up"/>
    <d v="2024-12-17T00:00:00"/>
    <d v="2025-02-04T00:00:00"/>
    <s v="Tuesday"/>
    <s v="Morning"/>
    <x v="2"/>
    <n v="49"/>
    <n v="5"/>
    <x v="1"/>
    <x v="0"/>
    <s v="SMS"/>
    <n v="5.7"/>
    <x v="36"/>
    <x v="1"/>
  </r>
  <r>
    <s v="HC-02805"/>
    <s v="P-0071"/>
    <s v="Male"/>
    <n v="24"/>
    <x v="5"/>
    <s v="Specialist Consultation"/>
    <d v="2025-02-17T00:00:00"/>
    <d v="2025-04-04T00:00:00"/>
    <s v="Friday"/>
    <s v="Morning"/>
    <x v="2"/>
    <n v="46"/>
    <n v="2"/>
    <x v="0"/>
    <x v="1"/>
    <s v="None"/>
    <n v="27.3"/>
    <x v="36"/>
    <x v="1"/>
  </r>
  <r>
    <s v="HC-02806"/>
    <s v="P-0500"/>
    <s v="Male"/>
    <n v="18"/>
    <x v="5"/>
    <s v="Follow-up"/>
    <d v="2026-05-02T00:00:00"/>
    <d v="2026-06-13T00:00:00"/>
    <s v="Saturday"/>
    <s v="Afternoon"/>
    <x v="2"/>
    <n v="42"/>
    <n v="6"/>
    <x v="1"/>
    <x v="0"/>
    <s v="WhatsApp"/>
    <n v="8.5"/>
    <x v="19"/>
    <x v="0"/>
  </r>
  <r>
    <s v="HC-02807"/>
    <s v="P-0021"/>
    <s v="Female"/>
    <n v="23"/>
    <x v="5"/>
    <s v="Follow-up"/>
    <d v="2025-05-24T00:00:00"/>
    <d v="2025-06-07T00:00:00"/>
    <s v="Saturday"/>
    <s v="Morning"/>
    <x v="0"/>
    <n v="14"/>
    <n v="3"/>
    <x v="0"/>
    <x v="0"/>
    <s v="SMS"/>
    <n v="2.2999999999999998"/>
    <x v="47"/>
    <x v="1"/>
  </r>
  <r>
    <s v="HC-02808"/>
    <s v="P-1003"/>
    <s v="Female"/>
    <n v="51"/>
    <x v="2"/>
    <s v="General Consultation"/>
    <d v="2025-05-18T00:00:00"/>
    <d v="2025-06-19T00:00:00"/>
    <s v="Thursday"/>
    <s v="Afternoon"/>
    <x v="2"/>
    <n v="32"/>
    <n v="2"/>
    <x v="2"/>
    <x v="0"/>
    <s v="Email"/>
    <n v="2.2999999999999998"/>
    <x v="8"/>
    <x v="1"/>
  </r>
  <r>
    <s v="HC-02809"/>
    <s v="P-1750"/>
    <s v="Male"/>
    <n v="27"/>
    <x v="1"/>
    <s v="Specialist Consultation"/>
    <d v="2026-03-03T00:00:00"/>
    <d v="2026-03-09T00:00:00"/>
    <s v="Monday"/>
    <s v="Afternoon"/>
    <x v="1"/>
    <n v="6"/>
    <n v="6"/>
    <x v="0"/>
    <x v="1"/>
    <s v="None"/>
    <n v="27.7"/>
    <x v="10"/>
    <x v="1"/>
  </r>
  <r>
    <s v="HC-02810"/>
    <s v="P-0366"/>
    <s v="Female"/>
    <n v="30"/>
    <x v="1"/>
    <s v="General Consultation"/>
    <d v="2025-03-23T00:00:00"/>
    <d v="2025-04-14T00:00:00"/>
    <s v="Monday"/>
    <s v="Morning"/>
    <x v="3"/>
    <n v="22"/>
    <n v="2"/>
    <x v="1"/>
    <x v="1"/>
    <s v="None"/>
    <n v="8.1999999999999993"/>
    <x v="27"/>
    <x v="0"/>
  </r>
  <r>
    <s v="HC-02811"/>
    <s v="P-0204"/>
    <s v="Female"/>
    <n v="25"/>
    <x v="1"/>
    <s v="General Consultation"/>
    <d v="2025-09-08T00:00:00"/>
    <d v="2025-10-08T00:00:00"/>
    <s v="Wednesday"/>
    <s v="Afternoon"/>
    <x v="3"/>
    <n v="30"/>
    <n v="2"/>
    <x v="2"/>
    <x v="1"/>
    <s v="None"/>
    <n v="3.9"/>
    <x v="36"/>
    <x v="0"/>
  </r>
  <r>
    <s v="HC-02812"/>
    <s v="P-1104"/>
    <s v="Female"/>
    <n v="63"/>
    <x v="3"/>
    <s v="Follow-up"/>
    <d v="2025-04-27T00:00:00"/>
    <d v="2025-06-06T00:00:00"/>
    <s v="Friday"/>
    <s v="Afternoon"/>
    <x v="2"/>
    <n v="40"/>
    <n v="2"/>
    <x v="0"/>
    <x v="0"/>
    <s v="WhatsApp"/>
    <n v="17.2"/>
    <x v="11"/>
    <x v="0"/>
  </r>
  <r>
    <s v="HC-02813"/>
    <s v="P-1735"/>
    <s v="Female"/>
    <n v="58"/>
    <x v="3"/>
    <s v="Follow-up"/>
    <d v="2025-04-14T00:00:00"/>
    <d v="2025-04-19T00:00:00"/>
    <s v="Saturday"/>
    <s v="Morning"/>
    <x v="1"/>
    <n v="5"/>
    <n v="6"/>
    <x v="1"/>
    <x v="0"/>
    <s v="SMS"/>
    <n v="5.8"/>
    <x v="25"/>
    <x v="0"/>
  </r>
  <r>
    <s v="HC-02814"/>
    <s v="P-0464"/>
    <s v="Female"/>
    <n v="78"/>
    <x v="4"/>
    <s v="Diagnostic Test"/>
    <d v="2026-04-23T00:00:00"/>
    <d v="2026-06-11T00:00:00"/>
    <s v="Thursday"/>
    <s v="Afternoon"/>
    <x v="2"/>
    <n v="49"/>
    <n v="2"/>
    <x v="0"/>
    <x v="1"/>
    <s v="None"/>
    <n v="9.1999999999999993"/>
    <x v="25"/>
    <x v="1"/>
  </r>
  <r>
    <s v="HC-02815"/>
    <s v="P-0148"/>
    <s v="Male"/>
    <n v="25"/>
    <x v="1"/>
    <s v="Specialist Consultation"/>
    <d v="2025-03-24T00:00:00"/>
    <d v="2025-04-20T00:00:00"/>
    <s v="Sunday"/>
    <s v="Morning"/>
    <x v="3"/>
    <n v="27"/>
    <n v="5"/>
    <x v="0"/>
    <x v="1"/>
    <s v="None"/>
    <n v="10.199999999999999"/>
    <x v="49"/>
    <x v="1"/>
  </r>
  <r>
    <s v="HC-02816"/>
    <s v="P-1147"/>
    <s v="Female"/>
    <n v="31"/>
    <x v="1"/>
    <s v="Specialist Consultation"/>
    <d v="2024-12-30T00:00:00"/>
    <d v="2025-02-21T00:00:00"/>
    <s v="Friday"/>
    <s v="Afternoon"/>
    <x v="2"/>
    <n v="53"/>
    <n v="3"/>
    <x v="0"/>
    <x v="1"/>
    <s v="None"/>
    <n v="4.0999999999999996"/>
    <x v="2"/>
    <x v="1"/>
  </r>
  <r>
    <s v="HC-02817"/>
    <s v="P-1751"/>
    <s v="Male"/>
    <n v="46"/>
    <x v="2"/>
    <s v="General Consultation"/>
    <d v="2025-12-02T00:00:00"/>
    <d v="2026-01-03T00:00:00"/>
    <s v="Saturday"/>
    <s v="Afternoon"/>
    <x v="2"/>
    <n v="32"/>
    <n v="4"/>
    <x v="1"/>
    <x v="1"/>
    <s v="None"/>
    <n v="5.9"/>
    <x v="14"/>
    <x v="1"/>
  </r>
  <r>
    <s v="HC-02818"/>
    <s v="P-0223"/>
    <s v="Male"/>
    <n v="58"/>
    <x v="3"/>
    <s v="Follow-up"/>
    <d v="2026-03-17T00:00:00"/>
    <d v="2026-04-19T00:00:00"/>
    <s v="Sunday"/>
    <s v="Morning"/>
    <x v="2"/>
    <n v="33"/>
    <n v="0"/>
    <x v="0"/>
    <x v="0"/>
    <s v="WhatsApp"/>
    <n v="14"/>
    <x v="26"/>
    <x v="0"/>
  </r>
  <r>
    <s v="HC-02819"/>
    <s v="P-1013"/>
    <s v="Male"/>
    <n v="26"/>
    <x v="1"/>
    <s v="Diagnostic Test"/>
    <d v="2025-01-28T00:00:00"/>
    <d v="2025-03-11T00:00:00"/>
    <s v="Tuesday"/>
    <s v="Afternoon"/>
    <x v="2"/>
    <n v="42"/>
    <n v="1"/>
    <x v="0"/>
    <x v="0"/>
    <s v="SMS"/>
    <n v="20.7"/>
    <x v="16"/>
    <x v="1"/>
  </r>
  <r>
    <s v="HC-02820"/>
    <s v="P-0905"/>
    <s v="Female"/>
    <n v="31"/>
    <x v="1"/>
    <s v="General Consultation"/>
    <d v="2025-12-03T00:00:00"/>
    <d v="2026-01-22T00:00:00"/>
    <s v="Thursday"/>
    <s v="Morning"/>
    <x v="2"/>
    <n v="50"/>
    <n v="6"/>
    <x v="1"/>
    <x v="0"/>
    <s v="SMS"/>
    <n v="14.9"/>
    <x v="47"/>
    <x v="1"/>
  </r>
  <r>
    <s v="HC-02821"/>
    <s v="P-0468"/>
    <s v="Female"/>
    <n v="44"/>
    <x v="0"/>
    <s v="Specialist Consultation"/>
    <d v="2025-10-14T00:00:00"/>
    <d v="2025-10-23T00:00:00"/>
    <s v="Thursday"/>
    <s v="Afternoon"/>
    <x v="0"/>
    <n v="9"/>
    <n v="3"/>
    <x v="1"/>
    <x v="0"/>
    <s v="WhatsApp"/>
    <n v="11.3"/>
    <x v="50"/>
    <x v="0"/>
  </r>
  <r>
    <s v="HC-02822"/>
    <s v="P-1351"/>
    <s v="Male"/>
    <n v="19"/>
    <x v="5"/>
    <s v="Follow-up"/>
    <d v="2026-02-27T00:00:00"/>
    <d v="2026-03-30T00:00:00"/>
    <s v="Monday"/>
    <s v="Afternoon"/>
    <x v="2"/>
    <n v="31"/>
    <n v="6"/>
    <x v="1"/>
    <x v="0"/>
    <s v="Email"/>
    <n v="6.9"/>
    <x v="20"/>
    <x v="0"/>
  </r>
  <r>
    <s v="HC-02823"/>
    <s v="P-0544"/>
    <s v="Male"/>
    <n v="42"/>
    <x v="0"/>
    <s v="General Consultation"/>
    <d v="2025-03-10T00:00:00"/>
    <d v="2025-03-11T00:00:00"/>
    <s v="Tuesday"/>
    <s v="Morning"/>
    <x v="1"/>
    <n v="1"/>
    <n v="5"/>
    <x v="1"/>
    <x v="0"/>
    <s v="SMS"/>
    <n v="12.3"/>
    <x v="15"/>
    <x v="0"/>
  </r>
  <r>
    <s v="HC-02824"/>
    <s v="P-0568"/>
    <s v="Female"/>
    <n v="65"/>
    <x v="4"/>
    <s v="Follow-up"/>
    <d v="2026-05-20T00:00:00"/>
    <d v="2026-06-17T00:00:00"/>
    <s v="Wednesday"/>
    <s v="Morning"/>
    <x v="3"/>
    <n v="28"/>
    <n v="2"/>
    <x v="0"/>
    <x v="1"/>
    <s v="None"/>
    <n v="13.7"/>
    <x v="49"/>
    <x v="2"/>
  </r>
  <r>
    <s v="HC-02825"/>
    <s v="P-0694"/>
    <s v="Male"/>
    <n v="51"/>
    <x v="2"/>
    <s v="General Consultation"/>
    <d v="2025-10-17T00:00:00"/>
    <d v="2025-12-05T00:00:00"/>
    <s v="Friday"/>
    <s v="Evening"/>
    <x v="2"/>
    <n v="49"/>
    <n v="6"/>
    <x v="1"/>
    <x v="0"/>
    <s v="SMS"/>
    <n v="20.3"/>
    <x v="0"/>
    <x v="1"/>
  </r>
  <r>
    <s v="HC-02826"/>
    <s v="P-1375"/>
    <s v="Male"/>
    <n v="45"/>
    <x v="2"/>
    <s v="General Consultation"/>
    <d v="2026-02-12T00:00:00"/>
    <d v="2026-04-05T00:00:00"/>
    <s v="Sunday"/>
    <s v="Morning"/>
    <x v="2"/>
    <n v="52"/>
    <n v="3"/>
    <x v="0"/>
    <x v="0"/>
    <s v="WhatsApp"/>
    <n v="8.9"/>
    <x v="2"/>
    <x v="0"/>
  </r>
  <r>
    <s v="HC-02827"/>
    <s v="P-0089"/>
    <s v="Female"/>
    <n v="48"/>
    <x v="2"/>
    <s v="General Consultation"/>
    <d v="2025-06-30T00:00:00"/>
    <d v="2025-07-17T00:00:00"/>
    <s v="Thursday"/>
    <s v="Morning"/>
    <x v="3"/>
    <n v="17"/>
    <n v="1"/>
    <x v="0"/>
    <x v="0"/>
    <s v="SMS"/>
    <n v="33.4"/>
    <x v="12"/>
    <x v="1"/>
  </r>
  <r>
    <s v="HC-02828"/>
    <s v="P-0595"/>
    <s v="Male"/>
    <n v="77"/>
    <x v="4"/>
    <s v="General Consultation"/>
    <d v="2026-05-08T00:00:00"/>
    <d v="2026-05-31T00:00:00"/>
    <s v="Sunday"/>
    <s v="Morning"/>
    <x v="3"/>
    <n v="23"/>
    <n v="4"/>
    <x v="1"/>
    <x v="0"/>
    <s v="SMS"/>
    <n v="16.3"/>
    <x v="28"/>
    <x v="0"/>
  </r>
  <r>
    <s v="HC-02829"/>
    <s v="P-1359"/>
    <s v="Male"/>
    <n v="50"/>
    <x v="2"/>
    <s v="General Consultation"/>
    <d v="2025-11-05T00:00:00"/>
    <d v="2025-12-08T00:00:00"/>
    <s v="Monday"/>
    <s v="Afternoon"/>
    <x v="2"/>
    <n v="33"/>
    <n v="3"/>
    <x v="0"/>
    <x v="1"/>
    <s v="None"/>
    <n v="8.3000000000000007"/>
    <x v="10"/>
    <x v="1"/>
  </r>
  <r>
    <s v="HC-02830"/>
    <s v="P-1391"/>
    <s v="Male"/>
    <n v="51"/>
    <x v="2"/>
    <s v="Diagnostic Test"/>
    <d v="2025-02-15T00:00:00"/>
    <d v="2025-03-11T00:00:00"/>
    <s v="Tuesday"/>
    <s v="Morning"/>
    <x v="3"/>
    <n v="24"/>
    <n v="2"/>
    <x v="0"/>
    <x v="0"/>
    <s v="SMS"/>
    <n v="18.3"/>
    <x v="10"/>
    <x v="0"/>
  </r>
  <r>
    <s v="HC-02831"/>
    <s v="P-1365"/>
    <s v="Female"/>
    <n v="76"/>
    <x v="4"/>
    <s v="General Consultation"/>
    <d v="2026-05-09T00:00:00"/>
    <d v="2026-05-19T00:00:00"/>
    <s v="Tuesday"/>
    <s v="Afternoon"/>
    <x v="0"/>
    <n v="10"/>
    <n v="3"/>
    <x v="0"/>
    <x v="0"/>
    <s v="Email"/>
    <n v="7.1"/>
    <x v="17"/>
    <x v="0"/>
  </r>
  <r>
    <s v="HC-02832"/>
    <s v="P-1561"/>
    <s v="Female"/>
    <n v="27"/>
    <x v="1"/>
    <s v="Specialist Consultation"/>
    <d v="2026-02-21T00:00:00"/>
    <d v="2026-03-11T00:00:00"/>
    <s v="Wednesday"/>
    <s v="Afternoon"/>
    <x v="3"/>
    <n v="18"/>
    <n v="3"/>
    <x v="1"/>
    <x v="1"/>
    <s v="None"/>
    <n v="5.8"/>
    <x v="9"/>
    <x v="1"/>
  </r>
  <r>
    <s v="HC-02833"/>
    <s v="P-0336"/>
    <s v="Female"/>
    <n v="24"/>
    <x v="5"/>
    <s v="Follow-up"/>
    <d v="2025-05-20T00:00:00"/>
    <d v="2025-06-13T00:00:00"/>
    <s v="Friday"/>
    <s v="Morning"/>
    <x v="3"/>
    <n v="24"/>
    <n v="2"/>
    <x v="0"/>
    <x v="0"/>
    <s v="Email"/>
    <n v="2.4"/>
    <x v="7"/>
    <x v="0"/>
  </r>
  <r>
    <s v="HC-02834"/>
    <s v="P-0087"/>
    <s v="Female"/>
    <n v="46"/>
    <x v="2"/>
    <s v="General Consultation"/>
    <d v="2025-09-24T00:00:00"/>
    <d v="2025-10-25T00:00:00"/>
    <s v="Saturday"/>
    <s v="Afternoon"/>
    <x v="2"/>
    <n v="31"/>
    <n v="2"/>
    <x v="0"/>
    <x v="0"/>
    <s v="SMS"/>
    <n v="26.9"/>
    <x v="14"/>
    <x v="2"/>
  </r>
  <r>
    <s v="HC-02835"/>
    <s v="P-0253"/>
    <s v="Female"/>
    <n v="38"/>
    <x v="0"/>
    <s v="General Consultation"/>
    <d v="2025-06-05T00:00:00"/>
    <d v="2025-07-31T00:00:00"/>
    <s v="Thursday"/>
    <s v="Morning"/>
    <x v="2"/>
    <n v="56"/>
    <n v="1"/>
    <x v="0"/>
    <x v="0"/>
    <s v="WhatsApp"/>
    <n v="7"/>
    <x v="3"/>
    <x v="0"/>
  </r>
  <r>
    <s v="HC-02836"/>
    <s v="P-0476"/>
    <s v="Male"/>
    <n v="30"/>
    <x v="1"/>
    <s v="Diagnostic Test"/>
    <d v="2025-09-21T00:00:00"/>
    <d v="2025-10-24T00:00:00"/>
    <s v="Friday"/>
    <s v="Morning"/>
    <x v="2"/>
    <n v="33"/>
    <n v="2"/>
    <x v="0"/>
    <x v="1"/>
    <s v="None"/>
    <n v="13.6"/>
    <x v="7"/>
    <x v="0"/>
  </r>
  <r>
    <s v="HC-02837"/>
    <s v="P-0683"/>
    <s v="Female"/>
    <n v="25"/>
    <x v="1"/>
    <s v="Follow-up"/>
    <d v="2026-05-20T00:00:00"/>
    <d v="2026-06-12T00:00:00"/>
    <s v="Friday"/>
    <s v="Afternoon"/>
    <x v="3"/>
    <n v="23"/>
    <n v="9"/>
    <x v="1"/>
    <x v="0"/>
    <s v="Email"/>
    <n v="16.5"/>
    <x v="2"/>
    <x v="1"/>
  </r>
  <r>
    <s v="HC-02838"/>
    <s v="P-1741"/>
    <s v="Female"/>
    <n v="73"/>
    <x v="4"/>
    <s v="Diagnostic Test"/>
    <d v="2026-03-27T00:00:00"/>
    <d v="2026-05-06T00:00:00"/>
    <s v="Wednesday"/>
    <s v="Morning"/>
    <x v="2"/>
    <n v="40"/>
    <n v="5"/>
    <x v="1"/>
    <x v="0"/>
    <s v="Email"/>
    <n v="7.2"/>
    <x v="47"/>
    <x v="1"/>
  </r>
  <r>
    <s v="HC-02839"/>
    <s v="P-1666"/>
    <s v="Male"/>
    <n v="56"/>
    <x v="3"/>
    <s v="General Consultation"/>
    <d v="2025-03-12T00:00:00"/>
    <d v="2025-04-28T00:00:00"/>
    <s v="Monday"/>
    <s v="Evening"/>
    <x v="2"/>
    <n v="47"/>
    <n v="3"/>
    <x v="0"/>
    <x v="0"/>
    <s v="SMS"/>
    <n v="7.6"/>
    <x v="8"/>
    <x v="0"/>
  </r>
  <r>
    <s v="HC-02840"/>
    <s v="P-0169"/>
    <s v="Female"/>
    <n v="61"/>
    <x v="3"/>
    <s v="Specialist Consultation"/>
    <d v="2026-05-20T00:00:00"/>
    <d v="2026-06-15T00:00:00"/>
    <s v="Monday"/>
    <s v="Afternoon"/>
    <x v="3"/>
    <n v="26"/>
    <n v="1"/>
    <x v="0"/>
    <x v="1"/>
    <s v="None"/>
    <n v="2.2999999999999998"/>
    <x v="39"/>
    <x v="0"/>
  </r>
  <r>
    <s v="HC-02841"/>
    <s v="P-0273"/>
    <s v="Female"/>
    <n v="25"/>
    <x v="1"/>
    <s v="Specialist Consultation"/>
    <d v="2025-07-30T00:00:00"/>
    <d v="2025-08-28T00:00:00"/>
    <s v="Thursday"/>
    <s v="Morning"/>
    <x v="3"/>
    <n v="29"/>
    <n v="0"/>
    <x v="0"/>
    <x v="1"/>
    <s v="None"/>
    <n v="4.3"/>
    <x v="3"/>
    <x v="1"/>
  </r>
  <r>
    <s v="HC-02842"/>
    <s v="P-0234"/>
    <s v="Male"/>
    <n v="39"/>
    <x v="0"/>
    <s v="Diagnostic Test"/>
    <d v="2026-01-07T00:00:00"/>
    <d v="2026-01-20T00:00:00"/>
    <s v="Tuesday"/>
    <s v="Evening"/>
    <x v="0"/>
    <n v="13"/>
    <n v="1"/>
    <x v="0"/>
    <x v="1"/>
    <s v="None"/>
    <n v="3"/>
    <x v="6"/>
    <x v="0"/>
  </r>
  <r>
    <s v="HC-02843"/>
    <s v="P-1561"/>
    <s v="Male"/>
    <n v="57"/>
    <x v="3"/>
    <s v="General Consultation"/>
    <d v="2026-01-01T00:00:00"/>
    <d v="2026-02-22T00:00:00"/>
    <s v="Sunday"/>
    <s v="Afternoon"/>
    <x v="2"/>
    <n v="52"/>
    <n v="3"/>
    <x v="0"/>
    <x v="0"/>
    <s v="SMS"/>
    <n v="31.1"/>
    <x v="26"/>
    <x v="1"/>
  </r>
  <r>
    <s v="HC-02844"/>
    <s v="P-0028"/>
    <s v="Female"/>
    <n v="51"/>
    <x v="2"/>
    <s v="Diagnostic Test"/>
    <d v="2025-07-31T00:00:00"/>
    <d v="2025-09-21T00:00:00"/>
    <s v="Sunday"/>
    <s v="Morning"/>
    <x v="2"/>
    <n v="52"/>
    <n v="4"/>
    <x v="0"/>
    <x v="0"/>
    <s v="SMS"/>
    <n v="8"/>
    <x v="5"/>
    <x v="1"/>
  </r>
  <r>
    <s v="HC-02845"/>
    <s v="P-0754"/>
    <s v="Male"/>
    <n v="61"/>
    <x v="3"/>
    <s v="General Consultation"/>
    <d v="2025-08-28T00:00:00"/>
    <d v="2025-09-07T00:00:00"/>
    <s v="Sunday"/>
    <s v="Afternoon"/>
    <x v="0"/>
    <n v="10"/>
    <n v="1"/>
    <x v="0"/>
    <x v="0"/>
    <s v="SMS"/>
    <n v="5.6"/>
    <x v="4"/>
    <x v="1"/>
  </r>
  <r>
    <s v="HC-02846"/>
    <s v="P-0479"/>
    <s v="Male"/>
    <n v="60"/>
    <x v="3"/>
    <s v="Specialist Consultation"/>
    <d v="2025-08-17T00:00:00"/>
    <d v="2025-09-07T00:00:00"/>
    <s v="Sunday"/>
    <s v="Evening"/>
    <x v="3"/>
    <n v="21"/>
    <n v="3"/>
    <x v="2"/>
    <x v="0"/>
    <s v="WhatsApp"/>
    <m/>
    <x v="27"/>
    <x v="1"/>
  </r>
  <r>
    <s v="HC-02847"/>
    <s v="P-1558"/>
    <s v="Male"/>
    <n v="44"/>
    <x v="0"/>
    <s v="Follow-up"/>
    <d v="2026-03-31T00:00:00"/>
    <d v="2026-04-16T00:00:00"/>
    <s v="Thursday"/>
    <s v="Morning"/>
    <x v="3"/>
    <n v="16"/>
    <n v="2"/>
    <x v="0"/>
    <x v="1"/>
    <s v="None"/>
    <n v="9.1"/>
    <x v="19"/>
    <x v="1"/>
  </r>
  <r>
    <s v="HC-02848"/>
    <s v="P-1062"/>
    <s v="Prefer not to say"/>
    <n v="67"/>
    <x v="4"/>
    <s v="Follow-up"/>
    <d v="2025-06-04T00:00:00"/>
    <d v="2025-07-30T00:00:00"/>
    <s v="Wednesday"/>
    <s v="Morning"/>
    <x v="2"/>
    <n v="56"/>
    <n v="2"/>
    <x v="0"/>
    <x v="0"/>
    <s v="SMS"/>
    <n v="5.0999999999999996"/>
    <x v="6"/>
    <x v="1"/>
  </r>
  <r>
    <s v="HC-02849"/>
    <s v="P-1159"/>
    <s v="Female"/>
    <n v="34"/>
    <x v="1"/>
    <s v="General Consultation"/>
    <d v="2025-05-30T00:00:00"/>
    <d v="2025-06-02T00:00:00"/>
    <s v="Monday"/>
    <s v="Afternoon"/>
    <x v="1"/>
    <n v="3"/>
    <n v="2"/>
    <x v="0"/>
    <x v="0"/>
    <s v="WhatsApp"/>
    <n v="13.3"/>
    <x v="16"/>
    <x v="1"/>
  </r>
  <r>
    <s v="HC-02850"/>
    <s v="P-0460"/>
    <s v="Female"/>
    <n v="23"/>
    <x v="5"/>
    <s v="Specialist Consultation"/>
    <d v="2025-07-05T00:00:00"/>
    <d v="2025-07-17T00:00:00"/>
    <s v="Thursday"/>
    <s v="Morning"/>
    <x v="0"/>
    <n v="12"/>
    <n v="2"/>
    <x v="0"/>
    <x v="0"/>
    <s v="SMS"/>
    <n v="16.5"/>
    <x v="33"/>
    <x v="1"/>
  </r>
  <r>
    <s v="HC-02851"/>
    <s v="P-1379"/>
    <s v="Male"/>
    <n v="75"/>
    <x v="4"/>
    <s v="General Consultation"/>
    <d v="2025-03-29T00:00:00"/>
    <d v="2025-04-17T00:00:00"/>
    <s v="Thursday"/>
    <s v="Morning"/>
    <x v="3"/>
    <n v="19"/>
    <n v="3"/>
    <x v="0"/>
    <x v="0"/>
    <s v="WhatsApp"/>
    <n v="8.1"/>
    <x v="12"/>
    <x v="0"/>
  </r>
  <r>
    <s v="HC-02852"/>
    <s v="P-1744"/>
    <s v="Female"/>
    <n v="19"/>
    <x v="5"/>
    <s v="Follow-up"/>
    <d v="2025-06-29T00:00:00"/>
    <d v="2025-08-02T00:00:00"/>
    <s v="Saturday"/>
    <s v="Afternoon"/>
    <x v="2"/>
    <n v="34"/>
    <n v="2"/>
    <x v="1"/>
    <x v="0"/>
    <s v="WhatsApp"/>
    <n v="6"/>
    <x v="6"/>
    <x v="1"/>
  </r>
  <r>
    <s v="HC-02853"/>
    <s v="P-1470"/>
    <s v="Female"/>
    <n v="35"/>
    <x v="0"/>
    <s v="Follow-up"/>
    <d v="2025-02-17T00:00:00"/>
    <d v="2025-03-04T00:00:00"/>
    <s v="Tuesday"/>
    <s v="Evening"/>
    <x v="3"/>
    <n v="15"/>
    <n v="1"/>
    <x v="0"/>
    <x v="1"/>
    <s v="None"/>
    <n v="7.1"/>
    <x v="31"/>
    <x v="0"/>
  </r>
  <r>
    <s v="HC-02854"/>
    <s v="P-0830"/>
    <s v="Female"/>
    <n v="25"/>
    <x v="1"/>
    <s v="Specialist Consultation"/>
    <d v="2025-01-18T00:00:00"/>
    <d v="2025-02-19T00:00:00"/>
    <s v="Wednesday"/>
    <s v="Afternoon"/>
    <x v="2"/>
    <n v="32"/>
    <n v="2"/>
    <x v="2"/>
    <x v="1"/>
    <s v="None"/>
    <n v="4.5"/>
    <x v="13"/>
    <x v="0"/>
  </r>
  <r>
    <s v="HC-02855"/>
    <s v="P-0028"/>
    <s v="Female"/>
    <n v="32"/>
    <x v="1"/>
    <s v="Follow-up"/>
    <d v="2025-12-17T00:00:00"/>
    <d v="2026-01-31T00:00:00"/>
    <s v="Saturday"/>
    <s v="Morning"/>
    <x v="2"/>
    <n v="45"/>
    <n v="2"/>
    <x v="0"/>
    <x v="0"/>
    <s v="WhatsApp"/>
    <n v="7.7"/>
    <x v="19"/>
    <x v="1"/>
  </r>
  <r>
    <s v="HC-02856"/>
    <s v="P-1103"/>
    <s v="Female"/>
    <n v="42"/>
    <x v="0"/>
    <s v="Follow-up"/>
    <d v="2024-12-24T00:00:00"/>
    <d v="2025-02-12T00:00:00"/>
    <s v="Wednesday"/>
    <s v="Morning"/>
    <x v="2"/>
    <n v="50"/>
    <n v="6"/>
    <x v="0"/>
    <x v="0"/>
    <s v="Email"/>
    <n v="14.2"/>
    <x v="25"/>
    <x v="0"/>
  </r>
  <r>
    <s v="HC-02857"/>
    <s v="P-1062"/>
    <s v="Female"/>
    <n v="26"/>
    <x v="1"/>
    <s v="Follow-up"/>
    <d v="2025-11-01T00:00:00"/>
    <d v="2025-11-07T00:00:00"/>
    <s v="Friday"/>
    <s v="Morning"/>
    <x v="1"/>
    <n v="6"/>
    <n v="1"/>
    <x v="0"/>
    <x v="0"/>
    <s v="SMS"/>
    <n v="23.4"/>
    <x v="12"/>
    <x v="0"/>
  </r>
  <r>
    <s v="HC-02858"/>
    <s v="P-0413"/>
    <s v="Male"/>
    <n v="47"/>
    <x v="2"/>
    <s v="Follow-up"/>
    <d v="2026-02-22T00:00:00"/>
    <d v="2026-03-02T00:00:00"/>
    <s v="Monday"/>
    <s v="Morning"/>
    <x v="0"/>
    <n v="8"/>
    <n v="0"/>
    <x v="0"/>
    <x v="0"/>
    <s v="WhatsApp"/>
    <n v="11.3"/>
    <x v="19"/>
    <x v="0"/>
  </r>
  <r>
    <s v="HC-02859"/>
    <s v="P-0071"/>
    <s v="Female"/>
    <n v="76"/>
    <x v="4"/>
    <s v="Follow-up"/>
    <d v="2026-01-26T00:00:00"/>
    <d v="2026-01-31T00:00:00"/>
    <s v="Saturday"/>
    <s v="Afternoon"/>
    <x v="1"/>
    <n v="5"/>
    <n v="5"/>
    <x v="0"/>
    <x v="0"/>
    <s v="SMS"/>
    <n v="14"/>
    <x v="2"/>
    <x v="0"/>
  </r>
  <r>
    <s v="HC-02860"/>
    <s v="P-1136"/>
    <s v="Male"/>
    <n v="26"/>
    <x v="1"/>
    <s v="Specialist Consultation"/>
    <d v="2025-07-08T00:00:00"/>
    <d v="2025-09-01T00:00:00"/>
    <s v="Monday"/>
    <s v="Morning"/>
    <x v="2"/>
    <n v="55"/>
    <n v="3"/>
    <x v="0"/>
    <x v="0"/>
    <s v="SMS"/>
    <n v="8.1999999999999993"/>
    <x v="7"/>
    <x v="1"/>
  </r>
  <r>
    <s v="HC-02861"/>
    <s v="P-1432"/>
    <s v="Female"/>
    <n v="76"/>
    <x v="4"/>
    <s v="Specialist Consultation"/>
    <d v="2025-03-08T00:00:00"/>
    <d v="2025-04-16T00:00:00"/>
    <s v="Wednesday"/>
    <s v="Afternoon"/>
    <x v="2"/>
    <n v="39"/>
    <n v="0"/>
    <x v="0"/>
    <x v="1"/>
    <s v="None"/>
    <n v="17.600000000000001"/>
    <x v="2"/>
    <x v="0"/>
  </r>
  <r>
    <s v="HC-02862"/>
    <s v="P-0490"/>
    <s v="Female"/>
    <n v="43"/>
    <x v="0"/>
    <s v="Follow-up"/>
    <d v="2026-04-22T00:00:00"/>
    <d v="2026-05-24T00:00:00"/>
    <s v="Sunday"/>
    <s v="Afternoon"/>
    <x v="2"/>
    <n v="32"/>
    <n v="2"/>
    <x v="0"/>
    <x v="1"/>
    <s v="None"/>
    <n v="5.2"/>
    <x v="20"/>
    <x v="0"/>
  </r>
  <r>
    <s v="HC-02863"/>
    <s v="P-1058"/>
    <s v="Male"/>
    <n v="55"/>
    <x v="3"/>
    <s v="General Consultation"/>
    <d v="2026-02-12T00:00:00"/>
    <d v="2026-04-01T00:00:00"/>
    <s v="Wednesday"/>
    <s v="Afternoon"/>
    <x v="2"/>
    <n v="48"/>
    <n v="4"/>
    <x v="3"/>
    <x v="0"/>
    <s v="SMS"/>
    <n v="3.5"/>
    <x v="8"/>
    <x v="0"/>
  </r>
  <r>
    <s v="HC-02864"/>
    <s v="P-1692"/>
    <s v="Female"/>
    <n v="45"/>
    <x v="2"/>
    <s v="Follow-up"/>
    <d v="2025-10-27T00:00:00"/>
    <d v="2025-12-01T00:00:00"/>
    <s v="Monday"/>
    <s v="Evening"/>
    <x v="2"/>
    <n v="35"/>
    <n v="2"/>
    <x v="1"/>
    <x v="0"/>
    <s v="Email"/>
    <n v="8"/>
    <x v="6"/>
    <x v="0"/>
  </r>
  <r>
    <s v="HC-02865"/>
    <s v="P-1097"/>
    <s v="Female"/>
    <n v="37"/>
    <x v="0"/>
    <s v="General Consultation"/>
    <d v="2025-02-03T00:00:00"/>
    <d v="2025-02-17T00:00:00"/>
    <s v="Monday"/>
    <s v="Afternoon"/>
    <x v="0"/>
    <n v="14"/>
    <n v="6"/>
    <x v="2"/>
    <x v="0"/>
    <s v="WhatsApp"/>
    <n v="12.1"/>
    <x v="45"/>
    <x v="1"/>
  </r>
  <r>
    <s v="HC-02866"/>
    <s v="P-1478"/>
    <s v="Male"/>
    <n v="24"/>
    <x v="5"/>
    <s v="General Consultation"/>
    <d v="2024-12-20T00:00:00"/>
    <d v="2025-01-20T00:00:00"/>
    <s v="Monday"/>
    <s v="Evening"/>
    <x v="2"/>
    <n v="31"/>
    <n v="2"/>
    <x v="0"/>
    <x v="1"/>
    <s v="None"/>
    <n v="3.3"/>
    <x v="28"/>
    <x v="0"/>
  </r>
  <r>
    <s v="HC-02867"/>
    <s v="P-1360"/>
    <s v="Female"/>
    <n v="55"/>
    <x v="3"/>
    <s v="Specialist Consultation"/>
    <d v="2025-05-11T00:00:00"/>
    <d v="2025-06-22T00:00:00"/>
    <s v="Sunday"/>
    <s v="Afternoon"/>
    <x v="2"/>
    <n v="42"/>
    <n v="3"/>
    <x v="0"/>
    <x v="1"/>
    <s v="None"/>
    <n v="26"/>
    <x v="36"/>
    <x v="0"/>
  </r>
  <r>
    <s v="HC-02868"/>
    <s v="P-0022"/>
    <s v="Female"/>
    <n v="75"/>
    <x v="4"/>
    <s v="Follow-up"/>
    <d v="2025-03-26T00:00:00"/>
    <d v="2025-03-28T00:00:00"/>
    <s v="Friday"/>
    <s v="Afternoon"/>
    <x v="1"/>
    <n v="2"/>
    <n v="2"/>
    <x v="0"/>
    <x v="1"/>
    <s v="None"/>
    <n v="4.5999999999999996"/>
    <x v="20"/>
    <x v="1"/>
  </r>
  <r>
    <s v="HC-02869"/>
    <s v="P-1200"/>
    <s v="Male"/>
    <n v="50"/>
    <x v="2"/>
    <s v="Follow-up"/>
    <d v="2026-03-10T00:00:00"/>
    <d v="2026-04-15T00:00:00"/>
    <s v="Wednesday"/>
    <s v="Morning"/>
    <x v="2"/>
    <n v="36"/>
    <n v="3"/>
    <x v="0"/>
    <x v="0"/>
    <s v="WhatsApp"/>
    <n v="6.6"/>
    <x v="7"/>
    <x v="1"/>
  </r>
  <r>
    <s v="HC-02870"/>
    <s v="P-0741"/>
    <s v="Female"/>
    <n v="55"/>
    <x v="3"/>
    <s v="Diagnostic Test"/>
    <d v="2025-03-24T00:00:00"/>
    <d v="2025-04-23T00:00:00"/>
    <s v="Wednesday"/>
    <s v="Morning"/>
    <x v="3"/>
    <n v="30"/>
    <n v="1"/>
    <x v="0"/>
    <x v="1"/>
    <s v="None"/>
    <n v="12.2"/>
    <x v="5"/>
    <x v="0"/>
  </r>
  <r>
    <s v="HC-02871"/>
    <s v="P-0261"/>
    <s v="Male"/>
    <n v="58"/>
    <x v="3"/>
    <s v="General Consultation"/>
    <d v="2025-05-31T00:00:00"/>
    <d v="2025-06-04T00:00:00"/>
    <s v="Wednesday"/>
    <s v="Evening"/>
    <x v="1"/>
    <n v="4"/>
    <n v="5"/>
    <x v="0"/>
    <x v="0"/>
    <s v="SMS"/>
    <n v="11.1"/>
    <x v="20"/>
    <x v="1"/>
  </r>
  <r>
    <s v="HC-02872"/>
    <s v="P-0747"/>
    <s v="Female"/>
    <n v="42"/>
    <x v="0"/>
    <s v="General Consultation"/>
    <d v="2026-06-01T00:00:00"/>
    <d v="2026-06-17T00:00:00"/>
    <s v="Wednesday"/>
    <s v="Morning"/>
    <x v="3"/>
    <n v="16"/>
    <n v="5"/>
    <x v="1"/>
    <x v="0"/>
    <s v="WhatsApp"/>
    <n v="17.899999999999999"/>
    <x v="20"/>
    <x v="0"/>
  </r>
  <r>
    <s v="HC-02873"/>
    <s v="P-0342"/>
    <s v="Female"/>
    <n v="25"/>
    <x v="1"/>
    <s v="General Consultation"/>
    <d v="2026-02-24T00:00:00"/>
    <d v="2026-03-23T00:00:00"/>
    <s v="Monday"/>
    <s v="Evening"/>
    <x v="3"/>
    <n v="27"/>
    <n v="2"/>
    <x v="0"/>
    <x v="0"/>
    <s v="Email"/>
    <n v="14.5"/>
    <x v="21"/>
    <x v="0"/>
  </r>
  <r>
    <s v="HC-02874"/>
    <s v="P-0981"/>
    <s v="Female"/>
    <n v="49"/>
    <x v="2"/>
    <s v="General Consultation"/>
    <d v="2025-04-10T00:00:00"/>
    <d v="2025-04-30T00:00:00"/>
    <s v="Wednesday"/>
    <s v="Morning"/>
    <x v="3"/>
    <n v="20"/>
    <n v="3"/>
    <x v="0"/>
    <x v="0"/>
    <s v="SMS"/>
    <n v="4.7"/>
    <x v="7"/>
    <x v="1"/>
  </r>
  <r>
    <s v="HC-02875"/>
    <s v="P-0662"/>
    <s v="Male"/>
    <n v="72"/>
    <x v="4"/>
    <s v="Specialist Consultation"/>
    <d v="2025-07-12T00:00:00"/>
    <d v="2025-07-29T00:00:00"/>
    <s v="Tuesday"/>
    <s v="Afternoon"/>
    <x v="3"/>
    <n v="17"/>
    <n v="5"/>
    <x v="1"/>
    <x v="0"/>
    <s v="WhatsApp"/>
    <n v="6.8"/>
    <x v="51"/>
    <x v="1"/>
  </r>
  <r>
    <s v="HC-02876"/>
    <s v="P-1448"/>
    <s v="Female"/>
    <n v="37"/>
    <x v="0"/>
    <s v="Specialist Consultation"/>
    <d v="2025-08-31T00:00:00"/>
    <d v="2025-10-09T00:00:00"/>
    <s v="Thursday"/>
    <s v="Morning"/>
    <x v="2"/>
    <n v="39"/>
    <n v="3"/>
    <x v="0"/>
    <x v="0"/>
    <s v="SMS"/>
    <n v="12.9"/>
    <x v="0"/>
    <x v="0"/>
  </r>
  <r>
    <s v="HC-02877"/>
    <s v="P-1472"/>
    <s v="Male"/>
    <n v="72"/>
    <x v="4"/>
    <s v="Follow-up"/>
    <d v="2025-12-05T00:00:00"/>
    <d v="2025-12-29T00:00:00"/>
    <s v="Monday"/>
    <s v="Evening"/>
    <x v="3"/>
    <n v="24"/>
    <n v="1"/>
    <x v="0"/>
    <x v="0"/>
    <s v="SMS"/>
    <n v="8.1999999999999993"/>
    <x v="9"/>
    <x v="1"/>
  </r>
  <r>
    <s v="HC-02878"/>
    <s v="P-1567"/>
    <s v="Male"/>
    <n v="71"/>
    <x v="4"/>
    <s v="General Consultation"/>
    <d v="2026-04-27T00:00:00"/>
    <d v="2026-05-27T00:00:00"/>
    <s v="Wednesday"/>
    <s v="Morning"/>
    <x v="3"/>
    <n v="30"/>
    <n v="4"/>
    <x v="0"/>
    <x v="0"/>
    <s v="SMS"/>
    <n v="4.5999999999999996"/>
    <x v="37"/>
    <x v="1"/>
  </r>
  <r>
    <s v="HC-02879"/>
    <s v="P-1224"/>
    <s v="Male"/>
    <n v="33"/>
    <x v="1"/>
    <s v="Follow-up"/>
    <d v="2026-03-04T00:00:00"/>
    <d v="2026-04-21T00:00:00"/>
    <s v="Tuesday"/>
    <s v="Morning"/>
    <x v="2"/>
    <n v="48"/>
    <n v="2"/>
    <x v="1"/>
    <x v="0"/>
    <s v="Email"/>
    <n v="1.7"/>
    <x v="20"/>
    <x v="0"/>
  </r>
  <r>
    <s v="HC-02880"/>
    <s v="P-1042"/>
    <s v="Female"/>
    <n v="54"/>
    <x v="2"/>
    <s v="General Consultation"/>
    <d v="2026-06-13T00:00:00"/>
    <d v="2026-06-18T00:00:00"/>
    <s v="Thursday"/>
    <s v="Afternoon"/>
    <x v="1"/>
    <n v="5"/>
    <n v="5"/>
    <x v="0"/>
    <x v="0"/>
    <s v="SMS"/>
    <n v="20.6"/>
    <x v="19"/>
    <x v="1"/>
  </r>
  <r>
    <s v="HC-02881"/>
    <s v="P-1168"/>
    <s v="Male"/>
    <n v="65"/>
    <x v="4"/>
    <s v="Follow-up"/>
    <d v="2025-01-02T00:00:00"/>
    <d v="2025-01-23T00:00:00"/>
    <s v="Thursday"/>
    <s v="Morning"/>
    <x v="3"/>
    <n v="21"/>
    <n v="5"/>
    <x v="2"/>
    <x v="0"/>
    <s v="WhatsApp"/>
    <n v="6.5"/>
    <x v="31"/>
    <x v="0"/>
  </r>
  <r>
    <s v="HC-02882"/>
    <s v="P-1255"/>
    <s v="Male"/>
    <n v="49"/>
    <x v="2"/>
    <s v="Follow-up"/>
    <d v="2025-05-06T00:00:00"/>
    <d v="2025-05-10T00:00:00"/>
    <s v="Saturday"/>
    <s v="Morning"/>
    <x v="1"/>
    <n v="4"/>
    <n v="2"/>
    <x v="0"/>
    <x v="0"/>
    <s v="Email"/>
    <n v="12.8"/>
    <x v="16"/>
    <x v="1"/>
  </r>
  <r>
    <s v="HC-02883"/>
    <s v="P-0913"/>
    <s v="Female"/>
    <n v="62"/>
    <x v="3"/>
    <s v="General Consultation"/>
    <d v="2025-09-09T00:00:00"/>
    <d v="2025-11-04T00:00:00"/>
    <s v="Tuesday"/>
    <s v="Evening"/>
    <x v="2"/>
    <n v="56"/>
    <n v="4"/>
    <x v="0"/>
    <x v="0"/>
    <s v="SMS"/>
    <n v="4.8"/>
    <x v="11"/>
    <x v="1"/>
  </r>
  <r>
    <s v="HC-02884"/>
    <s v="P-0514"/>
    <s v="Male"/>
    <n v="75"/>
    <x v="4"/>
    <s v="Specialist Consultation"/>
    <d v="2025-01-16T00:00:00"/>
    <d v="2025-01-27T00:00:00"/>
    <s v="Monday"/>
    <s v="Afternoon"/>
    <x v="0"/>
    <n v="11"/>
    <n v="4"/>
    <x v="1"/>
    <x v="1"/>
    <s v="None"/>
    <n v="11.4"/>
    <x v="4"/>
    <x v="0"/>
  </r>
  <r>
    <s v="HC-02885"/>
    <s v="P-1491"/>
    <s v="Female"/>
    <n v="57"/>
    <x v="3"/>
    <s v="Specialist Consultation"/>
    <d v="2025-05-25T00:00:00"/>
    <d v="2025-07-14T00:00:00"/>
    <s v="Monday"/>
    <s v="Morning"/>
    <x v="2"/>
    <n v="50"/>
    <n v="4"/>
    <x v="0"/>
    <x v="0"/>
    <s v="WhatsApp"/>
    <n v="2"/>
    <x v="15"/>
    <x v="2"/>
  </r>
  <r>
    <s v="HC-02886"/>
    <s v="P-0157"/>
    <s v="Male"/>
    <n v="70"/>
    <x v="4"/>
    <s v="General Consultation"/>
    <d v="2025-03-14T00:00:00"/>
    <d v="2025-03-25T00:00:00"/>
    <s v="Tuesday"/>
    <s v="Afternoon"/>
    <x v="0"/>
    <n v="11"/>
    <n v="1"/>
    <x v="0"/>
    <x v="0"/>
    <s v="SMS"/>
    <n v="4.8"/>
    <x v="15"/>
    <x v="1"/>
  </r>
  <r>
    <s v="HC-02887"/>
    <s v="P-0393"/>
    <s v="Male"/>
    <n v="68"/>
    <x v="4"/>
    <s v="Follow-up"/>
    <d v="2026-05-06T00:00:00"/>
    <d v="2026-05-25T00:00:00"/>
    <s v="Monday"/>
    <s v="Morning"/>
    <x v="3"/>
    <n v="19"/>
    <n v="2"/>
    <x v="0"/>
    <x v="0"/>
    <s v="SMS"/>
    <n v="7.3"/>
    <x v="15"/>
    <x v="0"/>
  </r>
  <r>
    <s v="HC-02888"/>
    <s v="P-0013"/>
    <s v="Female"/>
    <n v="69"/>
    <x v="4"/>
    <s v="Follow-up"/>
    <d v="2024-12-29T00:00:00"/>
    <d v="2025-02-04T00:00:00"/>
    <s v="Tuesday"/>
    <s v="Morning"/>
    <x v="2"/>
    <n v="37"/>
    <n v="2"/>
    <x v="0"/>
    <x v="0"/>
    <s v="SMS"/>
    <n v="5.3"/>
    <x v="6"/>
    <x v="0"/>
  </r>
  <r>
    <s v="HC-02889"/>
    <s v="P-0571"/>
    <s v="Female"/>
    <n v="71"/>
    <x v="4"/>
    <s v="General Consultation"/>
    <d v="2025-02-01T00:00:00"/>
    <d v="2025-03-23T00:00:00"/>
    <s v="Sunday"/>
    <s v="Afternoon"/>
    <x v="2"/>
    <n v="50"/>
    <n v="0"/>
    <x v="0"/>
    <x v="0"/>
    <s v="SMS"/>
    <n v="5.8"/>
    <x v="5"/>
    <x v="1"/>
  </r>
  <r>
    <s v="HC-02890"/>
    <s v="P-0042"/>
    <s v="Male"/>
    <n v="32"/>
    <x v="1"/>
    <s v="General Consultation"/>
    <d v="2025-04-07T00:00:00"/>
    <d v="2025-04-17T00:00:00"/>
    <s v="Thursday"/>
    <s v="Morning"/>
    <x v="0"/>
    <n v="10"/>
    <n v="3"/>
    <x v="0"/>
    <x v="1"/>
    <s v="None"/>
    <n v="14.8"/>
    <x v="19"/>
    <x v="0"/>
  </r>
  <r>
    <s v="HC-02891"/>
    <s v="P-0462"/>
    <s v="Male"/>
    <n v="19"/>
    <x v="5"/>
    <s v="Follow-up"/>
    <d v="2025-03-10T00:00:00"/>
    <d v="2025-03-23T00:00:00"/>
    <s v="Sunday"/>
    <s v="Afternoon"/>
    <x v="0"/>
    <n v="13"/>
    <n v="4"/>
    <x v="0"/>
    <x v="1"/>
    <s v="None"/>
    <n v="6.5"/>
    <x v="7"/>
    <x v="1"/>
  </r>
  <r>
    <s v="HC-02892"/>
    <s v="P-1312"/>
    <s v="Male"/>
    <n v="27"/>
    <x v="1"/>
    <s v="Diagnostic Test"/>
    <d v="2025-09-15T00:00:00"/>
    <d v="2025-11-07T00:00:00"/>
    <s v="Friday"/>
    <s v="Morning"/>
    <x v="2"/>
    <n v="53"/>
    <n v="2"/>
    <x v="1"/>
    <x v="0"/>
    <s v="SMS"/>
    <n v="4.0999999999999996"/>
    <x v="13"/>
    <x v="0"/>
  </r>
  <r>
    <s v="HC-02893"/>
    <s v="P-0591"/>
    <s v="Female"/>
    <n v="33"/>
    <x v="1"/>
    <s v="Follow-up"/>
    <d v="2025-06-29T00:00:00"/>
    <d v="2025-07-18T00:00:00"/>
    <s v="Friday"/>
    <s v="Afternoon"/>
    <x v="3"/>
    <n v="19"/>
    <n v="3"/>
    <x v="1"/>
    <x v="0"/>
    <s v="WhatsApp"/>
    <n v="6.6"/>
    <x v="26"/>
    <x v="0"/>
  </r>
  <r>
    <s v="HC-02894"/>
    <s v="P-0374"/>
    <s v="Male"/>
    <n v="61"/>
    <x v="3"/>
    <s v="Follow-up"/>
    <d v="2026-05-02T00:00:00"/>
    <d v="2026-05-14T00:00:00"/>
    <s v="Thursday"/>
    <s v="Afternoon"/>
    <x v="0"/>
    <n v="12"/>
    <n v="1"/>
    <x v="0"/>
    <x v="0"/>
    <s v="WhatsApp"/>
    <n v="1.6"/>
    <x v="26"/>
    <x v="2"/>
  </r>
  <r>
    <s v="HC-02895"/>
    <s v="P-0580"/>
    <s v="Male"/>
    <n v="50"/>
    <x v="2"/>
    <s v="Follow-up"/>
    <d v="2025-04-08T00:00:00"/>
    <d v="2025-05-23T00:00:00"/>
    <s v="Friday"/>
    <s v="Morning"/>
    <x v="2"/>
    <n v="45"/>
    <n v="1"/>
    <x v="1"/>
    <x v="0"/>
    <s v="SMS"/>
    <n v="7.5"/>
    <x v="5"/>
    <x v="1"/>
  </r>
  <r>
    <s v="HC-02896"/>
    <s v="P-1275"/>
    <s v="Prefer not to say"/>
    <n v="47"/>
    <x v="2"/>
    <s v="Follow-up"/>
    <d v="2025-10-16T00:00:00"/>
    <d v="2025-10-21T00:00:00"/>
    <s v="Tuesday"/>
    <s v="Evening"/>
    <x v="1"/>
    <n v="5"/>
    <n v="3"/>
    <x v="0"/>
    <x v="1"/>
    <s v="None"/>
    <n v="7.1"/>
    <x v="21"/>
    <x v="0"/>
  </r>
  <r>
    <s v="HC-02897"/>
    <s v="P-0081"/>
    <s v="Female"/>
    <n v="18"/>
    <x v="5"/>
    <s v="General Consultation"/>
    <d v="2025-11-05T00:00:00"/>
    <d v="2025-12-27T00:00:00"/>
    <s v="Saturday"/>
    <s v="Afternoon"/>
    <x v="2"/>
    <n v="52"/>
    <n v="2"/>
    <x v="1"/>
    <x v="0"/>
    <s v="WhatsApp"/>
    <n v="7.5"/>
    <x v="7"/>
    <x v="0"/>
  </r>
  <r>
    <s v="HC-02898"/>
    <s v="P-0166"/>
    <s v="Male"/>
    <n v="61"/>
    <x v="3"/>
    <s v="General Consultation"/>
    <d v="2025-10-16T00:00:00"/>
    <d v="2025-12-08T00:00:00"/>
    <s v="Monday"/>
    <s v="Morning"/>
    <x v="2"/>
    <n v="53"/>
    <n v="4"/>
    <x v="2"/>
    <x v="1"/>
    <s v="None"/>
    <n v="3"/>
    <x v="16"/>
    <x v="0"/>
  </r>
  <r>
    <s v="HC-02899"/>
    <s v="P-1585"/>
    <s v="Female"/>
    <n v="40"/>
    <x v="0"/>
    <s v="Diagnostic Test"/>
    <d v="2026-01-18T00:00:00"/>
    <d v="2026-03-11T00:00:00"/>
    <s v="Wednesday"/>
    <s v="Evening"/>
    <x v="2"/>
    <n v="52"/>
    <n v="0"/>
    <x v="0"/>
    <x v="0"/>
    <s v="WhatsApp"/>
    <n v="10.3"/>
    <x v="23"/>
    <x v="0"/>
  </r>
  <r>
    <s v="HC-02900"/>
    <s v="P-1462"/>
    <s v="Male"/>
    <n v="65"/>
    <x v="4"/>
    <s v="Specialist Consultation"/>
    <d v="2025-04-03T00:00:00"/>
    <d v="2025-04-21T00:00:00"/>
    <s v="Monday"/>
    <s v="Morning"/>
    <x v="3"/>
    <n v="18"/>
    <n v="2"/>
    <x v="0"/>
    <x v="0"/>
    <s v="Email"/>
    <n v="7.9"/>
    <x v="22"/>
    <x v="0"/>
  </r>
  <r>
    <s v="HC-02901"/>
    <s v="P-1674"/>
    <s v="Female"/>
    <n v="25"/>
    <x v="1"/>
    <s v="Diagnostic Test"/>
    <d v="2025-09-29T00:00:00"/>
    <d v="2025-10-05T00:00:00"/>
    <s v="Sunday"/>
    <s v="Morning"/>
    <x v="1"/>
    <n v="6"/>
    <n v="4"/>
    <x v="2"/>
    <x v="0"/>
    <s v="SMS"/>
    <n v="20.2"/>
    <x v="8"/>
    <x v="0"/>
  </r>
  <r>
    <s v="HC-02902"/>
    <s v="P-1126"/>
    <s v="Male"/>
    <n v="36"/>
    <x v="0"/>
    <s v="General Consultation"/>
    <d v="2026-02-17T00:00:00"/>
    <d v="2026-03-14T00:00:00"/>
    <s v="Saturday"/>
    <s v="Morning"/>
    <x v="3"/>
    <n v="25"/>
    <n v="4"/>
    <x v="0"/>
    <x v="0"/>
    <s v="WhatsApp"/>
    <n v="15.6"/>
    <x v="25"/>
    <x v="1"/>
  </r>
  <r>
    <s v="HC-02903"/>
    <s v="P-1737"/>
    <s v="Female"/>
    <n v="21"/>
    <x v="5"/>
    <s v="Follow-up"/>
    <d v="2026-03-28T00:00:00"/>
    <d v="2026-04-17T00:00:00"/>
    <s v="Friday"/>
    <s v="Morning"/>
    <x v="3"/>
    <n v="20"/>
    <n v="3"/>
    <x v="0"/>
    <x v="0"/>
    <s v="WhatsApp"/>
    <n v="4.9000000000000004"/>
    <x v="27"/>
    <x v="1"/>
  </r>
  <r>
    <s v="HC-02904"/>
    <s v="P-0683"/>
    <s v="Female"/>
    <n v="35"/>
    <x v="0"/>
    <s v="Follow-up"/>
    <d v="2025-10-07T00:00:00"/>
    <d v="2025-12-04T00:00:00"/>
    <s v="Thursday"/>
    <s v="Afternoon"/>
    <x v="2"/>
    <n v="58"/>
    <n v="1"/>
    <x v="1"/>
    <x v="0"/>
    <s v="Email"/>
    <n v="4.8"/>
    <x v="8"/>
    <x v="0"/>
  </r>
  <r>
    <s v="HC-02905"/>
    <s v="P-0500"/>
    <s v="Female"/>
    <n v="76"/>
    <x v="4"/>
    <s v="General Consultation"/>
    <d v="2025-11-14T00:00:00"/>
    <d v="2025-12-22T00:00:00"/>
    <s v="Monday"/>
    <s v="Afternoon"/>
    <x v="2"/>
    <n v="38"/>
    <n v="5"/>
    <x v="1"/>
    <x v="1"/>
    <s v="None"/>
    <n v="15.9"/>
    <x v="19"/>
    <x v="0"/>
  </r>
  <r>
    <s v="HC-02906"/>
    <s v="P-1482"/>
    <s v="Male"/>
    <n v="48"/>
    <x v="2"/>
    <s v="General Consultation"/>
    <d v="2026-02-19T00:00:00"/>
    <d v="2026-04-17T00:00:00"/>
    <s v="Friday"/>
    <s v="Evening"/>
    <x v="2"/>
    <n v="57"/>
    <n v="4"/>
    <x v="1"/>
    <x v="0"/>
    <s v="WhatsApp"/>
    <n v="4.3"/>
    <x v="7"/>
    <x v="0"/>
  </r>
  <r>
    <s v="HC-02907"/>
    <s v="P-1766"/>
    <s v="Male"/>
    <n v="45"/>
    <x v="2"/>
    <s v="Specialist Consultation"/>
    <d v="2025-10-24T00:00:00"/>
    <d v="2025-12-08T00:00:00"/>
    <s v="Monday"/>
    <s v="Morning"/>
    <x v="2"/>
    <n v="45"/>
    <n v="2"/>
    <x v="0"/>
    <x v="0"/>
    <s v="SMS"/>
    <n v="4.5"/>
    <x v="46"/>
    <x v="0"/>
  </r>
  <r>
    <s v="HC-02908"/>
    <s v="P-1251"/>
    <s v="Male"/>
    <n v="35"/>
    <x v="0"/>
    <s v="Follow-up"/>
    <d v="2026-04-21T00:00:00"/>
    <d v="2026-06-03T00:00:00"/>
    <s v="Wednesday"/>
    <s v="Morning"/>
    <x v="2"/>
    <n v="43"/>
    <n v="2"/>
    <x v="1"/>
    <x v="0"/>
    <s v="SMS"/>
    <n v="10.8"/>
    <x v="3"/>
    <x v="0"/>
  </r>
  <r>
    <s v="HC-02909"/>
    <s v="P-1781"/>
    <s v="Male"/>
    <n v="34"/>
    <x v="1"/>
    <s v="Follow-up"/>
    <d v="2025-03-05T00:00:00"/>
    <d v="2025-03-11T00:00:00"/>
    <s v="Tuesday"/>
    <s v="Morning"/>
    <x v="1"/>
    <n v="6"/>
    <n v="1"/>
    <x v="0"/>
    <x v="0"/>
    <s v="SMS"/>
    <n v="5.8"/>
    <x v="47"/>
    <x v="0"/>
  </r>
  <r>
    <s v="HC-02910"/>
    <s v="P-1503"/>
    <s v="Female"/>
    <n v="60"/>
    <x v="3"/>
    <s v="General Consultation"/>
    <d v="2025-07-05T00:00:00"/>
    <d v="2025-07-09T00:00:00"/>
    <s v="Wednesday"/>
    <s v="Morning"/>
    <x v="1"/>
    <n v="4"/>
    <n v="4"/>
    <x v="2"/>
    <x v="1"/>
    <s v="None"/>
    <n v="10.9"/>
    <x v="31"/>
    <x v="1"/>
  </r>
  <r>
    <s v="HC-02911"/>
    <s v="P-0415"/>
    <s v="Female"/>
    <n v="80"/>
    <x v="4"/>
    <s v="Follow-up"/>
    <d v="2025-03-01T00:00:00"/>
    <d v="2025-03-03T00:00:00"/>
    <s v="Monday"/>
    <s v="Evening"/>
    <x v="1"/>
    <n v="2"/>
    <n v="5"/>
    <x v="0"/>
    <x v="1"/>
    <s v="None"/>
    <n v="2.2000000000000002"/>
    <x v="23"/>
    <x v="0"/>
  </r>
  <r>
    <s v="HC-02912"/>
    <s v="P-1278"/>
    <s v="Female"/>
    <n v="65"/>
    <x v="4"/>
    <s v="General Consultation"/>
    <d v="2025-01-14T00:00:00"/>
    <d v="2025-02-19T00:00:00"/>
    <s v="Wednesday"/>
    <s v="Afternoon"/>
    <x v="2"/>
    <n v="36"/>
    <n v="2"/>
    <x v="0"/>
    <x v="0"/>
    <s v="Email"/>
    <n v="6.6"/>
    <x v="26"/>
    <x v="0"/>
  </r>
  <r>
    <s v="HC-02913"/>
    <s v="P-0557"/>
    <s v="Female"/>
    <n v="64"/>
    <x v="3"/>
    <s v="General Consultation"/>
    <d v="2025-09-03T00:00:00"/>
    <d v="2025-09-15T00:00:00"/>
    <s v="Monday"/>
    <s v="Afternoon"/>
    <x v="0"/>
    <n v="12"/>
    <n v="2"/>
    <x v="0"/>
    <x v="0"/>
    <s v="SMS"/>
    <n v="16.899999999999999"/>
    <x v="11"/>
    <x v="1"/>
  </r>
  <r>
    <s v="HC-02914"/>
    <s v="P-0090"/>
    <s v="Male"/>
    <n v="47"/>
    <x v="2"/>
    <s v="Follow-up"/>
    <d v="2025-03-05T00:00:00"/>
    <d v="2025-05-04T00:00:00"/>
    <s v="Sunday"/>
    <s v="Afternoon"/>
    <x v="2"/>
    <n v="60"/>
    <n v="3"/>
    <x v="0"/>
    <x v="0"/>
    <s v="SMS"/>
    <n v="4.7"/>
    <x v="21"/>
    <x v="0"/>
  </r>
  <r>
    <s v="HC-02915"/>
    <s v="P-0644"/>
    <s v="Female"/>
    <n v="24"/>
    <x v="5"/>
    <s v="General Consultation"/>
    <d v="2025-08-03T00:00:00"/>
    <d v="2025-08-11T00:00:00"/>
    <s v="Monday"/>
    <s v="Morning"/>
    <x v="0"/>
    <n v="8"/>
    <n v="0"/>
    <x v="0"/>
    <x v="0"/>
    <s v="SMS"/>
    <n v="6"/>
    <x v="21"/>
    <x v="1"/>
  </r>
  <r>
    <s v="HC-02916"/>
    <s v="P-1024"/>
    <s v="Male"/>
    <n v="63"/>
    <x v="3"/>
    <s v="Diagnostic Test"/>
    <d v="2025-07-02T00:00:00"/>
    <d v="2025-08-28T00:00:00"/>
    <s v="Thursday"/>
    <s v="Morning"/>
    <x v="2"/>
    <n v="57"/>
    <n v="1"/>
    <x v="0"/>
    <x v="0"/>
    <s v="WhatsApp"/>
    <n v="7.4"/>
    <x v="26"/>
    <x v="0"/>
  </r>
  <r>
    <s v="HC-02917"/>
    <s v="P-0195"/>
    <s v="Male"/>
    <n v="68"/>
    <x v="4"/>
    <s v="Follow-up"/>
    <d v="2025-10-27T00:00:00"/>
    <d v="2025-12-06T00:00:00"/>
    <s v="Saturday"/>
    <s v="Morning"/>
    <x v="2"/>
    <n v="40"/>
    <n v="1"/>
    <x v="0"/>
    <x v="0"/>
    <s v="SMS"/>
    <n v="6.2"/>
    <x v="9"/>
    <x v="1"/>
  </r>
  <r>
    <s v="HC-02918"/>
    <s v="P-0979"/>
    <s v="Male"/>
    <n v="50"/>
    <x v="2"/>
    <s v="General Consultation"/>
    <d v="2026-05-26T00:00:00"/>
    <d v="2026-06-01T00:00:00"/>
    <s v="Monday"/>
    <s v="Afternoon"/>
    <x v="1"/>
    <n v="6"/>
    <n v="4"/>
    <x v="1"/>
    <x v="0"/>
    <s v="WhatsApp"/>
    <n v="2.2000000000000002"/>
    <x v="35"/>
    <x v="1"/>
  </r>
  <r>
    <s v="HC-02919"/>
    <s v="P-0711"/>
    <s v="Female"/>
    <n v="23"/>
    <x v="5"/>
    <s v="General Consultation"/>
    <d v="2026-04-06T00:00:00"/>
    <d v="2026-04-09T00:00:00"/>
    <s v="Thursday"/>
    <s v="Morning"/>
    <x v="1"/>
    <n v="3"/>
    <n v="1"/>
    <x v="0"/>
    <x v="1"/>
    <s v="None"/>
    <n v="16.100000000000001"/>
    <x v="19"/>
    <x v="1"/>
  </r>
  <r>
    <s v="HC-02920"/>
    <s v="P-1480"/>
    <s v="Male"/>
    <n v="62"/>
    <x v="3"/>
    <s v="Specialist Consultation"/>
    <d v="2025-07-02T00:00:00"/>
    <d v="2025-07-26T00:00:00"/>
    <s v="Saturday"/>
    <s v="Morning"/>
    <x v="3"/>
    <n v="24"/>
    <n v="0"/>
    <x v="0"/>
    <x v="0"/>
    <s v="SMS"/>
    <n v="7.8"/>
    <x v="11"/>
    <x v="1"/>
  </r>
  <r>
    <s v="HC-02921"/>
    <s v="P-1753"/>
    <s v="Male"/>
    <n v="76"/>
    <x v="4"/>
    <s v="General Consultation"/>
    <d v="2025-06-07T00:00:00"/>
    <d v="2025-06-27T00:00:00"/>
    <s v="Friday"/>
    <s v="Afternoon"/>
    <x v="3"/>
    <n v="20"/>
    <n v="2"/>
    <x v="1"/>
    <x v="1"/>
    <s v="None"/>
    <n v="11.4"/>
    <x v="19"/>
    <x v="1"/>
  </r>
  <r>
    <s v="HC-02922"/>
    <s v="P-0323"/>
    <s v="Female"/>
    <n v="32"/>
    <x v="1"/>
    <s v="General Consultation"/>
    <d v="2026-02-06T00:00:00"/>
    <d v="2026-02-25T00:00:00"/>
    <s v="Wednesday"/>
    <s v="Morning"/>
    <x v="3"/>
    <n v="19"/>
    <n v="1"/>
    <x v="0"/>
    <x v="1"/>
    <s v="None"/>
    <n v="17.600000000000001"/>
    <x v="3"/>
    <x v="0"/>
  </r>
  <r>
    <s v="HC-02923"/>
    <s v="P-1470"/>
    <s v="Male"/>
    <n v="28"/>
    <x v="1"/>
    <s v="Follow-up"/>
    <d v="2025-02-05T00:00:00"/>
    <d v="2025-03-09T00:00:00"/>
    <s v="Sunday"/>
    <s v="Afternoon"/>
    <x v="2"/>
    <n v="32"/>
    <n v="4"/>
    <x v="1"/>
    <x v="1"/>
    <s v="None"/>
    <n v="6"/>
    <x v="1"/>
    <x v="0"/>
  </r>
  <r>
    <s v="HC-02924"/>
    <s v="P-0406"/>
    <s v="Female"/>
    <n v="64"/>
    <x v="3"/>
    <s v="General Consultation"/>
    <d v="2025-10-16T00:00:00"/>
    <d v="2025-10-23T00:00:00"/>
    <s v="Thursday"/>
    <s v="Morning"/>
    <x v="1"/>
    <n v="7"/>
    <n v="1"/>
    <x v="0"/>
    <x v="1"/>
    <s v="None"/>
    <n v="10.4"/>
    <x v="31"/>
    <x v="1"/>
  </r>
  <r>
    <s v="HC-02925"/>
    <s v="P-0784"/>
    <s v="Male"/>
    <n v="38"/>
    <x v="0"/>
    <s v="Follow-up"/>
    <d v="2025-08-12T00:00:00"/>
    <d v="2025-08-19T00:00:00"/>
    <s v="Tuesday"/>
    <s v="Afternoon"/>
    <x v="1"/>
    <n v="7"/>
    <n v="4"/>
    <x v="2"/>
    <x v="0"/>
    <s v="SMS"/>
    <n v="0.6"/>
    <x v="5"/>
    <x v="0"/>
  </r>
  <r>
    <s v="HC-02926"/>
    <s v="P-0172"/>
    <s v="Male"/>
    <n v="63"/>
    <x v="3"/>
    <s v="Follow-up"/>
    <d v="2025-02-27T00:00:00"/>
    <d v="2025-04-10T00:00:00"/>
    <s v="Thursday"/>
    <s v="Morning"/>
    <x v="2"/>
    <n v="42"/>
    <n v="2"/>
    <x v="1"/>
    <x v="0"/>
    <s v="SMS"/>
    <n v="1.1000000000000001"/>
    <x v="24"/>
    <x v="0"/>
  </r>
  <r>
    <s v="HC-02927"/>
    <s v="P-0922"/>
    <s v="Male"/>
    <n v="62"/>
    <x v="3"/>
    <s v="General Consultation"/>
    <d v="2025-10-04T00:00:00"/>
    <d v="2025-12-03T00:00:00"/>
    <s v="Wednesday"/>
    <s v="Evening"/>
    <x v="2"/>
    <n v="60"/>
    <n v="1"/>
    <x v="0"/>
    <x v="0"/>
    <s v="WhatsApp"/>
    <n v="8.5"/>
    <x v="14"/>
    <x v="0"/>
  </r>
  <r>
    <s v="HC-02928"/>
    <s v="P-0813"/>
    <s v="Male"/>
    <n v="34"/>
    <x v="1"/>
    <s v="Specialist Consultation"/>
    <d v="2025-06-09T00:00:00"/>
    <d v="2025-06-25T00:00:00"/>
    <s v="Wednesday"/>
    <s v="Afternoon"/>
    <x v="3"/>
    <n v="16"/>
    <n v="4"/>
    <x v="1"/>
    <x v="0"/>
    <s v="SMS"/>
    <n v="2.7"/>
    <x v="4"/>
    <x v="0"/>
  </r>
  <r>
    <s v="HC-02929"/>
    <s v="P-0793"/>
    <s v="Male"/>
    <n v="20"/>
    <x v="5"/>
    <s v="Follow-up"/>
    <d v="2025-02-15T00:00:00"/>
    <d v="2025-04-12T00:00:00"/>
    <s v="Saturday"/>
    <s v="Morning"/>
    <x v="2"/>
    <n v="56"/>
    <n v="4"/>
    <x v="1"/>
    <x v="0"/>
    <s v="WhatsApp"/>
    <n v="11.6"/>
    <x v="5"/>
    <x v="2"/>
  </r>
  <r>
    <s v="HC-02930"/>
    <s v="P-0010"/>
    <s v="Female"/>
    <n v="53"/>
    <x v="2"/>
    <s v="Follow-up"/>
    <d v="2025-12-02T00:00:00"/>
    <d v="2025-12-23T00:00:00"/>
    <s v="Tuesday"/>
    <s v="Afternoon"/>
    <x v="3"/>
    <n v="21"/>
    <n v="4"/>
    <x v="1"/>
    <x v="1"/>
    <s v="None"/>
    <n v="13"/>
    <x v="6"/>
    <x v="1"/>
  </r>
  <r>
    <s v="HC-02931"/>
    <s v="P-0818"/>
    <s v="Female"/>
    <n v="43"/>
    <x v="0"/>
    <s v="General Consultation"/>
    <d v="2025-03-17T00:00:00"/>
    <d v="2025-04-06T00:00:00"/>
    <s v="Sunday"/>
    <s v="Afternoon"/>
    <x v="3"/>
    <n v="20"/>
    <n v="4"/>
    <x v="0"/>
    <x v="0"/>
    <s v="WhatsApp"/>
    <n v="5.2"/>
    <x v="47"/>
    <x v="1"/>
  </r>
  <r>
    <s v="HC-02932"/>
    <s v="P-1115"/>
    <s v="Male"/>
    <n v="71"/>
    <x v="4"/>
    <s v="Follow-up"/>
    <d v="2025-12-29T00:00:00"/>
    <d v="2026-01-03T00:00:00"/>
    <s v="Saturday"/>
    <s v="Afternoon"/>
    <x v="1"/>
    <n v="5"/>
    <n v="5"/>
    <x v="1"/>
    <x v="0"/>
    <s v="Email"/>
    <n v="12.5"/>
    <x v="17"/>
    <x v="1"/>
  </r>
  <r>
    <s v="HC-02933"/>
    <s v="P-0097"/>
    <s v="Male"/>
    <n v="40"/>
    <x v="0"/>
    <s v="General Consultation"/>
    <d v="2025-03-05T00:00:00"/>
    <d v="2025-03-30T00:00:00"/>
    <s v="Sunday"/>
    <s v="Evening"/>
    <x v="3"/>
    <n v="25"/>
    <n v="1"/>
    <x v="1"/>
    <x v="1"/>
    <s v="None"/>
    <n v="6.9"/>
    <x v="24"/>
    <x v="0"/>
  </r>
  <r>
    <s v="HC-02934"/>
    <s v="P-0274"/>
    <s v="Male"/>
    <n v="33"/>
    <x v="1"/>
    <s v="Follow-up"/>
    <d v="2025-07-27T00:00:00"/>
    <d v="2025-08-26T00:00:00"/>
    <s v="Tuesday"/>
    <s v="Afternoon"/>
    <x v="3"/>
    <n v="30"/>
    <n v="3"/>
    <x v="2"/>
    <x v="1"/>
    <s v="None"/>
    <n v="19.399999999999999"/>
    <x v="15"/>
    <x v="0"/>
  </r>
  <r>
    <s v="HC-02935"/>
    <s v="P-0552"/>
    <s v="Female"/>
    <n v="72"/>
    <x v="4"/>
    <s v="General Consultation"/>
    <d v="2026-02-06T00:00:00"/>
    <d v="2026-03-18T00:00:00"/>
    <s v="Wednesday"/>
    <s v="Morning"/>
    <x v="2"/>
    <n v="40"/>
    <n v="2"/>
    <x v="0"/>
    <x v="1"/>
    <s v="None"/>
    <n v="3.3"/>
    <x v="5"/>
    <x v="2"/>
  </r>
  <r>
    <s v="HC-02936"/>
    <s v="P-0273"/>
    <s v="Female"/>
    <n v="64"/>
    <x v="3"/>
    <s v="Diagnostic Test"/>
    <d v="2025-04-26T00:00:00"/>
    <d v="2025-05-05T00:00:00"/>
    <s v="Monday"/>
    <s v="Morning"/>
    <x v="0"/>
    <n v="9"/>
    <n v="5"/>
    <x v="1"/>
    <x v="0"/>
    <s v="WhatsApp"/>
    <n v="7.7"/>
    <x v="19"/>
    <x v="1"/>
  </r>
  <r>
    <s v="HC-02937"/>
    <s v="P-1440"/>
    <s v="Male"/>
    <n v="56"/>
    <x v="3"/>
    <s v="General Consultation"/>
    <d v="2026-02-13T00:00:00"/>
    <d v="2026-02-24T00:00:00"/>
    <s v="Tuesday"/>
    <s v="Morning"/>
    <x v="0"/>
    <n v="11"/>
    <n v="5"/>
    <x v="0"/>
    <x v="0"/>
    <s v="SMS"/>
    <n v="10"/>
    <x v="23"/>
    <x v="1"/>
  </r>
  <r>
    <s v="HC-02938"/>
    <s v="P-0179"/>
    <s v="Male"/>
    <n v="78"/>
    <x v="4"/>
    <s v="Diagnostic Test"/>
    <d v="2026-01-04T00:00:00"/>
    <d v="2026-01-30T00:00:00"/>
    <s v="Friday"/>
    <s v="Afternoon"/>
    <x v="3"/>
    <n v="26"/>
    <n v="6"/>
    <x v="2"/>
    <x v="1"/>
    <s v="None"/>
    <n v="14.3"/>
    <x v="27"/>
    <x v="2"/>
  </r>
  <r>
    <s v="HC-02939"/>
    <s v="P-0560"/>
    <s v="Female"/>
    <n v="67"/>
    <x v="4"/>
    <s v="Diagnostic Test"/>
    <d v="2026-05-04T00:00:00"/>
    <d v="2026-05-08T00:00:00"/>
    <s v="Friday"/>
    <s v="Evening"/>
    <x v="1"/>
    <n v="4"/>
    <n v="2"/>
    <x v="0"/>
    <x v="0"/>
    <s v="WhatsApp"/>
    <n v="13.6"/>
    <x v="12"/>
    <x v="1"/>
  </r>
  <r>
    <s v="HC-02940"/>
    <s v="P-0824"/>
    <s v="Female"/>
    <n v="72"/>
    <x v="4"/>
    <s v="Follow-up"/>
    <d v="2025-03-26T00:00:00"/>
    <d v="2025-04-03T00:00:00"/>
    <s v="Thursday"/>
    <s v="Afternoon"/>
    <x v="0"/>
    <n v="8"/>
    <n v="2"/>
    <x v="1"/>
    <x v="0"/>
    <s v="SMS"/>
    <n v="6.3"/>
    <x v="22"/>
    <x v="1"/>
  </r>
  <r>
    <s v="HC-02941"/>
    <s v="P-0001"/>
    <s v="Male"/>
    <n v="68"/>
    <x v="4"/>
    <s v="General Consultation"/>
    <d v="2025-12-19T00:00:00"/>
    <d v="2026-01-26T00:00:00"/>
    <s v="Monday"/>
    <s v="Morning"/>
    <x v="2"/>
    <n v="38"/>
    <n v="3"/>
    <x v="0"/>
    <x v="1"/>
    <s v="None"/>
    <n v="7.1"/>
    <x v="36"/>
    <x v="1"/>
  </r>
  <r>
    <s v="HC-02942"/>
    <s v="P-0389"/>
    <s v="Male"/>
    <n v="43"/>
    <x v="0"/>
    <s v="General Consultation"/>
    <d v="2026-03-30T00:00:00"/>
    <d v="2026-05-27T00:00:00"/>
    <s v="Wednesday"/>
    <s v="Evening"/>
    <x v="2"/>
    <n v="58"/>
    <n v="3"/>
    <x v="0"/>
    <x v="0"/>
    <s v="SMS"/>
    <n v="4.5"/>
    <x v="6"/>
    <x v="0"/>
  </r>
  <r>
    <s v="HC-02943"/>
    <s v="P-0071"/>
    <s v="Female"/>
    <n v="21"/>
    <x v="5"/>
    <s v="Diagnostic Test"/>
    <d v="2026-01-18T00:00:00"/>
    <d v="2026-02-21T00:00:00"/>
    <s v="Saturday"/>
    <s v="Afternoon"/>
    <x v="2"/>
    <n v="34"/>
    <n v="2"/>
    <x v="0"/>
    <x v="1"/>
    <s v="None"/>
    <n v="18.100000000000001"/>
    <x v="37"/>
    <x v="0"/>
  </r>
  <r>
    <s v="HC-02944"/>
    <s v="P-0065"/>
    <s v="Male"/>
    <n v="56"/>
    <x v="3"/>
    <s v="Follow-up"/>
    <d v="2025-04-05T00:00:00"/>
    <d v="2025-04-13T00:00:00"/>
    <s v="Sunday"/>
    <s v="Morning"/>
    <x v="0"/>
    <n v="8"/>
    <n v="3"/>
    <x v="1"/>
    <x v="1"/>
    <s v="None"/>
    <n v="23"/>
    <x v="35"/>
    <x v="1"/>
  </r>
  <r>
    <s v="HC-02945"/>
    <s v="P-0963"/>
    <s v="Female"/>
    <n v="66"/>
    <x v="4"/>
    <s v="Follow-up"/>
    <d v="2026-01-24T00:00:00"/>
    <d v="2026-03-25T00:00:00"/>
    <s v="Wednesday"/>
    <s v="Evening"/>
    <x v="2"/>
    <n v="60"/>
    <n v="3"/>
    <x v="1"/>
    <x v="0"/>
    <s v="SMS"/>
    <n v="1.9"/>
    <x v="54"/>
    <x v="2"/>
  </r>
  <r>
    <s v="HC-02946"/>
    <s v="P-0399"/>
    <s v="Female"/>
    <n v="80"/>
    <x v="4"/>
    <s v="General Consultation"/>
    <d v="2025-01-28T00:00:00"/>
    <d v="2025-02-28T00:00:00"/>
    <s v="Friday"/>
    <s v="Morning"/>
    <x v="2"/>
    <n v="31"/>
    <n v="5"/>
    <x v="1"/>
    <x v="0"/>
    <s v="SMS"/>
    <n v="15.7"/>
    <x v="15"/>
    <x v="0"/>
  </r>
  <r>
    <s v="HC-02947"/>
    <s v="P-0711"/>
    <s v="Female"/>
    <n v="60"/>
    <x v="3"/>
    <s v="Specialist Consultation"/>
    <d v="2025-10-06T00:00:00"/>
    <d v="2025-11-18T00:00:00"/>
    <s v="Tuesday"/>
    <s v="Afternoon"/>
    <x v="2"/>
    <n v="43"/>
    <n v="1"/>
    <x v="0"/>
    <x v="0"/>
    <s v="WhatsApp"/>
    <n v="13"/>
    <x v="31"/>
    <x v="0"/>
  </r>
  <r>
    <s v="HC-02948"/>
    <s v="P-1307"/>
    <s v="Female"/>
    <n v="53"/>
    <x v="2"/>
    <s v="General Consultation"/>
    <d v="2025-09-17T00:00:00"/>
    <d v="2025-09-29T00:00:00"/>
    <s v="Monday"/>
    <s v="Afternoon"/>
    <x v="0"/>
    <n v="12"/>
    <n v="5"/>
    <x v="1"/>
    <x v="0"/>
    <s v="SMS"/>
    <n v="1"/>
    <x v="51"/>
    <x v="0"/>
  </r>
  <r>
    <s v="HC-02949"/>
    <s v="P-1729"/>
    <s v="Male"/>
    <n v="54"/>
    <x v="2"/>
    <s v="General Consultation"/>
    <d v="2025-09-12T00:00:00"/>
    <d v="2025-10-17T00:00:00"/>
    <s v="Friday"/>
    <s v="Evening"/>
    <x v="2"/>
    <n v="35"/>
    <n v="3"/>
    <x v="0"/>
    <x v="0"/>
    <s v="SMS"/>
    <n v="14.9"/>
    <x v="25"/>
    <x v="1"/>
  </r>
  <r>
    <s v="HC-02950"/>
    <s v="P-0010"/>
    <s v="Female"/>
    <n v="25"/>
    <x v="1"/>
    <s v="General Consultation"/>
    <d v="2025-10-07T00:00:00"/>
    <d v="2025-10-11T00:00:00"/>
    <s v="Saturday"/>
    <s v="Morning"/>
    <x v="1"/>
    <n v="4"/>
    <n v="4"/>
    <x v="0"/>
    <x v="0"/>
    <s v="SMS"/>
    <n v="20"/>
    <x v="25"/>
    <x v="1"/>
  </r>
  <r>
    <s v="HC-02951"/>
    <s v="P-1261"/>
    <s v="Male"/>
    <n v="18"/>
    <x v="5"/>
    <s v="Follow-up"/>
    <d v="2024-12-11T00:00:00"/>
    <d v="2025-01-18T00:00:00"/>
    <s v="Saturday"/>
    <s v="Morning"/>
    <x v="2"/>
    <n v="38"/>
    <n v="3"/>
    <x v="0"/>
    <x v="0"/>
    <s v="WhatsApp"/>
    <n v="14"/>
    <x v="55"/>
    <x v="1"/>
  </r>
  <r>
    <s v="HC-02952"/>
    <s v="P-0455"/>
    <s v="Female"/>
    <n v="20"/>
    <x v="5"/>
    <s v="Diagnostic Test"/>
    <d v="2025-09-23T00:00:00"/>
    <d v="2025-10-05T00:00:00"/>
    <s v="Sunday"/>
    <s v="Afternoon"/>
    <x v="0"/>
    <n v="12"/>
    <n v="2"/>
    <x v="0"/>
    <x v="1"/>
    <s v="None"/>
    <n v="4.3"/>
    <x v="8"/>
    <x v="1"/>
  </r>
  <r>
    <s v="HC-02953"/>
    <s v="P-0319"/>
    <s v="Female"/>
    <n v="75"/>
    <x v="4"/>
    <s v="Specialist Consultation"/>
    <d v="2026-04-02T00:00:00"/>
    <d v="2026-05-27T00:00:00"/>
    <s v="Wednesday"/>
    <s v="Evening"/>
    <x v="2"/>
    <n v="55"/>
    <n v="2"/>
    <x v="1"/>
    <x v="0"/>
    <s v="WhatsApp"/>
    <n v="25.5"/>
    <x v="0"/>
    <x v="0"/>
  </r>
  <r>
    <s v="HC-02954"/>
    <s v="P-0409"/>
    <s v="Female"/>
    <n v="67"/>
    <x v="4"/>
    <s v="General Consultation"/>
    <d v="2025-08-24T00:00:00"/>
    <d v="2025-08-27T00:00:00"/>
    <s v="Wednesday"/>
    <s v="Morning"/>
    <x v="1"/>
    <n v="3"/>
    <n v="1"/>
    <x v="0"/>
    <x v="0"/>
    <s v="SMS"/>
    <n v="16.3"/>
    <x v="12"/>
    <x v="0"/>
  </r>
  <r>
    <s v="HC-02955"/>
    <s v="P-0144"/>
    <s v="Female"/>
    <n v="34"/>
    <x v="1"/>
    <s v="General Consultation"/>
    <d v="2025-04-23T00:00:00"/>
    <d v="2025-06-01T00:00:00"/>
    <s v="Sunday"/>
    <s v="Morning"/>
    <x v="2"/>
    <n v="39"/>
    <n v="2"/>
    <x v="0"/>
    <x v="0"/>
    <s v="SMS"/>
    <n v="4.5"/>
    <x v="8"/>
    <x v="0"/>
  </r>
  <r>
    <s v="HC-02956"/>
    <s v="P-0466"/>
    <s v="Male"/>
    <n v="44"/>
    <x v="0"/>
    <s v="Specialist Consultation"/>
    <d v="2026-06-20T00:00:00"/>
    <d v="2026-06-28T00:00:00"/>
    <s v="Sunday"/>
    <s v="Evening"/>
    <x v="0"/>
    <n v="8"/>
    <n v="6"/>
    <x v="0"/>
    <x v="0"/>
    <s v="SMS"/>
    <n v="11.8"/>
    <x v="12"/>
    <x v="1"/>
  </r>
  <r>
    <s v="HC-02957"/>
    <s v="P-1762"/>
    <s v="Male"/>
    <n v="48"/>
    <x v="2"/>
    <s v="Follow-up"/>
    <d v="2025-01-14T00:00:00"/>
    <d v="2025-02-24T00:00:00"/>
    <s v="Monday"/>
    <s v="Afternoon"/>
    <x v="2"/>
    <n v="41"/>
    <n v="3"/>
    <x v="0"/>
    <x v="0"/>
    <s v="SMS"/>
    <n v="11.4"/>
    <x v="12"/>
    <x v="1"/>
  </r>
  <r>
    <s v="HC-02958"/>
    <s v="P-0397"/>
    <s v="Male"/>
    <n v="33"/>
    <x v="1"/>
    <s v="General Consultation"/>
    <d v="2025-08-24T00:00:00"/>
    <d v="2025-09-23T00:00:00"/>
    <s v="Tuesday"/>
    <s v="Morning"/>
    <x v="3"/>
    <n v="30"/>
    <n v="6"/>
    <x v="0"/>
    <x v="1"/>
    <s v="None"/>
    <m/>
    <x v="17"/>
    <x v="1"/>
  </r>
  <r>
    <s v="HC-02959"/>
    <s v="P-0530"/>
    <s v="Male"/>
    <n v="44"/>
    <x v="0"/>
    <s v="General Consultation"/>
    <d v="2025-08-09T00:00:00"/>
    <d v="2025-10-07T00:00:00"/>
    <s v="Tuesday"/>
    <s v="Morning"/>
    <x v="2"/>
    <n v="59"/>
    <n v="5"/>
    <x v="0"/>
    <x v="0"/>
    <s v="Email"/>
    <n v="9.3000000000000007"/>
    <x v="4"/>
    <x v="2"/>
  </r>
  <r>
    <s v="HC-02960"/>
    <s v="P-0636"/>
    <s v="Male"/>
    <n v="39"/>
    <x v="0"/>
    <s v="Follow-up"/>
    <d v="2025-08-10T00:00:00"/>
    <d v="2025-09-18T00:00:00"/>
    <s v="Thursday"/>
    <s v="Afternoon"/>
    <x v="2"/>
    <n v="39"/>
    <n v="3"/>
    <x v="0"/>
    <x v="1"/>
    <s v="None"/>
    <n v="11"/>
    <x v="36"/>
    <x v="0"/>
  </r>
  <r>
    <s v="HC-02961"/>
    <s v="P-1143"/>
    <s v="Male"/>
    <n v="61"/>
    <x v="3"/>
    <s v="Diagnostic Test"/>
    <d v="2026-04-27T00:00:00"/>
    <d v="2026-05-19T00:00:00"/>
    <s v="Tuesday"/>
    <s v="Afternoon"/>
    <x v="3"/>
    <n v="22"/>
    <n v="5"/>
    <x v="2"/>
    <x v="0"/>
    <s v="SMS"/>
    <n v="6.1"/>
    <x v="8"/>
    <x v="0"/>
  </r>
  <r>
    <s v="HC-02962"/>
    <s v="P-1383"/>
    <s v="Male"/>
    <n v="65"/>
    <x v="4"/>
    <s v="Follow-up"/>
    <d v="2025-08-14T00:00:00"/>
    <d v="2025-08-19T00:00:00"/>
    <s v="Tuesday"/>
    <s v="Afternoon"/>
    <x v="1"/>
    <n v="5"/>
    <n v="1"/>
    <x v="0"/>
    <x v="0"/>
    <s v="SMS"/>
    <n v="21.4"/>
    <x v="29"/>
    <x v="1"/>
  </r>
  <r>
    <s v="HC-02963"/>
    <s v="P-0914"/>
    <s v="Male"/>
    <n v="24"/>
    <x v="5"/>
    <s v="General Consultation"/>
    <d v="2026-05-11T00:00:00"/>
    <d v="2026-06-16T00:00:00"/>
    <s v="Tuesday"/>
    <s v="Afternoon"/>
    <x v="2"/>
    <n v="36"/>
    <n v="4"/>
    <x v="1"/>
    <x v="1"/>
    <s v="None"/>
    <n v="7.4"/>
    <x v="19"/>
    <x v="1"/>
  </r>
  <r>
    <s v="HC-02964"/>
    <s v="P-1149"/>
    <s v="Female"/>
    <n v="47"/>
    <x v="2"/>
    <s v="Specialist Consultation"/>
    <d v="2025-01-11T00:00:00"/>
    <d v="2025-02-06T00:00:00"/>
    <s v="Thursday"/>
    <s v="Morning"/>
    <x v="3"/>
    <n v="26"/>
    <n v="0"/>
    <x v="0"/>
    <x v="0"/>
    <s v="WhatsApp"/>
    <n v="12.5"/>
    <x v="47"/>
    <x v="1"/>
  </r>
  <r>
    <s v="HC-02965"/>
    <s v="P-0672"/>
    <s v="Female"/>
    <n v="80"/>
    <x v="4"/>
    <s v="General Consultation"/>
    <d v="2026-02-02T00:00:00"/>
    <d v="2026-02-05T00:00:00"/>
    <s v="Thursday"/>
    <s v="Afternoon"/>
    <x v="1"/>
    <n v="3"/>
    <n v="3"/>
    <x v="0"/>
    <x v="0"/>
    <s v="Email"/>
    <n v="9"/>
    <x v="19"/>
    <x v="1"/>
  </r>
  <r>
    <s v="HC-02966"/>
    <s v="P-0592"/>
    <s v="Male"/>
    <n v="72"/>
    <x v="4"/>
    <s v="Specialist Consultation"/>
    <d v="2025-10-16T00:00:00"/>
    <d v="2025-11-20T00:00:00"/>
    <s v="Thursday"/>
    <s v="Morning"/>
    <x v="2"/>
    <n v="35"/>
    <n v="3"/>
    <x v="1"/>
    <x v="0"/>
    <s v="WhatsApp"/>
    <n v="5.0999999999999996"/>
    <x v="18"/>
    <x v="1"/>
  </r>
  <r>
    <s v="HC-02967"/>
    <s v="P-0556"/>
    <s v="Male"/>
    <n v="68"/>
    <x v="4"/>
    <s v="General Consultation"/>
    <d v="2025-04-30T00:00:00"/>
    <d v="2025-05-12T00:00:00"/>
    <s v="Monday"/>
    <s v="Evening"/>
    <x v="0"/>
    <n v="12"/>
    <n v="3"/>
    <x v="1"/>
    <x v="1"/>
    <s v="None"/>
    <n v="10.5"/>
    <x v="12"/>
    <x v="2"/>
  </r>
  <r>
    <s v="HC-02968"/>
    <s v="P-1290"/>
    <s v="Female"/>
    <n v="64"/>
    <x v="3"/>
    <s v="General Consultation"/>
    <d v="2025-04-21T00:00:00"/>
    <d v="2025-05-05T00:00:00"/>
    <s v="Monday"/>
    <s v="Morning"/>
    <x v="0"/>
    <n v="14"/>
    <n v="2"/>
    <x v="0"/>
    <x v="0"/>
    <s v="SMS"/>
    <n v="8.3000000000000007"/>
    <x v="27"/>
    <x v="1"/>
  </r>
  <r>
    <s v="HC-02969"/>
    <s v="P-0161"/>
    <s v="Male"/>
    <n v="18"/>
    <x v="5"/>
    <s v="Follow-up"/>
    <d v="2026-01-28T00:00:00"/>
    <d v="2026-01-28T00:00:00"/>
    <s v="Wednesday"/>
    <s v="Morning"/>
    <x v="1"/>
    <n v="0"/>
    <n v="0"/>
    <x v="0"/>
    <x v="0"/>
    <s v="SMS"/>
    <n v="25.2"/>
    <x v="20"/>
    <x v="1"/>
  </r>
  <r>
    <s v="HC-02970"/>
    <s v="P-0601"/>
    <s v="Female"/>
    <n v="79"/>
    <x v="4"/>
    <s v="General Consultation"/>
    <d v="2025-11-23T00:00:00"/>
    <d v="2025-12-15T00:00:00"/>
    <s v="Monday"/>
    <s v="Morning"/>
    <x v="3"/>
    <n v="22"/>
    <n v="2"/>
    <x v="1"/>
    <x v="1"/>
    <s v="None"/>
    <n v="15.8"/>
    <x v="16"/>
    <x v="1"/>
  </r>
  <r>
    <s v="HC-02971"/>
    <s v="P-0858"/>
    <s v="Male"/>
    <n v="64"/>
    <x v="3"/>
    <s v="General Consultation"/>
    <d v="2025-11-17T00:00:00"/>
    <d v="2025-11-30T00:00:00"/>
    <s v="Sunday"/>
    <s v="Morning"/>
    <x v="0"/>
    <n v="13"/>
    <n v="3"/>
    <x v="0"/>
    <x v="0"/>
    <s v="SMS"/>
    <n v="2.5"/>
    <x v="7"/>
    <x v="1"/>
  </r>
  <r>
    <s v="HC-02972"/>
    <s v="P-0853"/>
    <s v="Male"/>
    <n v="73"/>
    <x v="4"/>
    <s v="Follow-up"/>
    <d v="2025-01-24T00:00:00"/>
    <d v="2025-01-28T00:00:00"/>
    <s v="Tuesday"/>
    <s v="Morning"/>
    <x v="1"/>
    <n v="4"/>
    <n v="5"/>
    <x v="0"/>
    <x v="1"/>
    <s v="None"/>
    <n v="5"/>
    <x v="18"/>
    <x v="1"/>
  </r>
  <r>
    <s v="HC-02973"/>
    <s v="P-1263"/>
    <s v="Female"/>
    <n v="75"/>
    <x v="4"/>
    <s v="Specialist Consultation"/>
    <d v="2025-10-28T00:00:00"/>
    <d v="2025-11-23T00:00:00"/>
    <s v="Sunday"/>
    <s v="Afternoon"/>
    <x v="3"/>
    <n v="26"/>
    <n v="8"/>
    <x v="1"/>
    <x v="0"/>
    <s v="WhatsApp"/>
    <n v="4.4000000000000004"/>
    <x v="39"/>
    <x v="0"/>
  </r>
  <r>
    <s v="HC-02974"/>
    <s v="P-1081"/>
    <s v="Male"/>
    <n v="34"/>
    <x v="1"/>
    <s v="Specialist Consultation"/>
    <d v="2026-06-07T00:00:00"/>
    <d v="2026-06-20T00:00:00"/>
    <s v="Saturday"/>
    <s v="Evening"/>
    <x v="0"/>
    <n v="13"/>
    <n v="2"/>
    <x v="0"/>
    <x v="0"/>
    <s v="SMS"/>
    <m/>
    <x v="51"/>
    <x v="1"/>
  </r>
  <r>
    <s v="HC-02975"/>
    <s v="P-0099"/>
    <s v="Male"/>
    <n v="18"/>
    <x v="5"/>
    <s v="General Consultation"/>
    <d v="2025-01-02T00:00:00"/>
    <d v="2025-01-10T00:00:00"/>
    <s v="Friday"/>
    <s v="Afternoon"/>
    <x v="0"/>
    <n v="8"/>
    <n v="3"/>
    <x v="1"/>
    <x v="0"/>
    <s v="SMS"/>
    <n v="13.2"/>
    <x v="7"/>
    <x v="1"/>
  </r>
  <r>
    <s v="HC-02976"/>
    <s v="P-1003"/>
    <s v="Male"/>
    <n v="59"/>
    <x v="3"/>
    <s v="General Consultation"/>
    <d v="2025-08-17T00:00:00"/>
    <d v="2025-09-14T00:00:00"/>
    <s v="Sunday"/>
    <s v="Afternoon"/>
    <x v="3"/>
    <n v="28"/>
    <n v="3"/>
    <x v="1"/>
    <x v="0"/>
    <s v="WhatsApp"/>
    <n v="11.6"/>
    <x v="20"/>
    <x v="1"/>
  </r>
  <r>
    <s v="HC-02977"/>
    <s v="P-1117"/>
    <s v="Male"/>
    <n v="46"/>
    <x v="2"/>
    <s v="Follow-up"/>
    <d v="2025-09-24T00:00:00"/>
    <d v="2025-09-27T00:00:00"/>
    <s v="Saturday"/>
    <s v="Morning"/>
    <x v="1"/>
    <n v="3"/>
    <n v="4"/>
    <x v="2"/>
    <x v="0"/>
    <s v="SMS"/>
    <n v="3.8"/>
    <x v="14"/>
    <x v="0"/>
  </r>
  <r>
    <s v="HC-02978"/>
    <s v="P-0679"/>
    <s v="Male"/>
    <n v="19"/>
    <x v="5"/>
    <s v="Follow-up"/>
    <d v="2026-03-06T00:00:00"/>
    <d v="2026-05-05T00:00:00"/>
    <s v="Tuesday"/>
    <s v="Afternoon"/>
    <x v="2"/>
    <n v="60"/>
    <n v="2"/>
    <x v="0"/>
    <x v="1"/>
    <s v="None"/>
    <n v="3.9"/>
    <x v="14"/>
    <x v="0"/>
  </r>
  <r>
    <s v="HC-02979"/>
    <s v="P-0003"/>
    <s v="Female"/>
    <n v="35"/>
    <x v="0"/>
    <s v="General Consultation"/>
    <d v="2025-05-07T00:00:00"/>
    <d v="2025-06-04T00:00:00"/>
    <s v="Wednesday"/>
    <s v="Morning"/>
    <x v="3"/>
    <n v="28"/>
    <n v="4"/>
    <x v="2"/>
    <x v="0"/>
    <s v="SMS"/>
    <n v="1.5"/>
    <x v="6"/>
    <x v="1"/>
  </r>
  <r>
    <s v="HC-02980"/>
    <s v="P-0476"/>
    <s v="Male"/>
    <n v="80"/>
    <x v="4"/>
    <s v="Diagnostic Test"/>
    <d v="2025-07-19T00:00:00"/>
    <d v="2025-09-17T00:00:00"/>
    <s v="Wednesday"/>
    <s v="Morning"/>
    <x v="2"/>
    <n v="60"/>
    <n v="5"/>
    <x v="1"/>
    <x v="0"/>
    <s v="WhatsApp"/>
    <n v="4.7"/>
    <x v="15"/>
    <x v="1"/>
  </r>
  <r>
    <s v="HC-02981"/>
    <s v="P-0008"/>
    <s v="Female"/>
    <n v="40"/>
    <x v="0"/>
    <s v="Diagnostic Test"/>
    <d v="2025-12-05T00:00:00"/>
    <d v="2026-01-27T00:00:00"/>
    <s v="Tuesday"/>
    <s v="Morning"/>
    <x v="2"/>
    <n v="53"/>
    <n v="4"/>
    <x v="1"/>
    <x v="0"/>
    <s v="WhatsApp"/>
    <n v="11.3"/>
    <x v="12"/>
    <x v="0"/>
  </r>
  <r>
    <s v="HC-02982"/>
    <s v="P-1181"/>
    <s v="Female"/>
    <n v="34"/>
    <x v="1"/>
    <s v="General Consultation"/>
    <d v="2024-12-05T00:00:00"/>
    <d v="2025-02-02T00:00:00"/>
    <s v="Sunday"/>
    <s v="Morning"/>
    <x v="2"/>
    <n v="59"/>
    <n v="4"/>
    <x v="1"/>
    <x v="0"/>
    <s v="SMS"/>
    <n v="27.1"/>
    <x v="25"/>
    <x v="0"/>
  </r>
  <r>
    <s v="HC-02983"/>
    <s v="P-0722"/>
    <s v="Female"/>
    <n v="59"/>
    <x v="3"/>
    <s v="Specialist Consultation"/>
    <d v="2026-02-09T00:00:00"/>
    <d v="2026-03-14T00:00:00"/>
    <s v="Saturday"/>
    <s v="Afternoon"/>
    <x v="2"/>
    <n v="33"/>
    <n v="1"/>
    <x v="0"/>
    <x v="0"/>
    <s v="WhatsApp"/>
    <n v="2.6"/>
    <x v="11"/>
    <x v="0"/>
  </r>
  <r>
    <s v="HC-02984"/>
    <s v="P-0715"/>
    <s v="Female"/>
    <n v="59"/>
    <x v="3"/>
    <s v="Follow-up"/>
    <d v="2026-02-28T00:00:00"/>
    <d v="2026-03-25T00:00:00"/>
    <s v="Wednesday"/>
    <s v="Morning"/>
    <x v="3"/>
    <n v="25"/>
    <n v="2"/>
    <x v="0"/>
    <x v="0"/>
    <s v="Email"/>
    <n v="10.6"/>
    <x v="17"/>
    <x v="1"/>
  </r>
  <r>
    <s v="HC-02985"/>
    <s v="P-1181"/>
    <s v="Male"/>
    <n v="38"/>
    <x v="0"/>
    <s v="General Consultation"/>
    <d v="2025-12-16T00:00:00"/>
    <d v="2026-01-28T00:00:00"/>
    <s v="Wednesday"/>
    <s v="Morning"/>
    <x v="2"/>
    <n v="43"/>
    <n v="3"/>
    <x v="1"/>
    <x v="0"/>
    <s v="WhatsApp"/>
    <n v="29.5"/>
    <x v="19"/>
    <x v="0"/>
  </r>
  <r>
    <s v="HC-02986"/>
    <s v="P-1045"/>
    <s v="Male"/>
    <n v="71"/>
    <x v="4"/>
    <s v="Follow-up"/>
    <d v="2025-12-16T00:00:00"/>
    <d v="2025-12-20T00:00:00"/>
    <s v="Saturday"/>
    <s v="Afternoon"/>
    <x v="1"/>
    <n v="4"/>
    <n v="3"/>
    <x v="1"/>
    <x v="0"/>
    <s v="SMS"/>
    <n v="7.8"/>
    <x v="17"/>
    <x v="1"/>
  </r>
  <r>
    <s v="HC-02987"/>
    <s v="P-1414"/>
    <s v="Male"/>
    <n v="54"/>
    <x v="2"/>
    <s v="General Consultation"/>
    <d v="2025-12-24T00:00:00"/>
    <d v="2026-02-13T00:00:00"/>
    <s v="Friday"/>
    <s v="Morning"/>
    <x v="2"/>
    <n v="51"/>
    <n v="0"/>
    <x v="0"/>
    <x v="0"/>
    <s v="WhatsApp"/>
    <n v="7.7"/>
    <x v="16"/>
    <x v="0"/>
  </r>
  <r>
    <s v="HC-02988"/>
    <s v="P-0744"/>
    <s v="Female"/>
    <n v="28"/>
    <x v="1"/>
    <s v="General Consultation"/>
    <d v="2026-02-12T00:00:00"/>
    <d v="2026-03-03T00:00:00"/>
    <s v="Tuesday"/>
    <s v="Afternoon"/>
    <x v="3"/>
    <n v="19"/>
    <n v="5"/>
    <x v="0"/>
    <x v="1"/>
    <s v="None"/>
    <n v="8.8000000000000007"/>
    <x v="21"/>
    <x v="0"/>
  </r>
  <r>
    <s v="HC-02989"/>
    <s v="P-1249"/>
    <s v="Male"/>
    <n v="38"/>
    <x v="0"/>
    <s v="Diagnostic Test"/>
    <d v="2026-05-09T00:00:00"/>
    <d v="2026-05-09T00:00:00"/>
    <s v="Saturday"/>
    <s v="Morning"/>
    <x v="1"/>
    <n v="0"/>
    <n v="2"/>
    <x v="0"/>
    <x v="0"/>
    <s v="WhatsApp"/>
    <n v="8.1"/>
    <x v="20"/>
    <x v="1"/>
  </r>
  <r>
    <s v="HC-02990"/>
    <s v="P-1426"/>
    <s v="Male"/>
    <n v="71"/>
    <x v="4"/>
    <s v="Follow-up"/>
    <d v="2025-08-08T00:00:00"/>
    <d v="2025-08-22T00:00:00"/>
    <s v="Friday"/>
    <s v="Evening"/>
    <x v="0"/>
    <n v="14"/>
    <n v="1"/>
    <x v="0"/>
    <x v="0"/>
    <s v="WhatsApp"/>
    <n v="13.7"/>
    <x v="24"/>
    <x v="2"/>
  </r>
  <r>
    <s v="HC-02991"/>
    <s v="P-0484"/>
    <s v="Female"/>
    <n v="23"/>
    <x v="5"/>
    <s v="General Consultation"/>
    <d v="2025-08-24T00:00:00"/>
    <d v="2025-09-07T00:00:00"/>
    <s v="Sunday"/>
    <s v="Afternoon"/>
    <x v="0"/>
    <n v="14"/>
    <n v="6"/>
    <x v="2"/>
    <x v="0"/>
    <s v="SMS"/>
    <n v="35.299999999999997"/>
    <x v="25"/>
    <x v="0"/>
  </r>
  <r>
    <s v="HC-02992"/>
    <s v="P-1692"/>
    <s v="Male"/>
    <n v="18"/>
    <x v="5"/>
    <s v="Follow-up"/>
    <d v="2025-12-15T00:00:00"/>
    <d v="2025-12-15T00:00:00"/>
    <s v="Monday"/>
    <s v="Morning"/>
    <x v="1"/>
    <n v="0"/>
    <n v="6"/>
    <x v="2"/>
    <x v="0"/>
    <s v="WhatsApp"/>
    <n v="5.0999999999999996"/>
    <x v="28"/>
    <x v="0"/>
  </r>
  <r>
    <s v="HC-02993"/>
    <s v="P-1248"/>
    <s v="Female"/>
    <n v="59"/>
    <x v="3"/>
    <s v="Diagnostic Test"/>
    <d v="2025-03-07T00:00:00"/>
    <d v="2025-04-16T00:00:00"/>
    <s v="Wednesday"/>
    <s v="Evening"/>
    <x v="2"/>
    <n v="40"/>
    <n v="3"/>
    <x v="1"/>
    <x v="0"/>
    <s v="Email"/>
    <n v="3"/>
    <x v="38"/>
    <x v="1"/>
  </r>
  <r>
    <s v="HC-02994"/>
    <s v="P-1699"/>
    <s v="Male"/>
    <n v="45"/>
    <x v="2"/>
    <s v="Follow-up"/>
    <d v="2026-04-08T00:00:00"/>
    <d v="2026-04-13T00:00:00"/>
    <s v="Monday"/>
    <s v="Morning"/>
    <x v="1"/>
    <n v="5"/>
    <n v="1"/>
    <x v="0"/>
    <x v="0"/>
    <s v="SMS"/>
    <n v="4"/>
    <x v="23"/>
    <x v="1"/>
  </r>
  <r>
    <s v="HC-02995"/>
    <s v="P-0194"/>
    <s v="Female"/>
    <n v="33"/>
    <x v="1"/>
    <s v="Diagnostic Test"/>
    <d v="2026-01-05T00:00:00"/>
    <d v="2026-02-25T00:00:00"/>
    <s v="Wednesday"/>
    <s v="Morning"/>
    <x v="2"/>
    <n v="51"/>
    <n v="3"/>
    <x v="1"/>
    <x v="1"/>
    <s v="None"/>
    <n v="14.4"/>
    <x v="38"/>
    <x v="0"/>
  </r>
  <r>
    <s v="HC-02996"/>
    <s v="P-0066"/>
    <s v="Male"/>
    <n v="47"/>
    <x v="2"/>
    <s v="Specialist Consultation"/>
    <d v="2025-11-14T00:00:00"/>
    <d v="2025-12-11T00:00:00"/>
    <s v="Thursday"/>
    <s v="Afternoon"/>
    <x v="3"/>
    <n v="27"/>
    <n v="4"/>
    <x v="0"/>
    <x v="0"/>
    <s v="SMS"/>
    <n v="9.9"/>
    <x v="19"/>
    <x v="1"/>
  </r>
  <r>
    <s v="HC-02997"/>
    <s v="P-0761"/>
    <s v="Male"/>
    <n v="29"/>
    <x v="1"/>
    <s v="General Consultation"/>
    <d v="2025-05-02T00:00:00"/>
    <d v="2025-06-14T00:00:00"/>
    <s v="Saturday"/>
    <s v="Afternoon"/>
    <x v="2"/>
    <n v="43"/>
    <n v="4"/>
    <x v="1"/>
    <x v="1"/>
    <s v="None"/>
    <n v="16"/>
    <x v="4"/>
    <x v="1"/>
  </r>
  <r>
    <s v="HC-02998"/>
    <s v="P-0853"/>
    <s v="Male"/>
    <n v="41"/>
    <x v="0"/>
    <s v="Follow-up"/>
    <d v="2025-06-19T00:00:00"/>
    <d v="2025-07-09T00:00:00"/>
    <s v="Wednesday"/>
    <s v="Morning"/>
    <x v="3"/>
    <n v="20"/>
    <n v="2"/>
    <x v="0"/>
    <x v="0"/>
    <s v="WhatsApp"/>
    <n v="1.9"/>
    <x v="8"/>
    <x v="1"/>
  </r>
  <r>
    <s v="HC-02999"/>
    <s v="P-1795"/>
    <s v="Female"/>
    <n v="32"/>
    <x v="1"/>
    <s v="Follow-up"/>
    <d v="2025-08-18T00:00:00"/>
    <d v="2025-08-26T00:00:00"/>
    <s v="Tuesday"/>
    <s v="Morning"/>
    <x v="0"/>
    <n v="8"/>
    <n v="4"/>
    <x v="2"/>
    <x v="0"/>
    <s v="WhatsApp"/>
    <n v="7.4"/>
    <x v="7"/>
    <x v="1"/>
  </r>
  <r>
    <s v="HC-03000"/>
    <s v="P-0656"/>
    <s v="Female"/>
    <n v="54"/>
    <x v="2"/>
    <s v="Specialist Consultation"/>
    <d v="2025-12-17T00:00:00"/>
    <d v="2025-12-28T00:00:00"/>
    <s v="Sunday"/>
    <s v="Morning"/>
    <x v="0"/>
    <n v="11"/>
    <n v="4"/>
    <x v="0"/>
    <x v="0"/>
    <s v="Email"/>
    <n v="13.4"/>
    <x v="24"/>
    <x v="1"/>
  </r>
  <r>
    <s v="HC-03001"/>
    <s v="P-1238"/>
    <s v="Male"/>
    <n v="60"/>
    <x v="3"/>
    <s v="General Consultation"/>
    <d v="2026-01-21T00:00:00"/>
    <d v="2026-03-01T00:00:00"/>
    <s v="Sunday"/>
    <s v="Afternoon"/>
    <x v="2"/>
    <n v="39"/>
    <n v="2"/>
    <x v="1"/>
    <x v="0"/>
    <s v="WhatsApp"/>
    <n v="1.8"/>
    <x v="12"/>
    <x v="0"/>
  </r>
  <r>
    <s v="HC-03002"/>
    <s v="P-0163"/>
    <s v="Female"/>
    <n v="75"/>
    <x v="4"/>
    <s v="General Consultation"/>
    <d v="2025-11-20T00:00:00"/>
    <d v="2026-01-02T00:00:00"/>
    <s v="Friday"/>
    <s v="Evening"/>
    <x v="2"/>
    <n v="43"/>
    <n v="1"/>
    <x v="0"/>
    <x v="0"/>
    <s v="SMS"/>
    <n v="10.5"/>
    <x v="47"/>
    <x v="1"/>
  </r>
  <r>
    <s v="HC-03003"/>
    <s v="P-1507"/>
    <s v="Female"/>
    <n v="22"/>
    <x v="5"/>
    <s v="General Consultation"/>
    <d v="2026-05-07T00:00:00"/>
    <d v="2026-05-23T00:00:00"/>
    <s v="Saturday"/>
    <s v="Morning"/>
    <x v="3"/>
    <n v="16"/>
    <n v="1"/>
    <x v="0"/>
    <x v="0"/>
    <s v="Email"/>
    <n v="7.6"/>
    <x v="14"/>
    <x v="1"/>
  </r>
  <r>
    <s v="HC-03004"/>
    <s v="P-1510"/>
    <s v="Male"/>
    <n v="38"/>
    <x v="0"/>
    <s v="Follow-up"/>
    <d v="2026-05-19T00:00:00"/>
    <d v="2026-06-09T00:00:00"/>
    <s v="Tuesday"/>
    <s v="Evening"/>
    <x v="3"/>
    <n v="21"/>
    <n v="1"/>
    <x v="0"/>
    <x v="0"/>
    <s v="SMS"/>
    <n v="23.1"/>
    <x v="19"/>
    <x v="0"/>
  </r>
  <r>
    <s v="HC-03005"/>
    <s v="P-0833"/>
    <s v="Male"/>
    <n v="34"/>
    <x v="1"/>
    <s v="Specialist Consultation"/>
    <d v="2025-11-24T00:00:00"/>
    <d v="2026-01-20T00:00:00"/>
    <s v="Tuesday"/>
    <s v="Morning"/>
    <x v="2"/>
    <n v="57"/>
    <n v="7"/>
    <x v="0"/>
    <x v="0"/>
    <s v="Email"/>
    <n v="2.8"/>
    <x v="13"/>
    <x v="1"/>
  </r>
  <r>
    <s v="HC-03006"/>
    <s v="P-1203"/>
    <s v="Male"/>
    <n v="54"/>
    <x v="2"/>
    <s v="Specialist Consultation"/>
    <d v="2025-06-01T00:00:00"/>
    <d v="2025-07-22T00:00:00"/>
    <s v="Tuesday"/>
    <s v="Afternoon"/>
    <x v="2"/>
    <n v="51"/>
    <n v="4"/>
    <x v="0"/>
    <x v="1"/>
    <s v="None"/>
    <n v="16.8"/>
    <x v="19"/>
    <x v="1"/>
  </r>
  <r>
    <s v="HC-03007"/>
    <s v="P-1084"/>
    <s v="Female"/>
    <n v="51"/>
    <x v="2"/>
    <s v="Follow-up"/>
    <d v="2025-10-30T00:00:00"/>
    <d v="2025-11-24T00:00:00"/>
    <s v="Monday"/>
    <s v="Evening"/>
    <x v="3"/>
    <n v="25"/>
    <n v="2"/>
    <x v="0"/>
    <x v="0"/>
    <s v="WhatsApp"/>
    <n v="6.3"/>
    <x v="10"/>
    <x v="1"/>
  </r>
  <r>
    <s v="HC-03008"/>
    <s v="P-1025"/>
    <s v="Female"/>
    <n v="73"/>
    <x v="4"/>
    <s v="General Consultation"/>
    <d v="2025-08-07T00:00:00"/>
    <d v="2025-08-21T00:00:00"/>
    <s v="Thursday"/>
    <s v="Afternoon"/>
    <x v="0"/>
    <n v="14"/>
    <n v="5"/>
    <x v="0"/>
    <x v="0"/>
    <s v="SMS"/>
    <n v="1.8"/>
    <x v="11"/>
    <x v="1"/>
  </r>
  <r>
    <s v="HC-03009"/>
    <s v="P-1721"/>
    <s v="Male"/>
    <n v="75"/>
    <x v="4"/>
    <s v="General Consultation"/>
    <d v="2025-11-22T00:00:00"/>
    <d v="2025-12-10T00:00:00"/>
    <s v="Wednesday"/>
    <s v="Morning"/>
    <x v="3"/>
    <n v="18"/>
    <n v="4"/>
    <x v="0"/>
    <x v="0"/>
    <s v="WhatsApp"/>
    <n v="5.4"/>
    <x v="6"/>
    <x v="1"/>
  </r>
  <r>
    <s v="HC-03010"/>
    <s v="P-1657"/>
    <s v="Female"/>
    <n v="66"/>
    <x v="4"/>
    <s v="Specialist Consultation"/>
    <d v="2026-02-16T00:00:00"/>
    <d v="2026-03-20T00:00:00"/>
    <s v="Friday"/>
    <s v="Morning"/>
    <x v="2"/>
    <n v="32"/>
    <n v="3"/>
    <x v="0"/>
    <x v="1"/>
    <s v="None"/>
    <n v="15.5"/>
    <x v="27"/>
    <x v="1"/>
  </r>
  <r>
    <s v="HC-03011"/>
    <s v="P-0384"/>
    <s v="Female"/>
    <n v="30"/>
    <x v="1"/>
    <s v="Follow-up"/>
    <d v="2025-06-17T00:00:00"/>
    <d v="2025-07-21T00:00:00"/>
    <s v="Monday"/>
    <s v="Morning"/>
    <x v="2"/>
    <n v="34"/>
    <n v="3"/>
    <x v="0"/>
    <x v="0"/>
    <s v="Email"/>
    <n v="14.7"/>
    <x v="25"/>
    <x v="0"/>
  </r>
  <r>
    <s v="HC-03012"/>
    <s v="P-1158"/>
    <s v="Female"/>
    <n v="20"/>
    <x v="5"/>
    <s v="Specialist Consultation"/>
    <d v="2025-09-23T00:00:00"/>
    <d v="2025-10-04T00:00:00"/>
    <s v="Saturday"/>
    <s v="Afternoon"/>
    <x v="0"/>
    <n v="11"/>
    <n v="3"/>
    <x v="0"/>
    <x v="0"/>
    <s v="SMS"/>
    <n v="12.4"/>
    <x v="45"/>
    <x v="0"/>
  </r>
  <r>
    <s v="HC-03013"/>
    <s v="P-1133"/>
    <s v="Male"/>
    <n v="74"/>
    <x v="4"/>
    <s v="General Consultation"/>
    <d v="2025-01-21T00:00:00"/>
    <d v="2025-01-25T00:00:00"/>
    <s v="Saturday"/>
    <s v="Evening"/>
    <x v="1"/>
    <n v="4"/>
    <n v="1"/>
    <x v="0"/>
    <x v="1"/>
    <s v="None"/>
    <n v="4"/>
    <x v="26"/>
    <x v="1"/>
  </r>
  <r>
    <s v="HC-03014"/>
    <s v="P-1657"/>
    <s v="Female"/>
    <n v="77"/>
    <x v="4"/>
    <s v="General Consultation"/>
    <d v="2026-01-08T00:00:00"/>
    <d v="2026-02-07T00:00:00"/>
    <s v="Saturday"/>
    <s v="Morning"/>
    <x v="3"/>
    <n v="30"/>
    <n v="3"/>
    <x v="1"/>
    <x v="0"/>
    <s v="WhatsApp"/>
    <n v="23.4"/>
    <x v="24"/>
    <x v="1"/>
  </r>
  <r>
    <s v="HC-03015"/>
    <s v="P-0348"/>
    <s v="Male"/>
    <n v="33"/>
    <x v="1"/>
    <s v="Diagnostic Test"/>
    <d v="2025-08-08T00:00:00"/>
    <d v="2025-09-25T00:00:00"/>
    <s v="Thursday"/>
    <s v="Morning"/>
    <x v="2"/>
    <n v="48"/>
    <n v="4"/>
    <x v="1"/>
    <x v="1"/>
    <s v="None"/>
    <n v="8.8000000000000007"/>
    <x v="36"/>
    <x v="0"/>
  </r>
  <r>
    <s v="HC-03016"/>
    <s v="P-1207"/>
    <s v="Female"/>
    <n v="20"/>
    <x v="5"/>
    <s v="General Consultation"/>
    <d v="2025-08-31T00:00:00"/>
    <d v="2025-09-09T00:00:00"/>
    <s v="Tuesday"/>
    <s v="Morning"/>
    <x v="0"/>
    <n v="9"/>
    <n v="3"/>
    <x v="0"/>
    <x v="0"/>
    <s v="Email"/>
    <n v="7.4"/>
    <x v="6"/>
    <x v="1"/>
  </r>
  <r>
    <s v="HC-03017"/>
    <s v="P-1011"/>
    <s v="Female"/>
    <n v="60"/>
    <x v="3"/>
    <s v="General Consultation"/>
    <d v="2025-09-24T00:00:00"/>
    <d v="2025-10-18T00:00:00"/>
    <s v="Saturday"/>
    <s v="Afternoon"/>
    <x v="3"/>
    <n v="24"/>
    <n v="4"/>
    <x v="1"/>
    <x v="0"/>
    <s v="WhatsApp"/>
    <n v="8.6999999999999993"/>
    <x v="5"/>
    <x v="0"/>
  </r>
  <r>
    <s v="HC-03018"/>
    <s v="P-0141"/>
    <s v="Male"/>
    <n v="55"/>
    <x v="3"/>
    <s v="Follow-up"/>
    <d v="2025-04-19T00:00:00"/>
    <d v="2025-04-28T00:00:00"/>
    <s v="Monday"/>
    <s v="Afternoon"/>
    <x v="0"/>
    <n v="9"/>
    <n v="1"/>
    <x v="0"/>
    <x v="1"/>
    <s v="None"/>
    <n v="3.1"/>
    <x v="23"/>
    <x v="1"/>
  </r>
  <r>
    <s v="HC-03019"/>
    <s v="P-0309"/>
    <s v="Male"/>
    <n v="73"/>
    <x v="4"/>
    <s v="Follow-up"/>
    <d v="2025-11-09T00:00:00"/>
    <d v="2025-11-23T00:00:00"/>
    <s v="Sunday"/>
    <s v="Morning"/>
    <x v="0"/>
    <n v="14"/>
    <n v="2"/>
    <x v="0"/>
    <x v="0"/>
    <s v="SMS"/>
    <n v="1.9"/>
    <x v="17"/>
    <x v="0"/>
  </r>
  <r>
    <s v="HC-03020"/>
    <s v="P-0032"/>
    <s v="Male"/>
    <n v="54"/>
    <x v="2"/>
    <s v="Diagnostic Test"/>
    <d v="2026-01-05T00:00:00"/>
    <d v="2026-02-11T00:00:00"/>
    <s v="Wednesday"/>
    <s v="Afternoon"/>
    <x v="2"/>
    <n v="37"/>
    <n v="7"/>
    <x v="1"/>
    <x v="1"/>
    <s v="None"/>
    <n v="7.8"/>
    <x v="25"/>
    <x v="1"/>
  </r>
  <r>
    <s v="HC-03021"/>
    <s v="P-0513"/>
    <s v="Male"/>
    <n v="65"/>
    <x v="4"/>
    <s v="Diagnostic Test"/>
    <d v="2025-06-23T00:00:00"/>
    <d v="2025-07-10T00:00:00"/>
    <s v="Thursday"/>
    <s v="Morning"/>
    <x v="3"/>
    <n v="17"/>
    <n v="1"/>
    <x v="0"/>
    <x v="0"/>
    <s v="SMS"/>
    <n v="1.4"/>
    <x v="35"/>
    <x v="1"/>
  </r>
  <r>
    <s v="HC-03022"/>
    <s v="P-1577"/>
    <s v="Female"/>
    <n v="67"/>
    <x v="4"/>
    <s v="Specialist Consultation"/>
    <d v="2025-02-25T00:00:00"/>
    <d v="2025-03-13T00:00:00"/>
    <s v="Thursday"/>
    <s v="Afternoon"/>
    <x v="3"/>
    <n v="16"/>
    <n v="3"/>
    <x v="0"/>
    <x v="0"/>
    <s v="WhatsApp"/>
    <n v="15.1"/>
    <x v="40"/>
    <x v="1"/>
  </r>
  <r>
    <s v="HC-03023"/>
    <s v="P-0445"/>
    <s v="Female"/>
    <n v="18"/>
    <x v="5"/>
    <s v="General Consultation"/>
    <d v="2025-06-01T00:00:00"/>
    <d v="2025-07-31T00:00:00"/>
    <s v="Thursday"/>
    <s v="Morning"/>
    <x v="2"/>
    <n v="60"/>
    <n v="2"/>
    <x v="0"/>
    <x v="0"/>
    <s v="Email"/>
    <n v="20.7"/>
    <x v="11"/>
    <x v="0"/>
  </r>
  <r>
    <s v="HC-03024"/>
    <s v="P-0964"/>
    <s v="Female"/>
    <n v="27"/>
    <x v="1"/>
    <s v="Follow-up"/>
    <d v="2025-04-09T00:00:00"/>
    <d v="2025-04-19T00:00:00"/>
    <s v="Saturday"/>
    <s v="Morning"/>
    <x v="0"/>
    <n v="10"/>
    <n v="0"/>
    <x v="0"/>
    <x v="0"/>
    <s v="SMS"/>
    <n v="33.9"/>
    <x v="13"/>
    <x v="0"/>
  </r>
  <r>
    <s v="HC-03025"/>
    <s v="P-0815"/>
    <s v="Female"/>
    <n v="67"/>
    <x v="4"/>
    <s v="Diagnostic Test"/>
    <d v="2025-07-13T00:00:00"/>
    <d v="2025-07-24T00:00:00"/>
    <s v="Thursday"/>
    <s v="Afternoon"/>
    <x v="0"/>
    <n v="11"/>
    <n v="3"/>
    <x v="0"/>
    <x v="0"/>
    <s v="WhatsApp"/>
    <n v="5"/>
    <x v="15"/>
    <x v="1"/>
  </r>
  <r>
    <s v="HC-03026"/>
    <s v="P-0597"/>
    <s v="Male"/>
    <n v="29"/>
    <x v="1"/>
    <s v="Follow-up"/>
    <d v="2025-10-14T00:00:00"/>
    <d v="2025-12-09T00:00:00"/>
    <s v="Tuesday"/>
    <s v="Afternoon"/>
    <x v="2"/>
    <n v="56"/>
    <n v="8"/>
    <x v="2"/>
    <x v="0"/>
    <s v="SMS"/>
    <n v="14.7"/>
    <x v="21"/>
    <x v="0"/>
  </r>
  <r>
    <s v="HC-03027"/>
    <s v="P-0601"/>
    <s v="Male"/>
    <n v="30"/>
    <x v="1"/>
    <s v="Diagnostic Test"/>
    <d v="2025-01-29T00:00:00"/>
    <d v="2025-03-03T00:00:00"/>
    <s v="Monday"/>
    <s v="Morning"/>
    <x v="2"/>
    <n v="33"/>
    <n v="1"/>
    <x v="0"/>
    <x v="0"/>
    <s v="SMS"/>
    <n v="0.8"/>
    <x v="7"/>
    <x v="0"/>
  </r>
  <r>
    <s v="HC-03028"/>
    <s v="P-1081"/>
    <s v="Female"/>
    <n v="65"/>
    <x v="4"/>
    <s v="Follow-up"/>
    <d v="2026-02-11T00:00:00"/>
    <d v="2026-02-13T00:00:00"/>
    <s v="Friday"/>
    <s v="Afternoon"/>
    <x v="1"/>
    <n v="2"/>
    <n v="1"/>
    <x v="0"/>
    <x v="0"/>
    <s v="SMS"/>
    <n v="14.2"/>
    <x v="7"/>
    <x v="1"/>
  </r>
  <r>
    <s v="HC-03029"/>
    <s v="P-1371"/>
    <s v="Female"/>
    <n v="30"/>
    <x v="1"/>
    <s v="General Consultation"/>
    <d v="2025-04-08T00:00:00"/>
    <d v="2025-05-03T00:00:00"/>
    <s v="Saturday"/>
    <s v="Afternoon"/>
    <x v="3"/>
    <n v="25"/>
    <n v="5"/>
    <x v="1"/>
    <x v="0"/>
    <s v="WhatsApp"/>
    <n v="7.9"/>
    <x v="14"/>
    <x v="0"/>
  </r>
  <r>
    <s v="HC-03030"/>
    <s v="P-0787"/>
    <s v="Prefer not to say"/>
    <n v="27"/>
    <x v="1"/>
    <s v="Follow-up"/>
    <d v="2026-03-31T00:00:00"/>
    <d v="2026-05-04T00:00:00"/>
    <s v="Monday"/>
    <s v="Morning"/>
    <x v="2"/>
    <n v="34"/>
    <n v="4"/>
    <x v="2"/>
    <x v="1"/>
    <s v="None"/>
    <n v="11.9"/>
    <x v="0"/>
    <x v="0"/>
  </r>
  <r>
    <s v="HC-03031"/>
    <s v="P-0026"/>
    <s v="Male"/>
    <n v="18"/>
    <x v="5"/>
    <s v="Follow-up"/>
    <d v="2026-01-20T00:00:00"/>
    <d v="2026-02-04T00:00:00"/>
    <s v="Wednesday"/>
    <s v="Evening"/>
    <x v="3"/>
    <n v="15"/>
    <n v="2"/>
    <x v="1"/>
    <x v="0"/>
    <s v="SMS"/>
    <n v="18.8"/>
    <x v="4"/>
    <x v="1"/>
  </r>
  <r>
    <s v="HC-03032"/>
    <s v="P-0532"/>
    <s v="Female"/>
    <n v="47"/>
    <x v="2"/>
    <s v="General Consultation"/>
    <d v="2025-04-26T00:00:00"/>
    <d v="2025-05-29T00:00:00"/>
    <s v="Thursday"/>
    <s v="Evening"/>
    <x v="2"/>
    <n v="33"/>
    <n v="0"/>
    <x v="0"/>
    <x v="1"/>
    <s v="None"/>
    <n v="6.6"/>
    <x v="31"/>
    <x v="1"/>
  </r>
  <r>
    <s v="HC-03033"/>
    <s v="P-0426"/>
    <s v="Female"/>
    <n v="58"/>
    <x v="3"/>
    <s v="General Consultation"/>
    <d v="2025-09-26T00:00:00"/>
    <d v="2025-11-04T00:00:00"/>
    <s v="Tuesday"/>
    <s v="Morning"/>
    <x v="2"/>
    <n v="39"/>
    <n v="3"/>
    <x v="1"/>
    <x v="0"/>
    <s v="Email"/>
    <n v="12.7"/>
    <x v="29"/>
    <x v="0"/>
  </r>
  <r>
    <s v="HC-03034"/>
    <s v="P-0631"/>
    <s v="Female"/>
    <n v="64"/>
    <x v="3"/>
    <s v="Specialist Consultation"/>
    <d v="2025-02-15T00:00:00"/>
    <d v="2025-03-02T00:00:00"/>
    <s v="Sunday"/>
    <s v="Evening"/>
    <x v="3"/>
    <n v="15"/>
    <n v="3"/>
    <x v="0"/>
    <x v="1"/>
    <s v="None"/>
    <n v="11.7"/>
    <x v="20"/>
    <x v="1"/>
  </r>
  <r>
    <s v="HC-03035"/>
    <s v="P-1269"/>
    <s v="Female"/>
    <n v="75"/>
    <x v="4"/>
    <s v="General Consultation"/>
    <d v="2025-01-06T00:00:00"/>
    <d v="2025-02-24T00:00:00"/>
    <s v="Monday"/>
    <s v="Afternoon"/>
    <x v="2"/>
    <n v="49"/>
    <n v="4"/>
    <x v="0"/>
    <x v="1"/>
    <s v="None"/>
    <n v="10.199999999999999"/>
    <x v="15"/>
    <x v="0"/>
  </r>
  <r>
    <s v="HC-03036"/>
    <s v="P-1123"/>
    <s v="Female"/>
    <n v="59"/>
    <x v="3"/>
    <s v="General Consultation"/>
    <d v="2026-05-11T00:00:00"/>
    <d v="2026-06-07T00:00:00"/>
    <s v="Sunday"/>
    <s v="Morning"/>
    <x v="3"/>
    <n v="27"/>
    <n v="2"/>
    <x v="0"/>
    <x v="0"/>
    <s v="SMS"/>
    <n v="4.5"/>
    <x v="12"/>
    <x v="0"/>
  </r>
  <r>
    <s v="HC-03037"/>
    <s v="P-1707"/>
    <s v="Female"/>
    <n v="65"/>
    <x v="4"/>
    <s v="Follow-up"/>
    <d v="2026-01-16T00:00:00"/>
    <d v="2026-03-15T00:00:00"/>
    <s v="Sunday"/>
    <s v="Afternoon"/>
    <x v="2"/>
    <n v="58"/>
    <n v="3"/>
    <x v="0"/>
    <x v="0"/>
    <s v="Email"/>
    <n v="3.8"/>
    <x v="7"/>
    <x v="0"/>
  </r>
  <r>
    <s v="HC-03038"/>
    <s v="P-1150"/>
    <s v="Female"/>
    <n v="31"/>
    <x v="1"/>
    <s v="Specialist Consultation"/>
    <d v="2025-03-21T00:00:00"/>
    <d v="2025-03-26T00:00:00"/>
    <s v="Wednesday"/>
    <s v="Morning"/>
    <x v="1"/>
    <n v="5"/>
    <n v="4"/>
    <x v="0"/>
    <x v="0"/>
    <s v="Email"/>
    <n v="6.7"/>
    <x v="17"/>
    <x v="2"/>
  </r>
  <r>
    <s v="HC-03039"/>
    <s v="P-0534"/>
    <s v="Male"/>
    <n v="39"/>
    <x v="0"/>
    <s v="Follow-up"/>
    <d v="2025-05-16T00:00:00"/>
    <d v="2025-06-04T00:00:00"/>
    <s v="Wednesday"/>
    <s v="Afternoon"/>
    <x v="3"/>
    <n v="19"/>
    <n v="1"/>
    <x v="0"/>
    <x v="0"/>
    <s v="Email"/>
    <n v="15.2"/>
    <x v="45"/>
    <x v="2"/>
  </r>
  <r>
    <s v="HC-03040"/>
    <s v="P-1680"/>
    <s v="Female"/>
    <n v="37"/>
    <x v="0"/>
    <s v="Diagnostic Test"/>
    <d v="2025-03-06T00:00:00"/>
    <d v="2025-04-18T00:00:00"/>
    <s v="Friday"/>
    <s v="Evening"/>
    <x v="2"/>
    <n v="43"/>
    <n v="2"/>
    <x v="0"/>
    <x v="0"/>
    <s v="Email"/>
    <n v="10.199999999999999"/>
    <x v="51"/>
    <x v="1"/>
  </r>
  <r>
    <s v="HC-03041"/>
    <s v="P-1787"/>
    <s v="Female"/>
    <n v="22"/>
    <x v="5"/>
    <s v="Diagnostic Test"/>
    <d v="2025-06-11T00:00:00"/>
    <d v="2025-08-04T00:00:00"/>
    <s v="Monday"/>
    <s v="Morning"/>
    <x v="2"/>
    <n v="54"/>
    <n v="1"/>
    <x v="0"/>
    <x v="0"/>
    <s v="WhatsApp"/>
    <n v="12.5"/>
    <x v="18"/>
    <x v="0"/>
  </r>
  <r>
    <s v="HC-03042"/>
    <s v="P-1433"/>
    <s v="Female"/>
    <n v="79"/>
    <x v="4"/>
    <s v="Follow-up"/>
    <d v="2025-05-27T00:00:00"/>
    <d v="2025-06-09T00:00:00"/>
    <s v="Monday"/>
    <s v="Afternoon"/>
    <x v="0"/>
    <n v="13"/>
    <n v="2"/>
    <x v="0"/>
    <x v="1"/>
    <s v="None"/>
    <n v="11.9"/>
    <x v="18"/>
    <x v="1"/>
  </r>
  <r>
    <s v="HC-03043"/>
    <s v="P-0181"/>
    <s v="Male"/>
    <n v="33"/>
    <x v="1"/>
    <s v="General Consultation"/>
    <d v="2025-05-01T00:00:00"/>
    <d v="2025-06-29T00:00:00"/>
    <s v="Sunday"/>
    <s v="Morning"/>
    <x v="2"/>
    <n v="59"/>
    <n v="1"/>
    <x v="0"/>
    <x v="0"/>
    <s v="WhatsApp"/>
    <n v="32.299999999999997"/>
    <x v="25"/>
    <x v="1"/>
  </r>
  <r>
    <s v="HC-03044"/>
    <s v="P-1346"/>
    <s v="Male"/>
    <n v="46"/>
    <x v="2"/>
    <s v="Specialist Consultation"/>
    <d v="2025-10-06T00:00:00"/>
    <d v="2025-10-17T00:00:00"/>
    <s v="Friday"/>
    <s v="Afternoon"/>
    <x v="0"/>
    <n v="11"/>
    <n v="4"/>
    <x v="0"/>
    <x v="1"/>
    <s v="None"/>
    <n v="14.2"/>
    <x v="7"/>
    <x v="0"/>
  </r>
  <r>
    <s v="HC-03045"/>
    <s v="P-1018"/>
    <s v="Female"/>
    <n v="40"/>
    <x v="0"/>
    <s v="General Consultation"/>
    <d v="2025-03-20T00:00:00"/>
    <d v="2025-04-14T00:00:00"/>
    <s v="Monday"/>
    <s v="Afternoon"/>
    <x v="3"/>
    <n v="25"/>
    <n v="2"/>
    <x v="0"/>
    <x v="0"/>
    <s v="WhatsApp"/>
    <n v="4.5"/>
    <x v="23"/>
    <x v="2"/>
  </r>
  <r>
    <s v="HC-03046"/>
    <s v="P-1428"/>
    <s v="Female"/>
    <n v="20"/>
    <x v="5"/>
    <s v="Specialist Consultation"/>
    <d v="2026-04-09T00:00:00"/>
    <d v="2026-04-28T00:00:00"/>
    <s v="Tuesday"/>
    <s v="Morning"/>
    <x v="3"/>
    <n v="19"/>
    <n v="1"/>
    <x v="0"/>
    <x v="0"/>
    <s v="WhatsApp"/>
    <n v="7.8"/>
    <x v="51"/>
    <x v="1"/>
  </r>
  <r>
    <s v="HC-03047"/>
    <s v="P-0879"/>
    <s v="Male"/>
    <n v="74"/>
    <x v="4"/>
    <s v="Follow-up"/>
    <d v="2026-01-08T00:00:00"/>
    <d v="2026-02-02T00:00:00"/>
    <s v="Monday"/>
    <s v="Afternoon"/>
    <x v="3"/>
    <n v="25"/>
    <n v="3"/>
    <x v="0"/>
    <x v="0"/>
    <s v="Email"/>
    <n v="16.100000000000001"/>
    <x v="17"/>
    <x v="0"/>
  </r>
  <r>
    <s v="HC-03048"/>
    <s v="P-0031"/>
    <s v="Female"/>
    <n v="31"/>
    <x v="1"/>
    <s v="General Consultation"/>
    <d v="2025-12-27T00:00:00"/>
    <d v="2026-02-20T00:00:00"/>
    <s v="Friday"/>
    <s v="Morning"/>
    <x v="2"/>
    <n v="55"/>
    <n v="4"/>
    <x v="3"/>
    <x v="0"/>
    <s v="SMS"/>
    <n v="1.6"/>
    <x v="11"/>
    <x v="0"/>
  </r>
  <r>
    <s v="HC-03049"/>
    <s v="P-1762"/>
    <s v="Male"/>
    <n v="24"/>
    <x v="5"/>
    <s v="Follow-up"/>
    <d v="2025-02-18T00:00:00"/>
    <d v="2025-04-03T00:00:00"/>
    <s v="Thursday"/>
    <s v="Afternoon"/>
    <x v="2"/>
    <n v="44"/>
    <n v="2"/>
    <x v="0"/>
    <x v="0"/>
    <s v="SMS"/>
    <n v="8.5"/>
    <x v="28"/>
    <x v="0"/>
  </r>
  <r>
    <s v="HC-03050"/>
    <s v="P-1765"/>
    <s v="Prefer not to say"/>
    <n v="39"/>
    <x v="0"/>
    <s v="Follow-up"/>
    <d v="2025-12-05T00:00:00"/>
    <d v="2026-01-22T00:00:00"/>
    <s v="Thursday"/>
    <s v="Afternoon"/>
    <x v="2"/>
    <n v="48"/>
    <n v="4"/>
    <x v="1"/>
    <x v="0"/>
    <s v="WhatsApp"/>
    <n v="6.4"/>
    <x v="26"/>
    <x v="0"/>
  </r>
  <r>
    <s v="HC-03051"/>
    <s v="P-1231"/>
    <s v="Female"/>
    <n v="27"/>
    <x v="1"/>
    <s v="Diagnostic Test"/>
    <d v="2026-03-18T00:00:00"/>
    <d v="2026-04-02T00:00:00"/>
    <s v="Thursday"/>
    <s v="Afternoon"/>
    <x v="3"/>
    <n v="15"/>
    <n v="0"/>
    <x v="0"/>
    <x v="0"/>
    <s v="SMS"/>
    <n v="4"/>
    <x v="11"/>
    <x v="1"/>
  </r>
  <r>
    <s v="HC-03052"/>
    <s v="P-1724"/>
    <s v="Male"/>
    <n v="80"/>
    <x v="4"/>
    <s v="General Consultation"/>
    <d v="2025-02-08T00:00:00"/>
    <d v="2025-04-06T00:00:00"/>
    <s v="Sunday"/>
    <s v="Morning"/>
    <x v="2"/>
    <n v="57"/>
    <n v="4"/>
    <x v="1"/>
    <x v="1"/>
    <s v="None"/>
    <m/>
    <x v="20"/>
    <x v="0"/>
  </r>
  <r>
    <s v="HC-03053"/>
    <s v="P-0415"/>
    <s v="Male"/>
    <n v="29"/>
    <x v="1"/>
    <s v="Diagnostic Test"/>
    <d v="2026-01-20T00:00:00"/>
    <d v="2026-02-15T00:00:00"/>
    <s v="Sunday"/>
    <s v="Afternoon"/>
    <x v="3"/>
    <n v="26"/>
    <n v="6"/>
    <x v="1"/>
    <x v="0"/>
    <s v="SMS"/>
    <n v="13.9"/>
    <x v="45"/>
    <x v="0"/>
  </r>
  <r>
    <s v="HC-03054"/>
    <s v="P-0418"/>
    <s v="Male"/>
    <n v="37"/>
    <x v="0"/>
    <s v="General Consultation"/>
    <d v="2025-06-06T00:00:00"/>
    <d v="2025-07-15T00:00:00"/>
    <s v="Tuesday"/>
    <s v="Afternoon"/>
    <x v="2"/>
    <n v="39"/>
    <n v="2"/>
    <x v="1"/>
    <x v="1"/>
    <s v="None"/>
    <n v="15.2"/>
    <x v="6"/>
    <x v="0"/>
  </r>
  <r>
    <s v="HC-03055"/>
    <s v="P-1214"/>
    <s v="Female"/>
    <n v="35"/>
    <x v="0"/>
    <s v="Specialist Consultation"/>
    <d v="2026-01-24T00:00:00"/>
    <d v="2026-03-07T00:00:00"/>
    <s v="Saturday"/>
    <s v="Afternoon"/>
    <x v="2"/>
    <n v="42"/>
    <n v="2"/>
    <x v="0"/>
    <x v="0"/>
    <s v="SMS"/>
    <n v="6.6"/>
    <x v="0"/>
    <x v="0"/>
  </r>
  <r>
    <s v="HC-03056"/>
    <s v="P-1515"/>
    <s v="Male"/>
    <n v="19"/>
    <x v="5"/>
    <s v="Diagnostic Test"/>
    <d v="2025-08-10T00:00:00"/>
    <d v="2025-09-19T00:00:00"/>
    <s v="Friday"/>
    <s v="Afternoon"/>
    <x v="2"/>
    <n v="40"/>
    <n v="2"/>
    <x v="0"/>
    <x v="1"/>
    <s v="None"/>
    <n v="7"/>
    <x v="23"/>
    <x v="0"/>
  </r>
  <r>
    <s v="HC-03057"/>
    <s v="P-0058"/>
    <s v="Female"/>
    <n v="18"/>
    <x v="5"/>
    <s v="General Consultation"/>
    <d v="2026-02-07T00:00:00"/>
    <d v="2026-03-15T00:00:00"/>
    <s v="Sunday"/>
    <s v="Afternoon"/>
    <x v="2"/>
    <n v="36"/>
    <n v="5"/>
    <x v="0"/>
    <x v="0"/>
    <s v="SMS"/>
    <n v="8"/>
    <x v="24"/>
    <x v="1"/>
  </r>
  <r>
    <s v="HC-03058"/>
    <s v="P-0683"/>
    <s v="Male"/>
    <n v="50"/>
    <x v="2"/>
    <s v="General Consultation"/>
    <d v="2025-02-21T00:00:00"/>
    <d v="2025-03-22T00:00:00"/>
    <s v="Saturday"/>
    <s v="Morning"/>
    <x v="3"/>
    <n v="29"/>
    <n v="2"/>
    <x v="1"/>
    <x v="0"/>
    <s v="SMS"/>
    <n v="0.8"/>
    <x v="19"/>
    <x v="0"/>
  </r>
  <r>
    <s v="HC-03059"/>
    <s v="P-1139"/>
    <s v="Male"/>
    <n v="32"/>
    <x v="1"/>
    <s v="Specialist Consultation"/>
    <d v="2025-06-23T00:00:00"/>
    <d v="2025-08-01T00:00:00"/>
    <s v="Friday"/>
    <s v="Morning"/>
    <x v="2"/>
    <n v="39"/>
    <n v="2"/>
    <x v="0"/>
    <x v="0"/>
    <s v="Email"/>
    <n v="25.7"/>
    <x v="14"/>
    <x v="0"/>
  </r>
  <r>
    <s v="HC-03060"/>
    <s v="P-1290"/>
    <s v="Female"/>
    <n v="23"/>
    <x v="5"/>
    <s v="Specialist Consultation"/>
    <d v="2025-04-05T00:00:00"/>
    <d v="2025-05-30T00:00:00"/>
    <s v="Friday"/>
    <s v="Evening"/>
    <x v="2"/>
    <n v="55"/>
    <n v="3"/>
    <x v="0"/>
    <x v="0"/>
    <s v="WhatsApp"/>
    <n v="13.3"/>
    <x v="37"/>
    <x v="0"/>
  </r>
  <r>
    <s v="HC-03061"/>
    <s v="P-0666"/>
    <s v="Prefer not to say"/>
    <n v="36"/>
    <x v="0"/>
    <s v="General Consultation"/>
    <d v="2025-04-23T00:00:00"/>
    <d v="2025-05-16T00:00:00"/>
    <s v="Friday"/>
    <s v="Morning"/>
    <x v="3"/>
    <n v="23"/>
    <n v="3"/>
    <x v="0"/>
    <x v="0"/>
    <s v="Email"/>
    <n v="16.100000000000001"/>
    <x v="10"/>
    <x v="1"/>
  </r>
  <r>
    <s v="HC-03062"/>
    <s v="P-0477"/>
    <s v="Male"/>
    <n v="35"/>
    <x v="0"/>
    <s v="Follow-up"/>
    <d v="2025-05-18T00:00:00"/>
    <d v="2025-06-18T00:00:00"/>
    <s v="Wednesday"/>
    <s v="Evening"/>
    <x v="2"/>
    <n v="31"/>
    <n v="2"/>
    <x v="0"/>
    <x v="1"/>
    <s v="None"/>
    <n v="6.6"/>
    <x v="17"/>
    <x v="2"/>
  </r>
  <r>
    <s v="HC-03063"/>
    <s v="P-0775"/>
    <s v="Male"/>
    <n v="44"/>
    <x v="0"/>
    <s v="Specialist Consultation"/>
    <d v="2025-07-18T00:00:00"/>
    <d v="2025-07-28T00:00:00"/>
    <s v="Monday"/>
    <s v="Afternoon"/>
    <x v="0"/>
    <n v="10"/>
    <n v="0"/>
    <x v="0"/>
    <x v="1"/>
    <s v="None"/>
    <n v="13.2"/>
    <x v="9"/>
    <x v="1"/>
  </r>
  <r>
    <s v="HC-03064"/>
    <s v="P-1695"/>
    <s v="Prefer not to say"/>
    <n v="80"/>
    <x v="4"/>
    <s v="General Consultation"/>
    <d v="2025-02-18T00:00:00"/>
    <d v="2025-03-11T00:00:00"/>
    <s v="Tuesday"/>
    <s v="Evening"/>
    <x v="3"/>
    <n v="21"/>
    <n v="3"/>
    <x v="1"/>
    <x v="0"/>
    <s v="SMS"/>
    <n v="3.2"/>
    <x v="3"/>
    <x v="1"/>
  </r>
  <r>
    <s v="HC-03065"/>
    <s v="P-1125"/>
    <s v="Male"/>
    <n v="37"/>
    <x v="0"/>
    <s v="Follow-up"/>
    <d v="2025-12-06T00:00:00"/>
    <d v="2026-01-22T00:00:00"/>
    <s v="Thursday"/>
    <s v="Afternoon"/>
    <x v="2"/>
    <n v="47"/>
    <n v="2"/>
    <x v="0"/>
    <x v="1"/>
    <s v="None"/>
    <n v="12.7"/>
    <x v="23"/>
    <x v="2"/>
  </r>
  <r>
    <s v="HC-03066"/>
    <s v="P-1614"/>
    <s v="Female"/>
    <n v="62"/>
    <x v="3"/>
    <s v="Follow-up"/>
    <d v="2025-09-19T00:00:00"/>
    <d v="2025-10-28T00:00:00"/>
    <s v="Tuesday"/>
    <s v="Afternoon"/>
    <x v="2"/>
    <n v="39"/>
    <n v="3"/>
    <x v="1"/>
    <x v="0"/>
    <s v="SMS"/>
    <n v="8.9"/>
    <x v="26"/>
    <x v="0"/>
  </r>
  <r>
    <s v="HC-03067"/>
    <s v="P-0591"/>
    <s v="Male"/>
    <n v="66"/>
    <x v="4"/>
    <s v="General Consultation"/>
    <d v="2026-03-17T00:00:00"/>
    <d v="2026-03-29T00:00:00"/>
    <s v="Sunday"/>
    <s v="Afternoon"/>
    <x v="0"/>
    <n v="12"/>
    <n v="5"/>
    <x v="2"/>
    <x v="0"/>
    <s v="WhatsApp"/>
    <n v="3.3"/>
    <x v="9"/>
    <x v="1"/>
  </r>
  <r>
    <s v="HC-03068"/>
    <s v="P-1469"/>
    <s v="Male"/>
    <n v="21"/>
    <x v="5"/>
    <s v="Specialist Consultation"/>
    <d v="2025-12-18T00:00:00"/>
    <d v="2026-01-20T00:00:00"/>
    <s v="Tuesday"/>
    <s v="Afternoon"/>
    <x v="2"/>
    <n v="33"/>
    <n v="2"/>
    <x v="1"/>
    <x v="0"/>
    <s v="SMS"/>
    <n v="22.6"/>
    <x v="8"/>
    <x v="0"/>
  </r>
  <r>
    <s v="HC-03069"/>
    <s v="P-0745"/>
    <s v="Male"/>
    <n v="49"/>
    <x v="2"/>
    <s v="General Consultation"/>
    <d v="2025-02-02T00:00:00"/>
    <d v="2025-03-23T00:00:00"/>
    <s v="Sunday"/>
    <s v="Morning"/>
    <x v="2"/>
    <n v="49"/>
    <n v="3"/>
    <x v="1"/>
    <x v="0"/>
    <s v="SMS"/>
    <n v="13.6"/>
    <x v="45"/>
    <x v="0"/>
  </r>
  <r>
    <s v="HC-03070"/>
    <s v="P-0106"/>
    <s v="Male"/>
    <n v="46"/>
    <x v="2"/>
    <s v="Diagnostic Test"/>
    <d v="2025-02-01T00:00:00"/>
    <d v="2025-02-08T00:00:00"/>
    <s v="Saturday"/>
    <s v="Morning"/>
    <x v="1"/>
    <n v="7"/>
    <n v="7"/>
    <x v="2"/>
    <x v="0"/>
    <s v="SMS"/>
    <n v="34.299999999999997"/>
    <x v="18"/>
    <x v="0"/>
  </r>
  <r>
    <s v="HC-03071"/>
    <s v="P-1694"/>
    <s v="Female"/>
    <n v="49"/>
    <x v="2"/>
    <s v="Follow-up"/>
    <d v="2025-08-16T00:00:00"/>
    <d v="2025-08-19T00:00:00"/>
    <s v="Tuesday"/>
    <s v="Morning"/>
    <x v="1"/>
    <n v="3"/>
    <n v="4"/>
    <x v="1"/>
    <x v="0"/>
    <s v="SMS"/>
    <n v="4.4000000000000004"/>
    <x v="0"/>
    <x v="1"/>
  </r>
  <r>
    <s v="HC-03072"/>
    <s v="P-0125"/>
    <s v="Female"/>
    <n v="28"/>
    <x v="1"/>
    <s v="Follow-up"/>
    <d v="2025-08-28T00:00:00"/>
    <d v="2025-09-20T00:00:00"/>
    <s v="Saturday"/>
    <s v="Evening"/>
    <x v="3"/>
    <n v="23"/>
    <n v="2"/>
    <x v="1"/>
    <x v="0"/>
    <s v="WhatsApp"/>
    <n v="7.6"/>
    <x v="4"/>
    <x v="1"/>
  </r>
  <r>
    <s v="HC-03073"/>
    <s v="P-0666"/>
    <s v="Female"/>
    <n v="47"/>
    <x v="2"/>
    <s v="Follow-up"/>
    <d v="2025-04-02T00:00:00"/>
    <d v="2025-05-12T00:00:00"/>
    <s v="Monday"/>
    <s v="Morning"/>
    <x v="2"/>
    <n v="40"/>
    <n v="2"/>
    <x v="0"/>
    <x v="1"/>
    <s v="None"/>
    <n v="13.8"/>
    <x v="3"/>
    <x v="0"/>
  </r>
  <r>
    <s v="HC-03074"/>
    <s v="P-0951"/>
    <s v="Male"/>
    <n v="25"/>
    <x v="1"/>
    <s v="General Consultation"/>
    <d v="2026-02-13T00:00:00"/>
    <d v="2026-03-04T00:00:00"/>
    <s v="Wednesday"/>
    <s v="Afternoon"/>
    <x v="3"/>
    <n v="19"/>
    <n v="2"/>
    <x v="0"/>
    <x v="1"/>
    <s v="None"/>
    <n v="1.3"/>
    <x v="3"/>
    <x v="2"/>
  </r>
  <r>
    <s v="HC-03075"/>
    <s v="P-1566"/>
    <s v="Female"/>
    <n v="77"/>
    <x v="4"/>
    <s v="Specialist Consultation"/>
    <d v="2025-09-25T00:00:00"/>
    <d v="2025-11-14T00:00:00"/>
    <s v="Friday"/>
    <s v="Afternoon"/>
    <x v="2"/>
    <n v="50"/>
    <n v="1"/>
    <x v="0"/>
    <x v="1"/>
    <s v="None"/>
    <n v="10.4"/>
    <x v="13"/>
    <x v="0"/>
  </r>
  <r>
    <s v="HC-03076"/>
    <s v="P-1584"/>
    <s v="Female"/>
    <n v="54"/>
    <x v="2"/>
    <s v="Follow-up"/>
    <d v="2025-12-24T00:00:00"/>
    <d v="2026-02-13T00:00:00"/>
    <s v="Friday"/>
    <s v="Morning"/>
    <x v="2"/>
    <n v="51"/>
    <n v="4"/>
    <x v="0"/>
    <x v="0"/>
    <s v="SMS"/>
    <n v="13.9"/>
    <x v="2"/>
    <x v="1"/>
  </r>
  <r>
    <s v="HC-03077"/>
    <s v="P-0586"/>
    <s v="Female"/>
    <n v="20"/>
    <x v="5"/>
    <s v="Specialist Consultation"/>
    <d v="2025-01-28T00:00:00"/>
    <d v="2025-03-01T00:00:00"/>
    <s v="Saturday"/>
    <s v="Evening"/>
    <x v="2"/>
    <n v="32"/>
    <n v="5"/>
    <x v="0"/>
    <x v="0"/>
    <s v="WhatsApp"/>
    <n v="3.9"/>
    <x v="37"/>
    <x v="0"/>
  </r>
  <r>
    <s v="HC-03078"/>
    <s v="P-0396"/>
    <s v="Male"/>
    <n v="49"/>
    <x v="2"/>
    <s v="Follow-up"/>
    <d v="2026-02-27T00:00:00"/>
    <d v="2026-03-22T00:00:00"/>
    <s v="Sunday"/>
    <s v="Morning"/>
    <x v="3"/>
    <n v="23"/>
    <n v="5"/>
    <x v="1"/>
    <x v="0"/>
    <s v="SMS"/>
    <n v="9.1"/>
    <x v="25"/>
    <x v="1"/>
  </r>
  <r>
    <s v="HC-03079"/>
    <s v="P-0902"/>
    <s v="Female"/>
    <n v="76"/>
    <x v="4"/>
    <s v="General Consultation"/>
    <d v="2025-04-21T00:00:00"/>
    <d v="2025-04-23T00:00:00"/>
    <s v="Wednesday"/>
    <s v="Afternoon"/>
    <x v="1"/>
    <n v="2"/>
    <n v="4"/>
    <x v="3"/>
    <x v="0"/>
    <s v="SMS"/>
    <n v="5.2"/>
    <x v="14"/>
    <x v="1"/>
  </r>
  <r>
    <s v="HC-03080"/>
    <s v="P-0235"/>
    <s v="Female"/>
    <n v="64"/>
    <x v="3"/>
    <s v="General Consultation"/>
    <d v="2025-07-14T00:00:00"/>
    <d v="2025-09-02T00:00:00"/>
    <s v="Tuesday"/>
    <s v="Afternoon"/>
    <x v="2"/>
    <n v="50"/>
    <n v="3"/>
    <x v="0"/>
    <x v="0"/>
    <s v="WhatsApp"/>
    <n v="11.2"/>
    <x v="26"/>
    <x v="0"/>
  </r>
  <r>
    <s v="HC-03081"/>
    <s v="P-0273"/>
    <s v="Female"/>
    <n v="35"/>
    <x v="0"/>
    <s v="Specialist Consultation"/>
    <d v="2025-07-05T00:00:00"/>
    <d v="2025-08-28T00:00:00"/>
    <s v="Thursday"/>
    <s v="Morning"/>
    <x v="2"/>
    <n v="54"/>
    <n v="1"/>
    <x v="0"/>
    <x v="1"/>
    <s v="None"/>
    <n v="13"/>
    <x v="50"/>
    <x v="0"/>
  </r>
  <r>
    <s v="HC-03082"/>
    <s v="P-0825"/>
    <s v="Female"/>
    <n v="74"/>
    <x v="4"/>
    <s v="General Consultation"/>
    <d v="2026-02-27T00:00:00"/>
    <d v="2026-03-25T00:00:00"/>
    <s v="Wednesday"/>
    <s v="Morning"/>
    <x v="3"/>
    <n v="26"/>
    <n v="3"/>
    <x v="1"/>
    <x v="1"/>
    <s v="None"/>
    <n v="8.8000000000000007"/>
    <x v="47"/>
    <x v="0"/>
  </r>
  <r>
    <s v="HC-03083"/>
    <s v="P-0735"/>
    <s v="Female"/>
    <n v="29"/>
    <x v="1"/>
    <s v="Follow-up"/>
    <d v="2025-05-01T00:00:00"/>
    <d v="2025-06-01T00:00:00"/>
    <s v="Sunday"/>
    <s v="Afternoon"/>
    <x v="2"/>
    <n v="31"/>
    <n v="3"/>
    <x v="0"/>
    <x v="0"/>
    <s v="WhatsApp"/>
    <n v="15"/>
    <x v="12"/>
    <x v="0"/>
  </r>
  <r>
    <s v="HC-03084"/>
    <s v="P-1681"/>
    <s v="Female"/>
    <n v="33"/>
    <x v="1"/>
    <s v="Follow-up"/>
    <d v="2025-03-28T00:00:00"/>
    <d v="2025-05-12T00:00:00"/>
    <s v="Monday"/>
    <s v="Morning"/>
    <x v="2"/>
    <n v="45"/>
    <n v="9"/>
    <x v="1"/>
    <x v="1"/>
    <s v="None"/>
    <n v="3.2"/>
    <x v="11"/>
    <x v="0"/>
  </r>
  <r>
    <s v="HC-03085"/>
    <s v="P-0577"/>
    <s v="Male"/>
    <n v="27"/>
    <x v="1"/>
    <s v="Follow-up"/>
    <d v="2025-05-24T00:00:00"/>
    <d v="2025-07-05T00:00:00"/>
    <s v="Saturday"/>
    <s v="Afternoon"/>
    <x v="2"/>
    <n v="42"/>
    <n v="2"/>
    <x v="1"/>
    <x v="0"/>
    <s v="SMS"/>
    <n v="15.4"/>
    <x v="13"/>
    <x v="1"/>
  </r>
  <r>
    <s v="HC-03086"/>
    <s v="P-1701"/>
    <s v="Female"/>
    <n v="76"/>
    <x v="4"/>
    <s v="Follow-up"/>
    <d v="2025-07-09T00:00:00"/>
    <d v="2025-07-17T00:00:00"/>
    <s v="Thursday"/>
    <s v="Afternoon"/>
    <x v="0"/>
    <n v="8"/>
    <n v="7"/>
    <x v="1"/>
    <x v="0"/>
    <s v="WhatsApp"/>
    <n v="25.6"/>
    <x v="0"/>
    <x v="0"/>
  </r>
  <r>
    <s v="HC-03087"/>
    <s v="P-1387"/>
    <s v="Female"/>
    <n v="63"/>
    <x v="3"/>
    <s v="Follow-up"/>
    <d v="2025-02-28T00:00:00"/>
    <d v="2025-04-10T00:00:00"/>
    <s v="Thursday"/>
    <s v="Morning"/>
    <x v="2"/>
    <n v="41"/>
    <n v="2"/>
    <x v="0"/>
    <x v="0"/>
    <s v="SMS"/>
    <n v="3.6"/>
    <x v="12"/>
    <x v="1"/>
  </r>
  <r>
    <s v="HC-03088"/>
    <s v="P-1676"/>
    <s v="Male"/>
    <n v="50"/>
    <x v="2"/>
    <s v="Diagnostic Test"/>
    <d v="2025-02-10T00:00:00"/>
    <d v="2025-04-07T00:00:00"/>
    <s v="Monday"/>
    <s v="Morning"/>
    <x v="2"/>
    <n v="56"/>
    <n v="5"/>
    <x v="1"/>
    <x v="0"/>
    <s v="WhatsApp"/>
    <n v="3.4"/>
    <x v="27"/>
    <x v="0"/>
  </r>
  <r>
    <s v="HC-03089"/>
    <s v="P-0118"/>
    <s v="Female"/>
    <n v="60"/>
    <x v="3"/>
    <s v="General Consultation"/>
    <d v="2025-03-23T00:00:00"/>
    <d v="2025-05-07T00:00:00"/>
    <s v="Wednesday"/>
    <s v="Morning"/>
    <x v="2"/>
    <n v="45"/>
    <n v="3"/>
    <x v="1"/>
    <x v="0"/>
    <s v="SMS"/>
    <n v="20.9"/>
    <x v="16"/>
    <x v="0"/>
  </r>
  <r>
    <s v="HC-03090"/>
    <s v="P-0917"/>
    <s v="Female"/>
    <n v="34"/>
    <x v="1"/>
    <s v="Follow-up"/>
    <d v="2025-08-15T00:00:00"/>
    <d v="2025-09-13T00:00:00"/>
    <s v="Saturday"/>
    <s v="Afternoon"/>
    <x v="3"/>
    <n v="29"/>
    <n v="0"/>
    <x v="0"/>
    <x v="0"/>
    <s v="WhatsApp"/>
    <n v="10.199999999999999"/>
    <x v="9"/>
    <x v="1"/>
  </r>
  <r>
    <s v="HC-03091"/>
    <s v="P-0768"/>
    <s v="Female"/>
    <n v="22"/>
    <x v="5"/>
    <s v="General Consultation"/>
    <d v="2025-06-06T00:00:00"/>
    <d v="2025-07-07T00:00:00"/>
    <s v="Monday"/>
    <s v="Afternoon"/>
    <x v="2"/>
    <n v="31"/>
    <n v="7"/>
    <x v="0"/>
    <x v="0"/>
    <s v="WhatsApp"/>
    <m/>
    <x v="22"/>
    <x v="1"/>
  </r>
  <r>
    <s v="HC-03092"/>
    <s v="P-1688"/>
    <s v="Female"/>
    <n v="71"/>
    <x v="4"/>
    <s v="Specialist Consultation"/>
    <d v="2025-07-19T00:00:00"/>
    <d v="2025-08-03T00:00:00"/>
    <s v="Sunday"/>
    <s v="Morning"/>
    <x v="3"/>
    <n v="15"/>
    <n v="0"/>
    <x v="0"/>
    <x v="0"/>
    <s v="SMS"/>
    <n v="5.3"/>
    <x v="6"/>
    <x v="1"/>
  </r>
  <r>
    <s v="HC-03093"/>
    <s v="P-1777"/>
    <s v="Male"/>
    <n v="78"/>
    <x v="4"/>
    <s v="Follow-up"/>
    <d v="2025-12-19T00:00:00"/>
    <d v="2026-01-28T00:00:00"/>
    <s v="Wednesday"/>
    <s v="Afternoon"/>
    <x v="2"/>
    <n v="40"/>
    <n v="3"/>
    <x v="0"/>
    <x v="0"/>
    <s v="SMS"/>
    <n v="6.3"/>
    <x v="0"/>
    <x v="1"/>
  </r>
  <r>
    <s v="HC-03094"/>
    <s v="P-1767"/>
    <s v="Prefer not to say"/>
    <n v="20"/>
    <x v="5"/>
    <s v="Follow-up"/>
    <d v="2025-04-28T00:00:00"/>
    <d v="2025-05-12T00:00:00"/>
    <s v="Monday"/>
    <s v="Afternoon"/>
    <x v="0"/>
    <n v="14"/>
    <n v="1"/>
    <x v="0"/>
    <x v="0"/>
    <s v="SMS"/>
    <n v="18.2"/>
    <x v="16"/>
    <x v="0"/>
  </r>
  <r>
    <s v="HC-03095"/>
    <s v="P-1279"/>
    <s v="Female"/>
    <n v="21"/>
    <x v="5"/>
    <s v="Specialist Consultation"/>
    <d v="2026-04-22T00:00:00"/>
    <d v="2026-05-12T00:00:00"/>
    <s v="Tuesday"/>
    <s v="Afternoon"/>
    <x v="3"/>
    <n v="20"/>
    <n v="1"/>
    <x v="0"/>
    <x v="0"/>
    <s v="SMS"/>
    <n v="7"/>
    <x v="47"/>
    <x v="0"/>
  </r>
  <r>
    <s v="HC-03096"/>
    <s v="P-1638"/>
    <s v="Male"/>
    <n v="53"/>
    <x v="2"/>
    <s v="Follow-up"/>
    <d v="2026-01-30T00:00:00"/>
    <d v="2026-02-15T00:00:00"/>
    <s v="Sunday"/>
    <s v="Morning"/>
    <x v="3"/>
    <n v="16"/>
    <n v="1"/>
    <x v="0"/>
    <x v="1"/>
    <s v="None"/>
    <n v="5.8"/>
    <x v="19"/>
    <x v="0"/>
  </r>
  <r>
    <s v="HC-03097"/>
    <s v="P-1078"/>
    <s v="Male"/>
    <n v="20"/>
    <x v="5"/>
    <s v="General Consultation"/>
    <d v="2025-03-17T00:00:00"/>
    <d v="2025-04-06T00:00:00"/>
    <s v="Sunday"/>
    <s v="Morning"/>
    <x v="3"/>
    <n v="20"/>
    <n v="4"/>
    <x v="1"/>
    <x v="1"/>
    <s v="None"/>
    <n v="1.8"/>
    <x v="12"/>
    <x v="1"/>
  </r>
  <r>
    <s v="HC-03098"/>
    <s v="P-0787"/>
    <s v="Female"/>
    <n v="63"/>
    <x v="3"/>
    <s v="Follow-up"/>
    <d v="2025-05-30T00:00:00"/>
    <d v="2025-06-21T00:00:00"/>
    <s v="Saturday"/>
    <s v="Morning"/>
    <x v="3"/>
    <n v="22"/>
    <n v="2"/>
    <x v="1"/>
    <x v="1"/>
    <s v="None"/>
    <n v="6.3"/>
    <x v="2"/>
    <x v="1"/>
  </r>
  <r>
    <s v="HC-03099"/>
    <s v="P-1570"/>
    <s v="Male"/>
    <n v="77"/>
    <x v="4"/>
    <s v="General Consultation"/>
    <d v="2025-04-06T00:00:00"/>
    <d v="2025-04-11T00:00:00"/>
    <s v="Friday"/>
    <s v="Afternoon"/>
    <x v="1"/>
    <n v="5"/>
    <n v="1"/>
    <x v="0"/>
    <x v="0"/>
    <s v="Email"/>
    <n v="3.5"/>
    <x v="35"/>
    <x v="1"/>
  </r>
  <r>
    <s v="HC-03100"/>
    <s v="P-0452"/>
    <s v="Male"/>
    <n v="35"/>
    <x v="0"/>
    <s v="Diagnostic Test"/>
    <d v="2025-04-16T00:00:00"/>
    <d v="2025-05-29T00:00:00"/>
    <s v="Thursday"/>
    <s v="Afternoon"/>
    <x v="2"/>
    <n v="43"/>
    <n v="1"/>
    <x v="0"/>
    <x v="0"/>
    <s v="SMS"/>
    <n v="4.0999999999999996"/>
    <x v="2"/>
    <x v="1"/>
  </r>
  <r>
    <s v="HC-03101"/>
    <s v="P-0200"/>
    <s v="Male"/>
    <n v="36"/>
    <x v="0"/>
    <s v="Specialist Consultation"/>
    <d v="2025-06-23T00:00:00"/>
    <d v="2025-07-19T00:00:00"/>
    <s v="Saturday"/>
    <s v="Morning"/>
    <x v="3"/>
    <n v="26"/>
    <n v="3"/>
    <x v="0"/>
    <x v="1"/>
    <s v="None"/>
    <n v="4.9000000000000004"/>
    <x v="2"/>
    <x v="0"/>
  </r>
  <r>
    <s v="HC-03102"/>
    <s v="P-1354"/>
    <s v="Male"/>
    <n v="72"/>
    <x v="4"/>
    <s v="Specialist Consultation"/>
    <d v="2025-01-15T00:00:00"/>
    <d v="2025-03-13T00:00:00"/>
    <s v="Thursday"/>
    <s v="Morning"/>
    <x v="2"/>
    <n v="57"/>
    <n v="1"/>
    <x v="0"/>
    <x v="1"/>
    <s v="None"/>
    <n v="16"/>
    <x v="26"/>
    <x v="0"/>
  </r>
  <r>
    <s v="HC-03103"/>
    <s v="P-1272"/>
    <s v="Female"/>
    <n v="40"/>
    <x v="0"/>
    <s v="Specialist Consultation"/>
    <d v="2024-12-28T00:00:00"/>
    <d v="2025-01-08T00:00:00"/>
    <s v="Wednesday"/>
    <s v="Afternoon"/>
    <x v="0"/>
    <n v="11"/>
    <n v="2"/>
    <x v="0"/>
    <x v="0"/>
    <s v="SMS"/>
    <n v="1.7"/>
    <x v="16"/>
    <x v="1"/>
  </r>
  <r>
    <s v="HC-03104"/>
    <s v="P-0473"/>
    <s v="Male"/>
    <n v="33"/>
    <x v="1"/>
    <s v="Specialist Consultation"/>
    <d v="2025-07-19T00:00:00"/>
    <d v="2025-08-28T00:00:00"/>
    <s v="Thursday"/>
    <s v="Morning"/>
    <x v="2"/>
    <n v="40"/>
    <n v="6"/>
    <x v="1"/>
    <x v="1"/>
    <s v="None"/>
    <n v="9.4"/>
    <x v="52"/>
    <x v="0"/>
  </r>
  <r>
    <s v="HC-03105"/>
    <s v="P-0379"/>
    <s v="Female"/>
    <n v="23"/>
    <x v="5"/>
    <s v="Follow-up"/>
    <d v="2026-01-08T00:00:00"/>
    <d v="2026-01-18T00:00:00"/>
    <s v="Sunday"/>
    <s v="Afternoon"/>
    <x v="0"/>
    <n v="10"/>
    <n v="2"/>
    <x v="1"/>
    <x v="0"/>
    <s v="SMS"/>
    <n v="6.5"/>
    <x v="28"/>
    <x v="1"/>
  </r>
  <r>
    <s v="HC-03106"/>
    <s v="P-0636"/>
    <s v="Male"/>
    <n v="70"/>
    <x v="4"/>
    <s v="General Consultation"/>
    <d v="2025-05-13T00:00:00"/>
    <d v="2025-06-15T00:00:00"/>
    <s v="Sunday"/>
    <s v="Morning"/>
    <x v="2"/>
    <n v="33"/>
    <n v="4"/>
    <x v="0"/>
    <x v="1"/>
    <s v="None"/>
    <n v="10.8"/>
    <x v="9"/>
    <x v="1"/>
  </r>
  <r>
    <s v="HC-03107"/>
    <s v="P-1446"/>
    <s v="Female"/>
    <n v="76"/>
    <x v="4"/>
    <s v="General Consultation"/>
    <d v="2026-03-17T00:00:00"/>
    <d v="2026-04-15T00:00:00"/>
    <s v="Wednesday"/>
    <s v="Morning"/>
    <x v="3"/>
    <n v="29"/>
    <n v="2"/>
    <x v="0"/>
    <x v="0"/>
    <s v="SMS"/>
    <n v="11.9"/>
    <x v="1"/>
    <x v="1"/>
  </r>
  <r>
    <s v="HC-03108"/>
    <s v="P-0967"/>
    <s v="Female"/>
    <n v="22"/>
    <x v="5"/>
    <s v="Diagnostic Test"/>
    <d v="2025-06-24T00:00:00"/>
    <d v="2025-07-21T00:00:00"/>
    <s v="Monday"/>
    <s v="Afternoon"/>
    <x v="3"/>
    <n v="27"/>
    <n v="2"/>
    <x v="0"/>
    <x v="0"/>
    <s v="SMS"/>
    <n v="4.9000000000000004"/>
    <x v="18"/>
    <x v="2"/>
  </r>
  <r>
    <s v="HC-03109"/>
    <s v="P-1227"/>
    <s v="Female"/>
    <n v="68"/>
    <x v="4"/>
    <s v="Diagnostic Test"/>
    <d v="2026-03-29T00:00:00"/>
    <d v="2026-05-07T00:00:00"/>
    <s v="Thursday"/>
    <s v="Morning"/>
    <x v="2"/>
    <n v="39"/>
    <n v="2"/>
    <x v="0"/>
    <x v="0"/>
    <s v="WhatsApp"/>
    <n v="16.399999999999999"/>
    <x v="11"/>
    <x v="1"/>
  </r>
  <r>
    <s v="HC-03110"/>
    <s v="P-1552"/>
    <s v="Male"/>
    <n v="28"/>
    <x v="1"/>
    <s v="Specialist Consultation"/>
    <d v="2025-03-20T00:00:00"/>
    <d v="2025-05-09T00:00:00"/>
    <s v="Friday"/>
    <s v="Afternoon"/>
    <x v="2"/>
    <n v="50"/>
    <n v="4"/>
    <x v="1"/>
    <x v="0"/>
    <s v="WhatsApp"/>
    <n v="26.4"/>
    <x v="25"/>
    <x v="1"/>
  </r>
  <r>
    <s v="HC-03111"/>
    <s v="P-0082"/>
    <s v="Male"/>
    <n v="26"/>
    <x v="1"/>
    <s v="General Consultation"/>
    <d v="2025-10-03T00:00:00"/>
    <d v="2025-10-22T00:00:00"/>
    <s v="Wednesday"/>
    <s v="Morning"/>
    <x v="3"/>
    <n v="19"/>
    <n v="4"/>
    <x v="1"/>
    <x v="0"/>
    <s v="SMS"/>
    <n v="3.3"/>
    <x v="24"/>
    <x v="1"/>
  </r>
  <r>
    <s v="HC-03112"/>
    <s v="P-0865"/>
    <s v="Male"/>
    <n v="42"/>
    <x v="0"/>
    <s v="General Consultation"/>
    <d v="2026-01-01T00:00:00"/>
    <d v="2026-02-21T00:00:00"/>
    <s v="Saturday"/>
    <s v="Morning"/>
    <x v="2"/>
    <n v="51"/>
    <n v="5"/>
    <x v="1"/>
    <x v="0"/>
    <s v="Email"/>
    <n v="13.4"/>
    <x v="45"/>
    <x v="0"/>
  </r>
  <r>
    <s v="HC-03113"/>
    <s v="P-1420"/>
    <s v="Female"/>
    <n v="45"/>
    <x v="2"/>
    <s v="Specialist Consultation"/>
    <d v="2025-01-22T00:00:00"/>
    <d v="2025-02-02T00:00:00"/>
    <s v="Sunday"/>
    <s v="Afternoon"/>
    <x v="0"/>
    <n v="11"/>
    <n v="4"/>
    <x v="1"/>
    <x v="0"/>
    <s v="Email"/>
    <n v="8"/>
    <x v="5"/>
    <x v="1"/>
  </r>
  <r>
    <s v="HC-03114"/>
    <s v="P-0142"/>
    <s v="Female"/>
    <n v="71"/>
    <x v="4"/>
    <s v="General Consultation"/>
    <d v="2026-05-06T00:00:00"/>
    <d v="2026-05-23T00:00:00"/>
    <s v="Saturday"/>
    <s v="Morning"/>
    <x v="3"/>
    <n v="17"/>
    <n v="4"/>
    <x v="0"/>
    <x v="0"/>
    <s v="SMS"/>
    <n v="8.9"/>
    <x v="0"/>
    <x v="0"/>
  </r>
  <r>
    <s v="HC-03115"/>
    <s v="P-0915"/>
    <s v="Female"/>
    <n v="62"/>
    <x v="3"/>
    <s v="Follow-up"/>
    <d v="2025-07-01T00:00:00"/>
    <d v="2025-07-19T00:00:00"/>
    <s v="Saturday"/>
    <s v="Afternoon"/>
    <x v="3"/>
    <n v="18"/>
    <n v="2"/>
    <x v="0"/>
    <x v="0"/>
    <s v="WhatsApp"/>
    <n v="16.7"/>
    <x v="29"/>
    <x v="0"/>
  </r>
  <r>
    <s v="HC-03116"/>
    <s v="P-1044"/>
    <s v="Female"/>
    <n v="27"/>
    <x v="1"/>
    <s v="General Consultation"/>
    <d v="2025-08-02T00:00:00"/>
    <d v="2025-09-29T00:00:00"/>
    <s v="Monday"/>
    <s v="Afternoon"/>
    <x v="2"/>
    <n v="58"/>
    <n v="4"/>
    <x v="1"/>
    <x v="0"/>
    <s v="SMS"/>
    <n v="13.3"/>
    <x v="0"/>
    <x v="2"/>
  </r>
  <r>
    <s v="HC-03117"/>
    <s v="P-1068"/>
    <s v="Female"/>
    <n v="54"/>
    <x v="2"/>
    <s v="General Consultation"/>
    <d v="2025-12-03T00:00:00"/>
    <d v="2025-12-10T00:00:00"/>
    <s v="Wednesday"/>
    <s v="Evening"/>
    <x v="1"/>
    <n v="7"/>
    <n v="2"/>
    <x v="0"/>
    <x v="0"/>
    <s v="SMS"/>
    <n v="7"/>
    <x v="26"/>
    <x v="0"/>
  </r>
  <r>
    <s v="HC-03118"/>
    <s v="P-0140"/>
    <s v="Male"/>
    <n v="73"/>
    <x v="4"/>
    <s v="Follow-up"/>
    <d v="2025-11-24T00:00:00"/>
    <d v="2025-12-18T00:00:00"/>
    <s v="Thursday"/>
    <s v="Morning"/>
    <x v="3"/>
    <n v="24"/>
    <n v="1"/>
    <x v="0"/>
    <x v="0"/>
    <s v="WhatsApp"/>
    <n v="18.100000000000001"/>
    <x v="18"/>
    <x v="1"/>
  </r>
  <r>
    <s v="HC-03119"/>
    <s v="P-0297"/>
    <s v="Male"/>
    <n v="59"/>
    <x v="3"/>
    <s v="Diagnostic Test"/>
    <d v="2024-12-19T00:00:00"/>
    <d v="2025-01-13T00:00:00"/>
    <s v="Monday"/>
    <s v="Morning"/>
    <x v="3"/>
    <n v="25"/>
    <n v="4"/>
    <x v="1"/>
    <x v="0"/>
    <s v="SMS"/>
    <n v="8.1999999999999993"/>
    <x v="22"/>
    <x v="1"/>
  </r>
  <r>
    <s v="HC-03120"/>
    <s v="P-0428"/>
    <s v="Female"/>
    <n v="32"/>
    <x v="1"/>
    <s v="Specialist Consultation"/>
    <d v="2026-03-02T00:00:00"/>
    <d v="2026-04-19T00:00:00"/>
    <s v="Sunday"/>
    <s v="Morning"/>
    <x v="2"/>
    <n v="48"/>
    <n v="2"/>
    <x v="0"/>
    <x v="1"/>
    <s v="None"/>
    <n v="4.9000000000000004"/>
    <x v="10"/>
    <x v="1"/>
  </r>
  <r>
    <s v="HC-03121"/>
    <s v="P-0825"/>
    <s v="Female"/>
    <n v="26"/>
    <x v="1"/>
    <s v="Follow-up"/>
    <d v="2025-11-08T00:00:00"/>
    <d v="2025-12-07T00:00:00"/>
    <s v="Sunday"/>
    <s v="Evening"/>
    <x v="3"/>
    <n v="29"/>
    <n v="2"/>
    <x v="0"/>
    <x v="1"/>
    <s v="None"/>
    <n v="9.8000000000000007"/>
    <x v="14"/>
    <x v="1"/>
  </r>
  <r>
    <s v="HC-03122"/>
    <s v="P-0200"/>
    <s v="Male"/>
    <n v="46"/>
    <x v="2"/>
    <s v="Follow-up"/>
    <d v="2026-05-03T00:00:00"/>
    <d v="2026-06-30T00:00:00"/>
    <s v="Tuesday"/>
    <s v="Morning"/>
    <x v="2"/>
    <n v="58"/>
    <n v="1"/>
    <x v="0"/>
    <x v="0"/>
    <s v="SMS"/>
    <n v="19.600000000000001"/>
    <x v="23"/>
    <x v="1"/>
  </r>
  <r>
    <s v="HC-03123"/>
    <s v="P-1432"/>
    <s v="Male"/>
    <n v="47"/>
    <x v="2"/>
    <s v="Diagnostic Test"/>
    <d v="2025-08-01T00:00:00"/>
    <d v="2025-09-15T00:00:00"/>
    <s v="Monday"/>
    <s v="Morning"/>
    <x v="2"/>
    <n v="45"/>
    <n v="1"/>
    <x v="0"/>
    <x v="0"/>
    <s v="WhatsApp"/>
    <n v="2.5"/>
    <x v="17"/>
    <x v="1"/>
  </r>
  <r>
    <s v="HC-03124"/>
    <s v="P-1044"/>
    <s v="Male"/>
    <n v="40"/>
    <x v="0"/>
    <s v="Follow-up"/>
    <d v="2025-10-20T00:00:00"/>
    <d v="2025-12-01T00:00:00"/>
    <s v="Monday"/>
    <s v="Afternoon"/>
    <x v="2"/>
    <n v="42"/>
    <n v="1"/>
    <x v="1"/>
    <x v="1"/>
    <s v="None"/>
    <n v="12.7"/>
    <x v="43"/>
    <x v="1"/>
  </r>
  <r>
    <s v="HC-03125"/>
    <s v="P-1543"/>
    <s v="Male"/>
    <n v="24"/>
    <x v="5"/>
    <s v="Follow-up"/>
    <d v="2025-07-15T00:00:00"/>
    <d v="2025-08-29T00:00:00"/>
    <s v="Friday"/>
    <s v="Morning"/>
    <x v="2"/>
    <n v="45"/>
    <n v="3"/>
    <x v="0"/>
    <x v="0"/>
    <s v="Email"/>
    <n v="1.4"/>
    <x v="39"/>
    <x v="0"/>
  </r>
  <r>
    <s v="HC-03126"/>
    <s v="P-0444"/>
    <s v="Female"/>
    <n v="25"/>
    <x v="1"/>
    <s v="Follow-up"/>
    <d v="2026-04-22T00:00:00"/>
    <d v="2026-05-01T00:00:00"/>
    <s v="Friday"/>
    <s v="Afternoon"/>
    <x v="0"/>
    <n v="9"/>
    <n v="4"/>
    <x v="0"/>
    <x v="0"/>
    <s v="SMS"/>
    <n v="14.1"/>
    <x v="27"/>
    <x v="1"/>
  </r>
  <r>
    <s v="HC-03127"/>
    <s v="P-1398"/>
    <s v="Female"/>
    <n v="51"/>
    <x v="2"/>
    <s v="General Consultation"/>
    <d v="2026-03-04T00:00:00"/>
    <d v="2026-03-31T00:00:00"/>
    <s v="Tuesday"/>
    <s v="Afternoon"/>
    <x v="3"/>
    <n v="27"/>
    <n v="1"/>
    <x v="0"/>
    <x v="1"/>
    <s v="None"/>
    <n v="11.3"/>
    <x v="20"/>
    <x v="1"/>
  </r>
  <r>
    <s v="HC-03128"/>
    <s v="P-1108"/>
    <s v="Male"/>
    <n v="77"/>
    <x v="4"/>
    <s v="General Consultation"/>
    <d v="2026-04-07T00:00:00"/>
    <d v="2026-05-12T00:00:00"/>
    <s v="Tuesday"/>
    <s v="Afternoon"/>
    <x v="2"/>
    <n v="35"/>
    <n v="4"/>
    <x v="0"/>
    <x v="1"/>
    <s v="None"/>
    <n v="22.2"/>
    <x v="2"/>
    <x v="0"/>
  </r>
  <r>
    <s v="HC-03129"/>
    <s v="P-1370"/>
    <s v="Male"/>
    <n v="55"/>
    <x v="3"/>
    <s v="Specialist Consultation"/>
    <d v="2025-09-21T00:00:00"/>
    <d v="2025-10-03T00:00:00"/>
    <s v="Friday"/>
    <s v="Afternoon"/>
    <x v="0"/>
    <n v="12"/>
    <n v="3"/>
    <x v="0"/>
    <x v="1"/>
    <s v="None"/>
    <n v="2.9"/>
    <x v="31"/>
    <x v="1"/>
  </r>
  <r>
    <s v="HC-03130"/>
    <s v="P-1192"/>
    <s v="Male"/>
    <n v="45"/>
    <x v="2"/>
    <s v="Follow-up"/>
    <d v="2026-03-02T00:00:00"/>
    <d v="2026-03-09T00:00:00"/>
    <s v="Monday"/>
    <s v="Morning"/>
    <x v="1"/>
    <n v="7"/>
    <n v="5"/>
    <x v="1"/>
    <x v="0"/>
    <s v="Email"/>
    <n v="10.5"/>
    <x v="26"/>
    <x v="1"/>
  </r>
  <r>
    <s v="HC-03131"/>
    <s v="P-0229"/>
    <s v="Female"/>
    <n v="76"/>
    <x v="4"/>
    <s v="General Consultation"/>
    <d v="2025-07-07T00:00:00"/>
    <d v="2025-07-15T00:00:00"/>
    <s v="Tuesday"/>
    <s v="Afternoon"/>
    <x v="0"/>
    <n v="8"/>
    <n v="2"/>
    <x v="0"/>
    <x v="0"/>
    <s v="SMS"/>
    <n v="4.8"/>
    <x v="49"/>
    <x v="1"/>
  </r>
  <r>
    <s v="HC-03132"/>
    <s v="P-0857"/>
    <s v="Male"/>
    <n v="61"/>
    <x v="3"/>
    <s v="General Consultation"/>
    <d v="2025-07-23T00:00:00"/>
    <d v="2025-09-09T00:00:00"/>
    <s v="Tuesday"/>
    <s v="Afternoon"/>
    <x v="2"/>
    <n v="48"/>
    <n v="3"/>
    <x v="1"/>
    <x v="1"/>
    <s v="None"/>
    <n v="6.7"/>
    <x v="10"/>
    <x v="0"/>
  </r>
  <r>
    <s v="HC-03133"/>
    <s v="P-0450"/>
    <s v="Female"/>
    <n v="63"/>
    <x v="3"/>
    <s v="Diagnostic Test"/>
    <d v="2026-01-11T00:00:00"/>
    <d v="2026-02-20T00:00:00"/>
    <s v="Friday"/>
    <s v="Morning"/>
    <x v="2"/>
    <n v="40"/>
    <n v="2"/>
    <x v="1"/>
    <x v="0"/>
    <s v="WhatsApp"/>
    <n v="24.6"/>
    <x v="36"/>
    <x v="1"/>
  </r>
  <r>
    <s v="HC-03134"/>
    <s v="P-0004"/>
    <s v="Male"/>
    <n v="54"/>
    <x v="2"/>
    <s v="Follow-up"/>
    <d v="2025-01-28T00:00:00"/>
    <d v="2025-02-14T00:00:00"/>
    <s v="Friday"/>
    <s v="Evening"/>
    <x v="3"/>
    <n v="17"/>
    <n v="1"/>
    <x v="0"/>
    <x v="1"/>
    <s v="None"/>
    <n v="10.9"/>
    <x v="12"/>
    <x v="1"/>
  </r>
  <r>
    <s v="HC-03135"/>
    <s v="P-0065"/>
    <s v="Female"/>
    <n v="66"/>
    <x v="4"/>
    <s v="Follow-up"/>
    <d v="2025-12-10T00:00:00"/>
    <d v="2026-01-23T00:00:00"/>
    <s v="Friday"/>
    <s v="Afternoon"/>
    <x v="2"/>
    <n v="44"/>
    <n v="4"/>
    <x v="1"/>
    <x v="0"/>
    <s v="WhatsApp"/>
    <n v="12.6"/>
    <x v="17"/>
    <x v="0"/>
  </r>
  <r>
    <s v="HC-03136"/>
    <s v="P-0056"/>
    <s v="Male"/>
    <n v="49"/>
    <x v="2"/>
    <s v="General Consultation"/>
    <d v="2024-11-28T00:00:00"/>
    <d v="2025-01-09T00:00:00"/>
    <s v="Thursday"/>
    <s v="Evening"/>
    <x v="2"/>
    <n v="42"/>
    <n v="4"/>
    <x v="0"/>
    <x v="1"/>
    <s v="None"/>
    <n v="6.5"/>
    <x v="19"/>
    <x v="1"/>
  </r>
  <r>
    <s v="HC-03137"/>
    <s v="P-0401"/>
    <s v="Female"/>
    <n v="57"/>
    <x v="3"/>
    <s v="Diagnostic Test"/>
    <d v="2025-09-26T00:00:00"/>
    <d v="2025-11-14T00:00:00"/>
    <s v="Friday"/>
    <s v="Afternoon"/>
    <x v="2"/>
    <n v="49"/>
    <n v="6"/>
    <x v="2"/>
    <x v="0"/>
    <s v="SMS"/>
    <n v="8.6"/>
    <x v="31"/>
    <x v="0"/>
  </r>
  <r>
    <s v="HC-03138"/>
    <s v="P-0868"/>
    <s v="Female"/>
    <n v="56"/>
    <x v="3"/>
    <s v="Diagnostic Test"/>
    <d v="2025-07-25T00:00:00"/>
    <d v="2025-09-18T00:00:00"/>
    <s v="Thursday"/>
    <s v="Morning"/>
    <x v="2"/>
    <n v="55"/>
    <n v="1"/>
    <x v="0"/>
    <x v="0"/>
    <s v="SMS"/>
    <n v="17"/>
    <x v="0"/>
    <x v="0"/>
  </r>
  <r>
    <s v="HC-03139"/>
    <s v="P-1275"/>
    <s v="Female"/>
    <n v="65"/>
    <x v="4"/>
    <s v="Follow-up"/>
    <d v="2025-07-22T00:00:00"/>
    <d v="2025-09-13T00:00:00"/>
    <s v="Saturday"/>
    <s v="Morning"/>
    <x v="2"/>
    <n v="53"/>
    <n v="4"/>
    <x v="2"/>
    <x v="1"/>
    <s v="None"/>
    <n v="22.1"/>
    <x v="7"/>
    <x v="0"/>
  </r>
  <r>
    <s v="HC-03140"/>
    <s v="P-0379"/>
    <s v="Male"/>
    <n v="74"/>
    <x v="4"/>
    <s v="General Consultation"/>
    <d v="2025-09-16T00:00:00"/>
    <d v="2025-09-27T00:00:00"/>
    <s v="Saturday"/>
    <s v="Morning"/>
    <x v="0"/>
    <n v="11"/>
    <n v="3"/>
    <x v="1"/>
    <x v="0"/>
    <s v="SMS"/>
    <n v="8.6999999999999993"/>
    <x v="14"/>
    <x v="0"/>
  </r>
  <r>
    <s v="HC-03141"/>
    <s v="P-1025"/>
    <s v="Male"/>
    <n v="36"/>
    <x v="0"/>
    <s v="Follow-up"/>
    <d v="2025-08-11T00:00:00"/>
    <d v="2025-09-26T00:00:00"/>
    <s v="Friday"/>
    <s v="Morning"/>
    <x v="2"/>
    <n v="46"/>
    <n v="4"/>
    <x v="1"/>
    <x v="0"/>
    <s v="SMS"/>
    <n v="19.399999999999999"/>
    <x v="37"/>
    <x v="1"/>
  </r>
  <r>
    <s v="HC-03142"/>
    <s v="P-0869"/>
    <s v="Prefer not to say"/>
    <n v="62"/>
    <x v="3"/>
    <s v="Specialist Consultation"/>
    <d v="2025-07-19T00:00:00"/>
    <d v="2025-08-11T00:00:00"/>
    <s v="Monday"/>
    <s v="Morning"/>
    <x v="3"/>
    <n v="23"/>
    <n v="4"/>
    <x v="2"/>
    <x v="1"/>
    <s v="None"/>
    <n v="8.5"/>
    <x v="32"/>
    <x v="0"/>
  </r>
  <r>
    <s v="HC-03143"/>
    <s v="P-1182"/>
    <s v="Male"/>
    <n v="19"/>
    <x v="5"/>
    <s v="Specialist Consultation"/>
    <d v="2025-08-11T00:00:00"/>
    <d v="2025-09-04T00:00:00"/>
    <s v="Thursday"/>
    <s v="Morning"/>
    <x v="3"/>
    <n v="24"/>
    <n v="2"/>
    <x v="1"/>
    <x v="0"/>
    <s v="SMS"/>
    <n v="5"/>
    <x v="31"/>
    <x v="1"/>
  </r>
  <r>
    <s v="HC-03144"/>
    <s v="P-1039"/>
    <s v="Male"/>
    <n v="51"/>
    <x v="2"/>
    <s v="Diagnostic Test"/>
    <d v="2025-09-29T00:00:00"/>
    <d v="2025-11-07T00:00:00"/>
    <s v="Friday"/>
    <s v="Morning"/>
    <x v="2"/>
    <n v="39"/>
    <n v="1"/>
    <x v="0"/>
    <x v="0"/>
    <s v="SMS"/>
    <n v="10.1"/>
    <x v="11"/>
    <x v="0"/>
  </r>
  <r>
    <s v="HC-03145"/>
    <s v="P-0265"/>
    <s v="Male"/>
    <n v="74"/>
    <x v="4"/>
    <s v="Follow-up"/>
    <d v="2026-01-16T00:00:00"/>
    <d v="2026-02-21T00:00:00"/>
    <s v="Saturday"/>
    <s v="Afternoon"/>
    <x v="2"/>
    <n v="36"/>
    <n v="4"/>
    <x v="0"/>
    <x v="0"/>
    <s v="WhatsApp"/>
    <n v="4.5999999999999996"/>
    <x v="49"/>
    <x v="0"/>
  </r>
  <r>
    <s v="HC-03146"/>
    <s v="P-0840"/>
    <s v="Female"/>
    <n v="58"/>
    <x v="3"/>
    <s v="General Consultation"/>
    <d v="2025-10-04T00:00:00"/>
    <d v="2025-10-29T00:00:00"/>
    <s v="Wednesday"/>
    <s v="Morning"/>
    <x v="3"/>
    <n v="25"/>
    <n v="2"/>
    <x v="1"/>
    <x v="1"/>
    <s v="None"/>
    <m/>
    <x v="7"/>
    <x v="1"/>
  </r>
  <r>
    <s v="HC-03147"/>
    <s v="P-0905"/>
    <s v="Male"/>
    <n v="34"/>
    <x v="1"/>
    <s v="Follow-up"/>
    <d v="2025-10-18T00:00:00"/>
    <d v="2025-12-17T00:00:00"/>
    <s v="Wednesday"/>
    <s v="Afternoon"/>
    <x v="2"/>
    <n v="60"/>
    <n v="1"/>
    <x v="0"/>
    <x v="0"/>
    <s v="SMS"/>
    <n v="3.3"/>
    <x v="14"/>
    <x v="0"/>
  </r>
  <r>
    <s v="HC-03148"/>
    <s v="P-0969"/>
    <s v="Male"/>
    <n v="56"/>
    <x v="3"/>
    <s v="Specialist Consultation"/>
    <d v="2026-03-23T00:00:00"/>
    <d v="2026-04-02T00:00:00"/>
    <s v="Thursday"/>
    <s v="Afternoon"/>
    <x v="0"/>
    <n v="10"/>
    <n v="8"/>
    <x v="4"/>
    <x v="0"/>
    <s v="WhatsApp"/>
    <n v="13.7"/>
    <x v="9"/>
    <x v="0"/>
  </r>
  <r>
    <s v="HC-03149"/>
    <s v="P-0734"/>
    <s v="Male"/>
    <n v="40"/>
    <x v="0"/>
    <s v="General Consultation"/>
    <d v="2026-06-20T00:00:00"/>
    <d v="2026-06-25T00:00:00"/>
    <s v="Thursday"/>
    <s v="Afternoon"/>
    <x v="1"/>
    <n v="5"/>
    <n v="2"/>
    <x v="1"/>
    <x v="1"/>
    <s v="None"/>
    <n v="3.5"/>
    <x v="47"/>
    <x v="0"/>
  </r>
  <r>
    <s v="HC-03150"/>
    <s v="P-1740"/>
    <s v="Female"/>
    <n v="45"/>
    <x v="2"/>
    <s v="General Consultation"/>
    <d v="2025-02-28T00:00:00"/>
    <d v="2025-03-01T00:00:00"/>
    <s v="Saturday"/>
    <s v="Morning"/>
    <x v="1"/>
    <n v="1"/>
    <n v="4"/>
    <x v="0"/>
    <x v="0"/>
    <s v="SMS"/>
    <n v="5.0999999999999996"/>
    <x v="23"/>
    <x v="1"/>
  </r>
  <r>
    <s v="HC-03151"/>
    <s v="P-1586"/>
    <s v="Female"/>
    <n v="32"/>
    <x v="1"/>
    <s v="Specialist Consultation"/>
    <d v="2025-12-07T00:00:00"/>
    <d v="2026-01-25T00:00:00"/>
    <s v="Sunday"/>
    <s v="Afternoon"/>
    <x v="2"/>
    <n v="49"/>
    <n v="3"/>
    <x v="0"/>
    <x v="1"/>
    <s v="None"/>
    <n v="5.7"/>
    <x v="14"/>
    <x v="2"/>
  </r>
  <r>
    <s v="HC-03152"/>
    <s v="P-1139"/>
    <s v="Female"/>
    <n v="57"/>
    <x v="3"/>
    <s v="Follow-up"/>
    <d v="2025-04-09T00:00:00"/>
    <d v="2025-05-03T00:00:00"/>
    <s v="Saturday"/>
    <s v="Afternoon"/>
    <x v="3"/>
    <n v="24"/>
    <n v="4"/>
    <x v="0"/>
    <x v="1"/>
    <s v="None"/>
    <n v="3.8"/>
    <x v="20"/>
    <x v="0"/>
  </r>
  <r>
    <s v="HC-03153"/>
    <s v="P-0036"/>
    <s v="Male"/>
    <n v="30"/>
    <x v="1"/>
    <s v="Specialist Consultation"/>
    <d v="2025-03-23T00:00:00"/>
    <d v="2025-04-18T00:00:00"/>
    <s v="Friday"/>
    <s v="Afternoon"/>
    <x v="3"/>
    <n v="26"/>
    <n v="4"/>
    <x v="1"/>
    <x v="0"/>
    <s v="Email"/>
    <n v="8.4"/>
    <x v="25"/>
    <x v="1"/>
  </r>
  <r>
    <s v="HC-03154"/>
    <s v="P-0354"/>
    <s v="Male"/>
    <n v="45"/>
    <x v="2"/>
    <s v="General Consultation"/>
    <d v="2026-01-29T00:00:00"/>
    <d v="2026-03-09T00:00:00"/>
    <s v="Monday"/>
    <s v="Morning"/>
    <x v="2"/>
    <n v="39"/>
    <n v="5"/>
    <x v="1"/>
    <x v="1"/>
    <s v="None"/>
    <n v="0.7"/>
    <x v="26"/>
    <x v="0"/>
  </r>
  <r>
    <s v="HC-03155"/>
    <s v="P-0429"/>
    <s v="Male"/>
    <n v="77"/>
    <x v="4"/>
    <s v="General Consultation"/>
    <d v="2025-01-12T00:00:00"/>
    <d v="2025-02-07T00:00:00"/>
    <s v="Friday"/>
    <s v="Morning"/>
    <x v="3"/>
    <n v="26"/>
    <n v="1"/>
    <x v="0"/>
    <x v="1"/>
    <s v="None"/>
    <n v="7.7"/>
    <x v="11"/>
    <x v="1"/>
  </r>
  <r>
    <s v="HC-03156"/>
    <s v="P-0292"/>
    <s v="Female"/>
    <n v="65"/>
    <x v="4"/>
    <s v="General Consultation"/>
    <d v="2026-03-04T00:00:00"/>
    <d v="2026-04-08T00:00:00"/>
    <s v="Wednesday"/>
    <s v="Afternoon"/>
    <x v="2"/>
    <n v="35"/>
    <n v="1"/>
    <x v="0"/>
    <x v="0"/>
    <s v="SMS"/>
    <n v="0.5"/>
    <x v="26"/>
    <x v="1"/>
  </r>
  <r>
    <s v="HC-03157"/>
    <s v="P-0473"/>
    <s v="Male"/>
    <n v="44"/>
    <x v="0"/>
    <s v="Follow-up"/>
    <d v="2026-02-22T00:00:00"/>
    <d v="2026-02-25T00:00:00"/>
    <s v="Wednesday"/>
    <s v="Morning"/>
    <x v="1"/>
    <n v="3"/>
    <n v="2"/>
    <x v="0"/>
    <x v="0"/>
    <s v="SMS"/>
    <n v="10.9"/>
    <x v="45"/>
    <x v="1"/>
  </r>
  <r>
    <s v="HC-03158"/>
    <s v="P-1713"/>
    <s v="Female"/>
    <n v="79"/>
    <x v="4"/>
    <s v="Specialist Consultation"/>
    <d v="2026-06-19T00:00:00"/>
    <d v="2026-06-28T00:00:00"/>
    <s v="Sunday"/>
    <s v="Afternoon"/>
    <x v="0"/>
    <n v="9"/>
    <n v="2"/>
    <x v="1"/>
    <x v="0"/>
    <s v="Email"/>
    <n v="3.2"/>
    <x v="20"/>
    <x v="1"/>
  </r>
  <r>
    <s v="HC-03159"/>
    <s v="P-1053"/>
    <s v="Female"/>
    <n v="18"/>
    <x v="5"/>
    <s v="Follow-up"/>
    <d v="2025-11-05T00:00:00"/>
    <d v="2025-12-31T00:00:00"/>
    <s v="Wednesday"/>
    <s v="Afternoon"/>
    <x v="2"/>
    <n v="56"/>
    <n v="2"/>
    <x v="0"/>
    <x v="0"/>
    <s v="SMS"/>
    <n v="11.5"/>
    <x v="14"/>
    <x v="0"/>
  </r>
  <r>
    <s v="HC-03160"/>
    <s v="P-1765"/>
    <s v="Male"/>
    <n v="78"/>
    <x v="4"/>
    <s v="Follow-up"/>
    <d v="2026-03-26T00:00:00"/>
    <d v="2026-04-22T00:00:00"/>
    <s v="Wednesday"/>
    <s v="Afternoon"/>
    <x v="3"/>
    <n v="27"/>
    <n v="5"/>
    <x v="0"/>
    <x v="0"/>
    <s v="Email"/>
    <n v="19"/>
    <x v="16"/>
    <x v="2"/>
  </r>
  <r>
    <s v="HC-03161"/>
    <s v="P-0822"/>
    <s v="Female"/>
    <n v="40"/>
    <x v="0"/>
    <s v="General Consultation"/>
    <d v="2025-02-24T00:00:00"/>
    <d v="2025-03-06T00:00:00"/>
    <s v="Thursday"/>
    <s v="Evening"/>
    <x v="0"/>
    <n v="10"/>
    <n v="6"/>
    <x v="1"/>
    <x v="0"/>
    <s v="WhatsApp"/>
    <n v="5.8"/>
    <x v="7"/>
    <x v="1"/>
  </r>
  <r>
    <s v="HC-03162"/>
    <s v="P-0825"/>
    <s v="Female"/>
    <n v="69"/>
    <x v="4"/>
    <s v="Specialist Consultation"/>
    <d v="2026-04-09T00:00:00"/>
    <d v="2026-05-01T00:00:00"/>
    <s v="Friday"/>
    <s v="Afternoon"/>
    <x v="3"/>
    <n v="22"/>
    <n v="2"/>
    <x v="0"/>
    <x v="0"/>
    <s v="SMS"/>
    <n v="9.1"/>
    <x v="23"/>
    <x v="0"/>
  </r>
  <r>
    <s v="HC-03163"/>
    <s v="P-1117"/>
    <s v="Female"/>
    <n v="77"/>
    <x v="4"/>
    <s v="Diagnostic Test"/>
    <d v="2025-03-09T00:00:00"/>
    <d v="2025-03-29T00:00:00"/>
    <s v="Saturday"/>
    <s v="Evening"/>
    <x v="3"/>
    <n v="20"/>
    <n v="4"/>
    <x v="1"/>
    <x v="0"/>
    <s v="SMS"/>
    <n v="2.7"/>
    <x v="15"/>
    <x v="1"/>
  </r>
  <r>
    <s v="HC-03164"/>
    <s v="P-1551"/>
    <s v="Female"/>
    <n v="55"/>
    <x v="3"/>
    <s v="Specialist Consultation"/>
    <d v="2025-06-05T00:00:00"/>
    <d v="2025-06-21T00:00:00"/>
    <s v="Saturday"/>
    <s v="Afternoon"/>
    <x v="3"/>
    <n v="16"/>
    <n v="4"/>
    <x v="1"/>
    <x v="0"/>
    <s v="Email"/>
    <n v="11.6"/>
    <x v="18"/>
    <x v="1"/>
  </r>
  <r>
    <s v="HC-03165"/>
    <s v="P-0009"/>
    <s v="Male"/>
    <n v="56"/>
    <x v="3"/>
    <s v="General Consultation"/>
    <d v="2025-02-22T00:00:00"/>
    <d v="2025-03-11T00:00:00"/>
    <s v="Tuesday"/>
    <s v="Morning"/>
    <x v="3"/>
    <n v="17"/>
    <n v="3"/>
    <x v="0"/>
    <x v="0"/>
    <s v="WhatsApp"/>
    <n v="13.3"/>
    <x v="0"/>
    <x v="0"/>
  </r>
  <r>
    <s v="HC-03166"/>
    <s v="P-1148"/>
    <s v="Male"/>
    <n v="65"/>
    <x v="4"/>
    <s v="Follow-up"/>
    <d v="2025-06-25T00:00:00"/>
    <d v="2025-08-08T00:00:00"/>
    <s v="Friday"/>
    <s v="Afternoon"/>
    <x v="2"/>
    <n v="44"/>
    <n v="2"/>
    <x v="1"/>
    <x v="1"/>
    <s v="None"/>
    <n v="2.4"/>
    <x v="3"/>
    <x v="0"/>
  </r>
  <r>
    <s v="HC-03167"/>
    <s v="P-1435"/>
    <s v="Prefer not to say"/>
    <n v="33"/>
    <x v="1"/>
    <s v="General Consultation"/>
    <d v="2026-02-07T00:00:00"/>
    <d v="2026-02-13T00:00:00"/>
    <s v="Friday"/>
    <s v="Afternoon"/>
    <x v="1"/>
    <n v="6"/>
    <n v="5"/>
    <x v="1"/>
    <x v="1"/>
    <s v="None"/>
    <n v="13.5"/>
    <x v="52"/>
    <x v="1"/>
  </r>
  <r>
    <s v="HC-03168"/>
    <s v="P-0080"/>
    <s v="Male"/>
    <n v="29"/>
    <x v="1"/>
    <s v="General Consultation"/>
    <d v="2025-05-09T00:00:00"/>
    <d v="2025-05-27T00:00:00"/>
    <s v="Tuesday"/>
    <s v="Evening"/>
    <x v="3"/>
    <n v="18"/>
    <n v="3"/>
    <x v="0"/>
    <x v="0"/>
    <s v="SMS"/>
    <n v="29.2"/>
    <x v="5"/>
    <x v="0"/>
  </r>
  <r>
    <s v="HC-03169"/>
    <s v="P-0588"/>
    <s v="Female"/>
    <n v="39"/>
    <x v="0"/>
    <s v="General Consultation"/>
    <d v="2026-02-25T00:00:00"/>
    <d v="2026-03-25T00:00:00"/>
    <s v="Wednesday"/>
    <s v="Morning"/>
    <x v="3"/>
    <n v="28"/>
    <n v="5"/>
    <x v="0"/>
    <x v="0"/>
    <s v="WhatsApp"/>
    <n v="6.9"/>
    <x v="37"/>
    <x v="1"/>
  </r>
  <r>
    <s v="HC-03170"/>
    <s v="P-1392"/>
    <s v="Female"/>
    <n v="48"/>
    <x v="2"/>
    <s v="General Consultation"/>
    <d v="2025-10-27T00:00:00"/>
    <d v="2025-11-28T00:00:00"/>
    <s v="Friday"/>
    <s v="Morning"/>
    <x v="2"/>
    <n v="32"/>
    <n v="1"/>
    <x v="0"/>
    <x v="1"/>
    <s v="None"/>
    <n v="6"/>
    <x v="17"/>
    <x v="1"/>
  </r>
  <r>
    <s v="HC-03171"/>
    <s v="P-0701"/>
    <s v="Male"/>
    <n v="64"/>
    <x v="3"/>
    <s v="General Consultation"/>
    <d v="2025-10-18T00:00:00"/>
    <d v="2025-12-10T00:00:00"/>
    <s v="Wednesday"/>
    <s v="Afternoon"/>
    <x v="2"/>
    <n v="53"/>
    <n v="2"/>
    <x v="0"/>
    <x v="1"/>
    <s v="None"/>
    <n v="16.5"/>
    <x v="24"/>
    <x v="1"/>
  </r>
  <r>
    <s v="HC-03172"/>
    <s v="P-0665"/>
    <s v="Female"/>
    <n v="34"/>
    <x v="1"/>
    <s v="Specialist Consultation"/>
    <d v="2026-04-02T00:00:00"/>
    <d v="2026-05-28T00:00:00"/>
    <s v="Thursday"/>
    <s v="Morning"/>
    <x v="2"/>
    <n v="56"/>
    <n v="2"/>
    <x v="0"/>
    <x v="1"/>
    <s v="None"/>
    <n v="5.6"/>
    <x v="8"/>
    <x v="0"/>
  </r>
  <r>
    <s v="HC-03173"/>
    <s v="P-0183"/>
    <s v="Prefer not to say"/>
    <n v="53"/>
    <x v="2"/>
    <s v="General Consultation"/>
    <d v="2025-08-06T00:00:00"/>
    <d v="2025-08-24T00:00:00"/>
    <s v="Sunday"/>
    <s v="Afternoon"/>
    <x v="3"/>
    <n v="18"/>
    <n v="4"/>
    <x v="2"/>
    <x v="0"/>
    <s v="SMS"/>
    <n v="2.9"/>
    <x v="15"/>
    <x v="1"/>
  </r>
  <r>
    <s v="HC-03174"/>
    <s v="P-1040"/>
    <s v="Female"/>
    <n v="18"/>
    <x v="5"/>
    <s v="Specialist Consultation"/>
    <d v="2025-06-06T00:00:00"/>
    <d v="2025-07-08T00:00:00"/>
    <s v="Tuesday"/>
    <s v="Afternoon"/>
    <x v="2"/>
    <n v="32"/>
    <n v="2"/>
    <x v="0"/>
    <x v="0"/>
    <s v="WhatsApp"/>
    <n v="7.9"/>
    <x v="25"/>
    <x v="0"/>
  </r>
  <r>
    <s v="HC-03175"/>
    <s v="P-1189"/>
    <s v="Male"/>
    <n v="19"/>
    <x v="5"/>
    <s v="Diagnostic Test"/>
    <d v="2026-06-27T00:00:00"/>
    <d v="2026-06-28T00:00:00"/>
    <s v="Sunday"/>
    <s v="Morning"/>
    <x v="1"/>
    <n v="1"/>
    <n v="2"/>
    <x v="1"/>
    <x v="0"/>
    <s v="WhatsApp"/>
    <n v="14.5"/>
    <x v="7"/>
    <x v="0"/>
  </r>
  <r>
    <s v="HC-03176"/>
    <s v="P-1603"/>
    <s v="Male"/>
    <n v="78"/>
    <x v="4"/>
    <s v="Follow-up"/>
    <d v="2025-09-25T00:00:00"/>
    <d v="2025-11-01T00:00:00"/>
    <s v="Saturday"/>
    <s v="Morning"/>
    <x v="2"/>
    <n v="37"/>
    <n v="3"/>
    <x v="0"/>
    <x v="0"/>
    <s v="SMS"/>
    <n v="8.1999999999999993"/>
    <x v="50"/>
    <x v="1"/>
  </r>
  <r>
    <s v="HC-03177"/>
    <s v="P-0797"/>
    <s v="Male"/>
    <n v="71"/>
    <x v="4"/>
    <s v="Follow-up"/>
    <d v="2025-11-23T00:00:00"/>
    <d v="2025-12-02T00:00:00"/>
    <s v="Tuesday"/>
    <s v="Afternoon"/>
    <x v="0"/>
    <n v="9"/>
    <n v="2"/>
    <x v="0"/>
    <x v="0"/>
    <s v="SMS"/>
    <n v="7"/>
    <x v="12"/>
    <x v="1"/>
  </r>
  <r>
    <s v="HC-03178"/>
    <s v="P-0949"/>
    <s v="Male"/>
    <n v="72"/>
    <x v="4"/>
    <s v="Specialist Consultation"/>
    <d v="2025-06-07T00:00:00"/>
    <d v="2025-06-11T00:00:00"/>
    <s v="Wednesday"/>
    <s v="Morning"/>
    <x v="1"/>
    <n v="4"/>
    <n v="5"/>
    <x v="1"/>
    <x v="0"/>
    <s v="Email"/>
    <n v="12.1"/>
    <x v="53"/>
    <x v="0"/>
  </r>
  <r>
    <s v="HC-03179"/>
    <s v="P-0932"/>
    <s v="Male"/>
    <n v="38"/>
    <x v="0"/>
    <s v="General Consultation"/>
    <d v="2025-03-19T00:00:00"/>
    <d v="2025-04-28T00:00:00"/>
    <s v="Monday"/>
    <s v="Afternoon"/>
    <x v="2"/>
    <n v="40"/>
    <n v="2"/>
    <x v="1"/>
    <x v="1"/>
    <s v="None"/>
    <n v="4.4000000000000004"/>
    <x v="23"/>
    <x v="0"/>
  </r>
  <r>
    <s v="HC-03180"/>
    <s v="P-1055"/>
    <s v="Female"/>
    <n v="50"/>
    <x v="2"/>
    <s v="Follow-up"/>
    <d v="2025-03-24T00:00:00"/>
    <d v="2025-04-03T00:00:00"/>
    <s v="Thursday"/>
    <s v="Afternoon"/>
    <x v="0"/>
    <n v="10"/>
    <n v="3"/>
    <x v="2"/>
    <x v="0"/>
    <s v="SMS"/>
    <n v="9.4"/>
    <x v="17"/>
    <x v="0"/>
  </r>
  <r>
    <s v="HC-03181"/>
    <s v="P-0190"/>
    <s v="Male"/>
    <n v="60"/>
    <x v="3"/>
    <s v="Follow-up"/>
    <d v="2025-04-04T00:00:00"/>
    <d v="2025-05-03T00:00:00"/>
    <s v="Saturday"/>
    <s v="Afternoon"/>
    <x v="3"/>
    <n v="29"/>
    <n v="0"/>
    <x v="0"/>
    <x v="0"/>
    <s v="SMS"/>
    <n v="1.5"/>
    <x v="10"/>
    <x v="0"/>
  </r>
  <r>
    <s v="HC-03182"/>
    <s v="P-1454"/>
    <s v="Male"/>
    <n v="34"/>
    <x v="1"/>
    <s v="Specialist Consultation"/>
    <d v="2025-04-11T00:00:00"/>
    <d v="2025-04-17T00:00:00"/>
    <s v="Thursday"/>
    <s v="Morning"/>
    <x v="1"/>
    <n v="6"/>
    <n v="5"/>
    <x v="1"/>
    <x v="0"/>
    <s v="SMS"/>
    <n v="11.6"/>
    <x v="10"/>
    <x v="0"/>
  </r>
  <r>
    <s v="HC-03183"/>
    <s v="P-0125"/>
    <s v="Male"/>
    <n v="64"/>
    <x v="3"/>
    <s v="Specialist Consultation"/>
    <d v="2025-12-29T00:00:00"/>
    <d v="2026-02-12T00:00:00"/>
    <s v="Thursday"/>
    <s v="Morning"/>
    <x v="2"/>
    <n v="45"/>
    <n v="5"/>
    <x v="0"/>
    <x v="0"/>
    <s v="Email"/>
    <n v="17.3"/>
    <x v="18"/>
    <x v="1"/>
  </r>
  <r>
    <s v="HC-03184"/>
    <s v="P-1452"/>
    <s v="Male"/>
    <n v="61"/>
    <x v="3"/>
    <s v="Specialist Consultation"/>
    <d v="2024-12-17T00:00:00"/>
    <d v="2025-02-01T00:00:00"/>
    <s v="Saturday"/>
    <s v="Afternoon"/>
    <x v="2"/>
    <n v="46"/>
    <n v="4"/>
    <x v="0"/>
    <x v="0"/>
    <s v="SMS"/>
    <n v="21.5"/>
    <x v="51"/>
    <x v="0"/>
  </r>
  <r>
    <s v="HC-03185"/>
    <s v="P-1078"/>
    <s v="Female"/>
    <n v="43"/>
    <x v="0"/>
    <s v="Follow-up"/>
    <d v="2025-11-05T00:00:00"/>
    <d v="2025-12-10T00:00:00"/>
    <s v="Wednesday"/>
    <s v="Morning"/>
    <x v="2"/>
    <n v="35"/>
    <n v="1"/>
    <x v="0"/>
    <x v="1"/>
    <s v="None"/>
    <n v="15.3"/>
    <x v="16"/>
    <x v="0"/>
  </r>
  <r>
    <s v="HC-03186"/>
    <s v="P-1133"/>
    <s v="Female"/>
    <n v="45"/>
    <x v="2"/>
    <s v="Follow-up"/>
    <d v="2026-04-14T00:00:00"/>
    <d v="2026-06-03T00:00:00"/>
    <s v="Wednesday"/>
    <s v="Morning"/>
    <x v="2"/>
    <n v="50"/>
    <n v="5"/>
    <x v="1"/>
    <x v="0"/>
    <s v="WhatsApp"/>
    <n v="13.2"/>
    <x v="6"/>
    <x v="0"/>
  </r>
  <r>
    <s v="HC-03187"/>
    <s v="P-0780"/>
    <s v="Male"/>
    <n v="37"/>
    <x v="0"/>
    <s v="Specialist Consultation"/>
    <d v="2026-01-27T00:00:00"/>
    <d v="2026-02-22T00:00:00"/>
    <s v="Sunday"/>
    <s v="Evening"/>
    <x v="3"/>
    <n v="26"/>
    <n v="2"/>
    <x v="0"/>
    <x v="0"/>
    <s v="SMS"/>
    <n v="8.1"/>
    <x v="27"/>
    <x v="0"/>
  </r>
  <r>
    <s v="HC-03188"/>
    <s v="P-0068"/>
    <s v="Female"/>
    <n v="68"/>
    <x v="4"/>
    <s v="Specialist Consultation"/>
    <d v="2025-07-28T00:00:00"/>
    <d v="2025-08-08T00:00:00"/>
    <s v="Friday"/>
    <s v="Morning"/>
    <x v="0"/>
    <n v="11"/>
    <n v="3"/>
    <x v="1"/>
    <x v="0"/>
    <s v="SMS"/>
    <n v="13.7"/>
    <x v="45"/>
    <x v="0"/>
  </r>
  <r>
    <s v="HC-03189"/>
    <s v="P-0208"/>
    <s v="Male"/>
    <n v="80"/>
    <x v="4"/>
    <s v="Follow-up"/>
    <d v="2025-01-24T00:00:00"/>
    <d v="2025-02-02T00:00:00"/>
    <s v="Sunday"/>
    <s v="Morning"/>
    <x v="0"/>
    <n v="9"/>
    <n v="4"/>
    <x v="1"/>
    <x v="0"/>
    <s v="SMS"/>
    <n v="8.9"/>
    <x v="19"/>
    <x v="0"/>
  </r>
  <r>
    <s v="HC-03190"/>
    <s v="P-1574"/>
    <s v="Male"/>
    <n v="80"/>
    <x v="4"/>
    <s v="Diagnostic Test"/>
    <d v="2026-03-19T00:00:00"/>
    <d v="2026-04-01T00:00:00"/>
    <s v="Wednesday"/>
    <s v="Evening"/>
    <x v="0"/>
    <n v="13"/>
    <n v="3"/>
    <x v="0"/>
    <x v="0"/>
    <s v="WhatsApp"/>
    <n v="3.2"/>
    <x v="25"/>
    <x v="1"/>
  </r>
  <r>
    <s v="HC-03191"/>
    <s v="P-0687"/>
    <s v="Male"/>
    <n v="66"/>
    <x v="4"/>
    <s v="Specialist Consultation"/>
    <d v="2024-12-21T00:00:00"/>
    <d v="2025-01-02T00:00:00"/>
    <s v="Thursday"/>
    <s v="Morning"/>
    <x v="0"/>
    <n v="12"/>
    <n v="3"/>
    <x v="0"/>
    <x v="0"/>
    <s v="WhatsApp"/>
    <n v="17.8"/>
    <x v="8"/>
    <x v="0"/>
  </r>
  <r>
    <s v="HC-03192"/>
    <s v="P-1124"/>
    <s v="Female"/>
    <n v="39"/>
    <x v="0"/>
    <s v="Follow-up"/>
    <d v="2025-12-20T00:00:00"/>
    <d v="2026-01-08T00:00:00"/>
    <s v="Thursday"/>
    <s v="Morning"/>
    <x v="3"/>
    <n v="19"/>
    <n v="7"/>
    <x v="2"/>
    <x v="1"/>
    <s v="None"/>
    <n v="1.5"/>
    <x v="0"/>
    <x v="1"/>
  </r>
  <r>
    <s v="HC-03193"/>
    <s v="P-0721"/>
    <s v="Female"/>
    <n v="67"/>
    <x v="4"/>
    <s v="General Consultation"/>
    <d v="2025-12-20T00:00:00"/>
    <d v="2026-01-02T00:00:00"/>
    <s v="Friday"/>
    <s v="Morning"/>
    <x v="0"/>
    <n v="13"/>
    <n v="1"/>
    <x v="0"/>
    <x v="0"/>
    <s v="WhatsApp"/>
    <n v="6.1"/>
    <x v="10"/>
    <x v="0"/>
  </r>
  <r>
    <s v="HC-03194"/>
    <s v="P-0981"/>
    <s v="Male"/>
    <n v="33"/>
    <x v="1"/>
    <s v="General Consultation"/>
    <d v="2025-03-10T00:00:00"/>
    <d v="2025-04-15T00:00:00"/>
    <s v="Tuesday"/>
    <s v="Afternoon"/>
    <x v="2"/>
    <n v="36"/>
    <n v="0"/>
    <x v="0"/>
    <x v="0"/>
    <s v="SMS"/>
    <n v="4.8"/>
    <x v="38"/>
    <x v="1"/>
  </r>
  <r>
    <s v="HC-03195"/>
    <s v="P-0810"/>
    <s v="Male"/>
    <n v="74"/>
    <x v="4"/>
    <s v="Specialist Consultation"/>
    <d v="2026-01-30T00:00:00"/>
    <d v="2026-02-08T00:00:00"/>
    <s v="Sunday"/>
    <s v="Evening"/>
    <x v="0"/>
    <n v="9"/>
    <n v="4"/>
    <x v="0"/>
    <x v="0"/>
    <s v="Email"/>
    <n v="9"/>
    <x v="47"/>
    <x v="1"/>
  </r>
  <r>
    <s v="HC-03196"/>
    <s v="P-1528"/>
    <s v="Male"/>
    <n v="34"/>
    <x v="1"/>
    <s v="General Consultation"/>
    <d v="2025-02-28T00:00:00"/>
    <d v="2025-04-06T00:00:00"/>
    <s v="Sunday"/>
    <s v="Afternoon"/>
    <x v="2"/>
    <n v="37"/>
    <n v="1"/>
    <x v="0"/>
    <x v="0"/>
    <s v="SMS"/>
    <n v="15"/>
    <x v="10"/>
    <x v="1"/>
  </r>
  <r>
    <s v="HC-03197"/>
    <s v="P-1716"/>
    <s v="Female"/>
    <n v="43"/>
    <x v="0"/>
    <s v="Follow-up"/>
    <d v="2025-04-14T00:00:00"/>
    <d v="2025-05-04T00:00:00"/>
    <s v="Sunday"/>
    <s v="Evening"/>
    <x v="3"/>
    <n v="20"/>
    <n v="0"/>
    <x v="0"/>
    <x v="0"/>
    <s v="SMS"/>
    <n v="12.8"/>
    <x v="12"/>
    <x v="1"/>
  </r>
  <r>
    <s v="HC-03198"/>
    <s v="P-0678"/>
    <s v="Female"/>
    <n v="23"/>
    <x v="5"/>
    <s v="Follow-up"/>
    <d v="2026-02-07T00:00:00"/>
    <d v="2026-03-20T00:00:00"/>
    <s v="Friday"/>
    <s v="Morning"/>
    <x v="2"/>
    <n v="41"/>
    <n v="2"/>
    <x v="0"/>
    <x v="1"/>
    <s v="None"/>
    <n v="2.1"/>
    <x v="27"/>
    <x v="1"/>
  </r>
  <r>
    <s v="HC-03199"/>
    <s v="P-1165"/>
    <s v="Male"/>
    <n v="23"/>
    <x v="5"/>
    <s v="Specialist Consultation"/>
    <d v="2026-05-19T00:00:00"/>
    <d v="2026-06-19T00:00:00"/>
    <s v="Friday"/>
    <s v="Afternoon"/>
    <x v="2"/>
    <n v="31"/>
    <n v="0"/>
    <x v="0"/>
    <x v="1"/>
    <s v="None"/>
    <n v="3.3"/>
    <x v="47"/>
    <x v="0"/>
  </r>
  <r>
    <s v="HC-03200"/>
    <s v="P-0178"/>
    <s v="Male"/>
    <n v="42"/>
    <x v="0"/>
    <s v="Specialist Consultation"/>
    <d v="2025-03-31T00:00:00"/>
    <d v="2025-05-25T00:00:00"/>
    <s v="Sunday"/>
    <s v="Morning"/>
    <x v="2"/>
    <n v="55"/>
    <n v="4"/>
    <x v="1"/>
    <x v="0"/>
    <s v="SMS"/>
    <n v="13.2"/>
    <x v="22"/>
    <x v="0"/>
  </r>
  <r>
    <s v="HC-03201"/>
    <s v="P-1785"/>
    <s v="Male"/>
    <n v="52"/>
    <x v="2"/>
    <s v="Specialist Consultation"/>
    <d v="2026-04-23T00:00:00"/>
    <d v="2026-05-19T00:00:00"/>
    <s v="Tuesday"/>
    <s v="Evening"/>
    <x v="3"/>
    <n v="26"/>
    <n v="4"/>
    <x v="1"/>
    <x v="1"/>
    <s v="None"/>
    <n v="31.4"/>
    <x v="23"/>
    <x v="1"/>
  </r>
  <r>
    <s v="HC-03202"/>
    <s v="P-0462"/>
    <s v="Male"/>
    <n v="19"/>
    <x v="5"/>
    <s v="General Consultation"/>
    <d v="2026-04-27T00:00:00"/>
    <d v="2026-05-14T00:00:00"/>
    <s v="Thursday"/>
    <s v="Evening"/>
    <x v="3"/>
    <n v="17"/>
    <n v="3"/>
    <x v="0"/>
    <x v="0"/>
    <s v="SMS"/>
    <n v="5.6"/>
    <x v="7"/>
    <x v="0"/>
  </r>
  <r>
    <s v="HC-03203"/>
    <s v="P-0083"/>
    <s v="Male"/>
    <n v="71"/>
    <x v="4"/>
    <s v="General Consultation"/>
    <d v="2026-01-21T00:00:00"/>
    <d v="2026-02-25T00:00:00"/>
    <s v="Wednesday"/>
    <s v="Morning"/>
    <x v="2"/>
    <n v="35"/>
    <n v="1"/>
    <x v="0"/>
    <x v="1"/>
    <s v="None"/>
    <n v="3"/>
    <x v="51"/>
    <x v="0"/>
  </r>
  <r>
    <s v="HC-03204"/>
    <s v="P-1643"/>
    <s v="Male"/>
    <n v="25"/>
    <x v="1"/>
    <s v="Follow-up"/>
    <d v="2025-02-06T00:00:00"/>
    <d v="2025-03-18T00:00:00"/>
    <s v="Tuesday"/>
    <s v="Afternoon"/>
    <x v="2"/>
    <n v="40"/>
    <n v="6"/>
    <x v="0"/>
    <x v="0"/>
    <s v="SMS"/>
    <n v="6.6"/>
    <x v="10"/>
    <x v="0"/>
  </r>
  <r>
    <s v="HC-03205"/>
    <s v="P-0180"/>
    <s v="Male"/>
    <n v="80"/>
    <x v="4"/>
    <s v="General Consultation"/>
    <d v="2025-05-18T00:00:00"/>
    <d v="2025-06-13T00:00:00"/>
    <s v="Friday"/>
    <s v="Afternoon"/>
    <x v="3"/>
    <n v="26"/>
    <n v="2"/>
    <x v="0"/>
    <x v="0"/>
    <s v="SMS"/>
    <n v="2.7"/>
    <x v="25"/>
    <x v="1"/>
  </r>
  <r>
    <s v="HC-03206"/>
    <s v="P-1423"/>
    <s v="Male"/>
    <n v="35"/>
    <x v="0"/>
    <s v="Follow-up"/>
    <d v="2025-12-03T00:00:00"/>
    <d v="2026-01-06T00:00:00"/>
    <s v="Tuesday"/>
    <s v="Morning"/>
    <x v="2"/>
    <n v="34"/>
    <n v="2"/>
    <x v="0"/>
    <x v="0"/>
    <s v="Email"/>
    <n v="7.6"/>
    <x v="15"/>
    <x v="1"/>
  </r>
  <r>
    <s v="HC-03207"/>
    <s v="P-0408"/>
    <s v="Male"/>
    <n v="41"/>
    <x v="0"/>
    <s v="Diagnostic Test"/>
    <d v="2026-06-02T00:00:00"/>
    <d v="2026-06-30T00:00:00"/>
    <s v="Tuesday"/>
    <s v="Afternoon"/>
    <x v="3"/>
    <n v="28"/>
    <n v="2"/>
    <x v="1"/>
    <x v="0"/>
    <s v="SMS"/>
    <n v="9.1"/>
    <x v="47"/>
    <x v="1"/>
  </r>
  <r>
    <s v="HC-03208"/>
    <s v="P-0883"/>
    <s v="Female"/>
    <n v="28"/>
    <x v="1"/>
    <s v="Follow-up"/>
    <d v="2026-03-03T00:00:00"/>
    <d v="2026-03-21T00:00:00"/>
    <s v="Saturday"/>
    <s v="Evening"/>
    <x v="3"/>
    <n v="18"/>
    <n v="2"/>
    <x v="0"/>
    <x v="0"/>
    <s v="SMS"/>
    <n v="17.100000000000001"/>
    <x v="18"/>
    <x v="0"/>
  </r>
  <r>
    <s v="HC-03209"/>
    <s v="P-1799"/>
    <s v="Male"/>
    <n v="69"/>
    <x v="4"/>
    <s v="Follow-up"/>
    <d v="2025-07-30T00:00:00"/>
    <d v="2025-08-18T00:00:00"/>
    <s v="Monday"/>
    <s v="Morning"/>
    <x v="3"/>
    <n v="19"/>
    <n v="3"/>
    <x v="1"/>
    <x v="0"/>
    <s v="SMS"/>
    <n v="12.1"/>
    <x v="10"/>
    <x v="1"/>
  </r>
  <r>
    <s v="HC-03210"/>
    <s v="P-1478"/>
    <s v="Male"/>
    <n v="64"/>
    <x v="3"/>
    <s v="Follow-up"/>
    <d v="2025-03-15T00:00:00"/>
    <d v="2025-05-09T00:00:00"/>
    <s v="Friday"/>
    <s v="Morning"/>
    <x v="2"/>
    <n v="55"/>
    <n v="0"/>
    <x v="0"/>
    <x v="0"/>
    <s v="WhatsApp"/>
    <n v="14.6"/>
    <x v="15"/>
    <x v="0"/>
  </r>
  <r>
    <s v="HC-03211"/>
    <s v="P-0119"/>
    <s v="Male"/>
    <n v="22"/>
    <x v="5"/>
    <s v="Specialist Consultation"/>
    <d v="2026-04-29T00:00:00"/>
    <d v="2026-06-09T00:00:00"/>
    <s v="Tuesday"/>
    <s v="Evening"/>
    <x v="2"/>
    <n v="41"/>
    <n v="2"/>
    <x v="0"/>
    <x v="0"/>
    <s v="WhatsApp"/>
    <n v="7.6"/>
    <x v="15"/>
    <x v="1"/>
  </r>
  <r>
    <s v="HC-03212"/>
    <s v="P-1569"/>
    <s v="Female"/>
    <n v="24"/>
    <x v="5"/>
    <s v="Follow-up"/>
    <d v="2025-05-26T00:00:00"/>
    <d v="2025-05-31T00:00:00"/>
    <s v="Saturday"/>
    <s v="Morning"/>
    <x v="1"/>
    <n v="5"/>
    <n v="3"/>
    <x v="1"/>
    <x v="0"/>
    <s v="Email"/>
    <n v="24.9"/>
    <x v="8"/>
    <x v="1"/>
  </r>
  <r>
    <s v="HC-03213"/>
    <s v="P-1208"/>
    <s v="Female"/>
    <n v="56"/>
    <x v="3"/>
    <s v="Follow-up"/>
    <d v="2025-05-09T00:00:00"/>
    <d v="2025-07-06T00:00:00"/>
    <s v="Sunday"/>
    <s v="Morning"/>
    <x v="2"/>
    <n v="58"/>
    <n v="3"/>
    <x v="1"/>
    <x v="0"/>
    <s v="WhatsApp"/>
    <n v="2.7"/>
    <x v="49"/>
    <x v="0"/>
  </r>
  <r>
    <s v="HC-03214"/>
    <s v="P-1441"/>
    <s v="Male"/>
    <n v="72"/>
    <x v="4"/>
    <s v="General Consultation"/>
    <d v="2026-04-29T00:00:00"/>
    <d v="2026-06-11T00:00:00"/>
    <s v="Thursday"/>
    <s v="Afternoon"/>
    <x v="2"/>
    <n v="43"/>
    <n v="2"/>
    <x v="0"/>
    <x v="1"/>
    <s v="None"/>
    <n v="7.8"/>
    <x v="26"/>
    <x v="2"/>
  </r>
  <r>
    <s v="HC-03215"/>
    <s v="P-0652"/>
    <s v="Male"/>
    <n v="24"/>
    <x v="5"/>
    <s v="Follow-up"/>
    <d v="2025-10-31T00:00:00"/>
    <d v="2025-11-03T00:00:00"/>
    <s v="Monday"/>
    <s v="Afternoon"/>
    <x v="1"/>
    <n v="3"/>
    <n v="2"/>
    <x v="0"/>
    <x v="0"/>
    <s v="WhatsApp"/>
    <n v="7.6"/>
    <x v="46"/>
    <x v="1"/>
  </r>
  <r>
    <s v="HC-03216"/>
    <s v="P-1794"/>
    <s v="Female"/>
    <n v="31"/>
    <x v="1"/>
    <s v="General Consultation"/>
    <d v="2025-04-11T00:00:00"/>
    <d v="2025-05-25T00:00:00"/>
    <s v="Sunday"/>
    <s v="Morning"/>
    <x v="2"/>
    <n v="44"/>
    <n v="3"/>
    <x v="1"/>
    <x v="0"/>
    <s v="SMS"/>
    <n v="5"/>
    <x v="17"/>
    <x v="0"/>
  </r>
  <r>
    <s v="HC-03217"/>
    <s v="P-0727"/>
    <s v="Female"/>
    <n v="52"/>
    <x v="2"/>
    <s v="Follow-up"/>
    <d v="2024-11-29T00:00:00"/>
    <d v="2025-01-03T00:00:00"/>
    <s v="Friday"/>
    <s v="Morning"/>
    <x v="2"/>
    <n v="35"/>
    <n v="2"/>
    <x v="1"/>
    <x v="1"/>
    <s v="None"/>
    <n v="19.100000000000001"/>
    <x v="15"/>
    <x v="0"/>
  </r>
  <r>
    <s v="HC-03218"/>
    <s v="P-1727"/>
    <s v="Male"/>
    <n v="24"/>
    <x v="5"/>
    <s v="Specialist Consultation"/>
    <d v="2025-06-29T00:00:00"/>
    <d v="2025-08-23T00:00:00"/>
    <s v="Saturday"/>
    <s v="Afternoon"/>
    <x v="2"/>
    <n v="55"/>
    <n v="1"/>
    <x v="0"/>
    <x v="0"/>
    <s v="Email"/>
    <n v="0.7"/>
    <x v="0"/>
    <x v="0"/>
  </r>
  <r>
    <s v="HC-03219"/>
    <s v="P-1520"/>
    <s v="Prefer not to say"/>
    <n v="37"/>
    <x v="0"/>
    <s v="General Consultation"/>
    <d v="2026-05-25T00:00:00"/>
    <d v="2026-06-23T00:00:00"/>
    <s v="Tuesday"/>
    <s v="Afternoon"/>
    <x v="3"/>
    <n v="29"/>
    <n v="2"/>
    <x v="0"/>
    <x v="0"/>
    <s v="WhatsApp"/>
    <n v="3.7"/>
    <x v="39"/>
    <x v="1"/>
  </r>
  <r>
    <s v="HC-03220"/>
    <s v="P-1012"/>
    <s v="Female"/>
    <n v="18"/>
    <x v="5"/>
    <s v="Follow-up"/>
    <d v="2025-07-25T00:00:00"/>
    <d v="2025-08-25T00:00:00"/>
    <s v="Monday"/>
    <s v="Afternoon"/>
    <x v="2"/>
    <n v="31"/>
    <n v="6"/>
    <x v="1"/>
    <x v="1"/>
    <s v="None"/>
    <n v="9.1"/>
    <x v="9"/>
    <x v="1"/>
  </r>
  <r>
    <s v="HC-03221"/>
    <s v="P-0399"/>
    <s v="Female"/>
    <n v="49"/>
    <x v="2"/>
    <s v="General Consultation"/>
    <d v="2025-12-29T00:00:00"/>
    <d v="2026-01-17T00:00:00"/>
    <s v="Saturday"/>
    <s v="Afternoon"/>
    <x v="3"/>
    <n v="19"/>
    <n v="6"/>
    <x v="2"/>
    <x v="0"/>
    <s v="SMS"/>
    <n v="6.8"/>
    <x v="19"/>
    <x v="1"/>
  </r>
  <r>
    <s v="HC-03222"/>
    <s v="P-1203"/>
    <s v="Female"/>
    <n v="63"/>
    <x v="3"/>
    <s v="General Consultation"/>
    <d v="2025-04-30T00:00:00"/>
    <d v="2025-05-19T00:00:00"/>
    <s v="Monday"/>
    <s v="Morning"/>
    <x v="3"/>
    <n v="19"/>
    <n v="1"/>
    <x v="0"/>
    <x v="0"/>
    <s v="WhatsApp"/>
    <n v="8"/>
    <x v="10"/>
    <x v="1"/>
  </r>
  <r>
    <s v="HC-03223"/>
    <s v="P-0294"/>
    <s v="Female"/>
    <n v="43"/>
    <x v="0"/>
    <s v="General Consultation"/>
    <d v="2026-01-22T00:00:00"/>
    <d v="2026-02-28T00:00:00"/>
    <s v="Saturday"/>
    <s v="Afternoon"/>
    <x v="2"/>
    <n v="37"/>
    <n v="2"/>
    <x v="0"/>
    <x v="0"/>
    <s v="SMS"/>
    <n v="4"/>
    <x v="49"/>
    <x v="0"/>
  </r>
  <r>
    <s v="HC-03224"/>
    <s v="P-1783"/>
    <s v="Female"/>
    <n v="34"/>
    <x v="1"/>
    <s v="General Consultation"/>
    <d v="2026-01-09T00:00:00"/>
    <d v="2026-02-28T00:00:00"/>
    <s v="Saturday"/>
    <s v="Afternoon"/>
    <x v="2"/>
    <n v="50"/>
    <n v="3"/>
    <x v="1"/>
    <x v="0"/>
    <s v="SMS"/>
    <n v="5.7"/>
    <x v="7"/>
    <x v="0"/>
  </r>
  <r>
    <s v="HC-03225"/>
    <s v="P-0817"/>
    <s v="Male"/>
    <n v="44"/>
    <x v="0"/>
    <s v="Diagnostic Test"/>
    <d v="2025-10-06T00:00:00"/>
    <d v="2025-11-29T00:00:00"/>
    <s v="Saturday"/>
    <s v="Evening"/>
    <x v="2"/>
    <n v="54"/>
    <n v="2"/>
    <x v="1"/>
    <x v="1"/>
    <s v="None"/>
    <n v="16.600000000000001"/>
    <x v="45"/>
    <x v="0"/>
  </r>
  <r>
    <s v="HC-03226"/>
    <s v="P-1634"/>
    <s v="Male"/>
    <n v="50"/>
    <x v="2"/>
    <s v="Diagnostic Test"/>
    <d v="2026-01-10T00:00:00"/>
    <d v="2026-02-26T00:00:00"/>
    <s v="Thursday"/>
    <s v="Morning"/>
    <x v="2"/>
    <n v="47"/>
    <n v="4"/>
    <x v="1"/>
    <x v="0"/>
    <s v="SMS"/>
    <n v="12.8"/>
    <x v="25"/>
    <x v="0"/>
  </r>
  <r>
    <s v="HC-03227"/>
    <s v="P-0663"/>
    <s v="Female"/>
    <n v="28"/>
    <x v="1"/>
    <s v="Specialist Consultation"/>
    <d v="2025-10-07T00:00:00"/>
    <d v="2025-11-13T00:00:00"/>
    <s v="Thursday"/>
    <s v="Morning"/>
    <x v="2"/>
    <n v="37"/>
    <n v="4"/>
    <x v="0"/>
    <x v="1"/>
    <s v="None"/>
    <n v="8.3000000000000007"/>
    <x v="22"/>
    <x v="1"/>
  </r>
  <r>
    <s v="HC-03228"/>
    <s v="P-0867"/>
    <s v="Female"/>
    <n v="25"/>
    <x v="1"/>
    <s v="Follow-up"/>
    <d v="2025-06-26T00:00:00"/>
    <d v="2025-07-26T00:00:00"/>
    <s v="Saturday"/>
    <s v="Afternoon"/>
    <x v="3"/>
    <n v="30"/>
    <n v="3"/>
    <x v="0"/>
    <x v="0"/>
    <s v="SMS"/>
    <n v="14.1"/>
    <x v="13"/>
    <x v="1"/>
  </r>
  <r>
    <s v="HC-03229"/>
    <s v="P-0764"/>
    <s v="Prefer not to say"/>
    <n v="29"/>
    <x v="1"/>
    <s v="Specialist Consultation"/>
    <d v="2026-01-18T00:00:00"/>
    <d v="2026-02-07T00:00:00"/>
    <s v="Saturday"/>
    <s v="Evening"/>
    <x v="3"/>
    <n v="20"/>
    <n v="3"/>
    <x v="1"/>
    <x v="0"/>
    <s v="WhatsApp"/>
    <n v="16.100000000000001"/>
    <x v="8"/>
    <x v="0"/>
  </r>
  <r>
    <s v="HC-03230"/>
    <s v="P-0404"/>
    <s v="Female"/>
    <n v="80"/>
    <x v="4"/>
    <s v="Diagnostic Test"/>
    <d v="2026-02-14T00:00:00"/>
    <d v="2026-04-01T00:00:00"/>
    <s v="Wednesday"/>
    <s v="Evening"/>
    <x v="2"/>
    <n v="46"/>
    <n v="5"/>
    <x v="2"/>
    <x v="0"/>
    <s v="SMS"/>
    <n v="27.7"/>
    <x v="7"/>
    <x v="0"/>
  </r>
  <r>
    <s v="HC-03231"/>
    <s v="P-1791"/>
    <s v="Male"/>
    <n v="63"/>
    <x v="3"/>
    <s v="Follow-up"/>
    <d v="2026-03-17T00:00:00"/>
    <d v="2026-04-05T00:00:00"/>
    <s v="Sunday"/>
    <s v="Morning"/>
    <x v="3"/>
    <n v="19"/>
    <n v="2"/>
    <x v="0"/>
    <x v="0"/>
    <s v="Email"/>
    <n v="13.6"/>
    <x v="27"/>
    <x v="0"/>
  </r>
  <r>
    <s v="HC-03232"/>
    <s v="P-0300"/>
    <s v="Female"/>
    <n v="25"/>
    <x v="1"/>
    <s v="General Consultation"/>
    <d v="2025-04-11T00:00:00"/>
    <d v="2025-04-27T00:00:00"/>
    <s v="Sunday"/>
    <s v="Afternoon"/>
    <x v="3"/>
    <n v="16"/>
    <n v="6"/>
    <x v="1"/>
    <x v="1"/>
    <s v="None"/>
    <n v="15.7"/>
    <x v="5"/>
    <x v="0"/>
  </r>
  <r>
    <s v="HC-03233"/>
    <s v="P-1532"/>
    <s v="Male"/>
    <n v="36"/>
    <x v="0"/>
    <s v="Specialist Consultation"/>
    <d v="2025-11-14T00:00:00"/>
    <d v="2026-01-05T00:00:00"/>
    <s v="Monday"/>
    <s v="Morning"/>
    <x v="2"/>
    <n v="52"/>
    <n v="2"/>
    <x v="1"/>
    <x v="0"/>
    <s v="SMS"/>
    <n v="4.7"/>
    <x v="2"/>
    <x v="1"/>
  </r>
  <r>
    <s v="HC-03234"/>
    <s v="P-0252"/>
    <s v="Male"/>
    <n v="43"/>
    <x v="0"/>
    <s v="Diagnostic Test"/>
    <d v="2024-11-29T00:00:00"/>
    <d v="2025-01-03T00:00:00"/>
    <s v="Friday"/>
    <s v="Afternoon"/>
    <x v="2"/>
    <n v="35"/>
    <n v="4"/>
    <x v="0"/>
    <x v="0"/>
    <s v="SMS"/>
    <n v="11.4"/>
    <x v="11"/>
    <x v="1"/>
  </r>
  <r>
    <s v="HC-03235"/>
    <s v="P-0237"/>
    <s v="Female"/>
    <n v="29"/>
    <x v="1"/>
    <s v="General Consultation"/>
    <d v="2025-10-19T00:00:00"/>
    <d v="2025-11-09T00:00:00"/>
    <s v="Sunday"/>
    <s v="Afternoon"/>
    <x v="3"/>
    <n v="21"/>
    <n v="2"/>
    <x v="1"/>
    <x v="0"/>
    <s v="SMS"/>
    <n v="8.8000000000000007"/>
    <x v="26"/>
    <x v="1"/>
  </r>
  <r>
    <s v="HC-03236"/>
    <s v="P-0036"/>
    <s v="Male"/>
    <n v="71"/>
    <x v="4"/>
    <s v="Follow-up"/>
    <d v="2025-09-17T00:00:00"/>
    <d v="2025-11-08T00:00:00"/>
    <s v="Saturday"/>
    <s v="Afternoon"/>
    <x v="2"/>
    <n v="52"/>
    <n v="4"/>
    <x v="1"/>
    <x v="0"/>
    <s v="SMS"/>
    <n v="16"/>
    <x v="12"/>
    <x v="0"/>
  </r>
  <r>
    <s v="HC-03237"/>
    <s v="P-1533"/>
    <s v="Male"/>
    <n v="77"/>
    <x v="4"/>
    <s v="General Consultation"/>
    <d v="2025-05-21T00:00:00"/>
    <d v="2025-07-18T00:00:00"/>
    <s v="Friday"/>
    <s v="Morning"/>
    <x v="2"/>
    <n v="58"/>
    <n v="1"/>
    <x v="0"/>
    <x v="0"/>
    <s v="SMS"/>
    <n v="15.4"/>
    <x v="40"/>
    <x v="0"/>
  </r>
  <r>
    <s v="HC-03238"/>
    <s v="P-1354"/>
    <s v="Female"/>
    <n v="33"/>
    <x v="1"/>
    <s v="General Consultation"/>
    <d v="2026-06-08T00:00:00"/>
    <d v="2026-06-27T00:00:00"/>
    <s v="Saturday"/>
    <s v="Evening"/>
    <x v="3"/>
    <n v="19"/>
    <n v="4"/>
    <x v="0"/>
    <x v="0"/>
    <s v="WhatsApp"/>
    <n v="15.1"/>
    <x v="42"/>
    <x v="1"/>
  </r>
  <r>
    <s v="HC-03239"/>
    <s v="P-1387"/>
    <s v="Male"/>
    <n v="19"/>
    <x v="5"/>
    <s v="Specialist Consultation"/>
    <d v="2026-03-28T00:00:00"/>
    <d v="2026-04-28T00:00:00"/>
    <s v="Tuesday"/>
    <s v="Morning"/>
    <x v="2"/>
    <n v="31"/>
    <n v="2"/>
    <x v="0"/>
    <x v="1"/>
    <s v="None"/>
    <n v="18.5"/>
    <x v="8"/>
    <x v="2"/>
  </r>
  <r>
    <s v="HC-03240"/>
    <s v="P-0960"/>
    <s v="Female"/>
    <n v="34"/>
    <x v="1"/>
    <s v="General Consultation"/>
    <d v="2024-12-24T00:00:00"/>
    <d v="2025-01-22T00:00:00"/>
    <s v="Wednesday"/>
    <s v="Afternoon"/>
    <x v="3"/>
    <n v="29"/>
    <n v="3"/>
    <x v="2"/>
    <x v="0"/>
    <s v="Email"/>
    <n v="12.2"/>
    <x v="9"/>
    <x v="1"/>
  </r>
  <r>
    <s v="HC-03241"/>
    <s v="P-0368"/>
    <s v="Female"/>
    <n v="54"/>
    <x v="2"/>
    <s v="Diagnostic Test"/>
    <d v="2025-03-14T00:00:00"/>
    <d v="2025-04-25T00:00:00"/>
    <s v="Friday"/>
    <s v="Afternoon"/>
    <x v="2"/>
    <n v="42"/>
    <n v="0"/>
    <x v="0"/>
    <x v="0"/>
    <s v="Email"/>
    <n v="5"/>
    <x v="15"/>
    <x v="0"/>
  </r>
  <r>
    <s v="HC-03242"/>
    <s v="P-0818"/>
    <s v="Prefer not to say"/>
    <n v="68"/>
    <x v="4"/>
    <s v="Specialist Consultation"/>
    <d v="2025-02-25T00:00:00"/>
    <d v="2025-04-24T00:00:00"/>
    <s v="Thursday"/>
    <s v="Afternoon"/>
    <x v="2"/>
    <n v="58"/>
    <n v="5"/>
    <x v="1"/>
    <x v="0"/>
    <s v="WhatsApp"/>
    <n v="13"/>
    <x v="20"/>
    <x v="0"/>
  </r>
  <r>
    <s v="HC-03243"/>
    <s v="P-1455"/>
    <s v="Female"/>
    <n v="39"/>
    <x v="0"/>
    <s v="General Consultation"/>
    <d v="2026-04-03T00:00:00"/>
    <d v="2026-05-06T00:00:00"/>
    <s v="Wednesday"/>
    <s v="Afternoon"/>
    <x v="2"/>
    <n v="33"/>
    <n v="2"/>
    <x v="0"/>
    <x v="0"/>
    <s v="SMS"/>
    <n v="15.8"/>
    <x v="54"/>
    <x v="1"/>
  </r>
  <r>
    <s v="HC-03244"/>
    <s v="P-0003"/>
    <s v="Female"/>
    <n v="35"/>
    <x v="0"/>
    <s v="Specialist Consultation"/>
    <d v="2025-08-24T00:00:00"/>
    <d v="2025-10-11T00:00:00"/>
    <s v="Saturday"/>
    <s v="Afternoon"/>
    <x v="2"/>
    <n v="48"/>
    <n v="2"/>
    <x v="0"/>
    <x v="0"/>
    <s v="SMS"/>
    <n v="16.2"/>
    <x v="14"/>
    <x v="2"/>
  </r>
  <r>
    <s v="HC-03245"/>
    <s v="P-1077"/>
    <s v="Female"/>
    <n v="33"/>
    <x v="1"/>
    <s v="Specialist Consultation"/>
    <d v="2025-12-28T00:00:00"/>
    <d v="2026-02-02T00:00:00"/>
    <s v="Monday"/>
    <s v="Morning"/>
    <x v="2"/>
    <n v="36"/>
    <n v="6"/>
    <x v="2"/>
    <x v="1"/>
    <s v="None"/>
    <n v="6.2"/>
    <x v="24"/>
    <x v="1"/>
  </r>
  <r>
    <s v="HC-03246"/>
    <s v="P-0854"/>
    <s v="Prefer not to say"/>
    <n v="18"/>
    <x v="5"/>
    <s v="Follow-up"/>
    <d v="2026-01-24T00:00:00"/>
    <d v="2026-03-19T00:00:00"/>
    <s v="Thursday"/>
    <s v="Morning"/>
    <x v="2"/>
    <n v="54"/>
    <n v="4"/>
    <x v="0"/>
    <x v="0"/>
    <s v="SMS"/>
    <n v="1.5"/>
    <x v="13"/>
    <x v="0"/>
  </r>
  <r>
    <s v="HC-03247"/>
    <s v="P-0285"/>
    <s v="Female"/>
    <n v="18"/>
    <x v="5"/>
    <s v="Follow-up"/>
    <d v="2026-01-31T00:00:00"/>
    <d v="2026-02-24T00:00:00"/>
    <s v="Tuesday"/>
    <s v="Afternoon"/>
    <x v="3"/>
    <n v="24"/>
    <n v="2"/>
    <x v="0"/>
    <x v="0"/>
    <s v="SMS"/>
    <n v="20.7"/>
    <x v="18"/>
    <x v="1"/>
  </r>
  <r>
    <s v="HC-03248"/>
    <s v="P-0027"/>
    <s v="Female"/>
    <n v="44"/>
    <x v="0"/>
    <s v="Specialist Consultation"/>
    <d v="2025-01-26T00:00:00"/>
    <d v="2025-02-18T00:00:00"/>
    <s v="Tuesday"/>
    <s v="Afternoon"/>
    <x v="3"/>
    <n v="23"/>
    <n v="4"/>
    <x v="0"/>
    <x v="0"/>
    <s v="Email"/>
    <n v="5.8"/>
    <x v="12"/>
    <x v="1"/>
  </r>
  <r>
    <s v="HC-03249"/>
    <s v="P-0575"/>
    <s v="Male"/>
    <n v="56"/>
    <x v="3"/>
    <s v="Follow-up"/>
    <d v="2025-02-21T00:00:00"/>
    <d v="2025-03-18T00:00:00"/>
    <s v="Tuesday"/>
    <s v="Afternoon"/>
    <x v="3"/>
    <n v="25"/>
    <n v="2"/>
    <x v="0"/>
    <x v="0"/>
    <s v="WhatsApp"/>
    <n v="7.7"/>
    <x v="46"/>
    <x v="1"/>
  </r>
  <r>
    <s v="HC-03250"/>
    <s v="P-1243"/>
    <s v="Male"/>
    <n v="18"/>
    <x v="5"/>
    <s v="General Consultation"/>
    <d v="2025-06-05T00:00:00"/>
    <d v="2025-08-04T00:00:00"/>
    <s v="Monday"/>
    <s v="Morning"/>
    <x v="2"/>
    <n v="60"/>
    <n v="1"/>
    <x v="0"/>
    <x v="1"/>
    <s v="None"/>
    <n v="6.8"/>
    <x v="5"/>
    <x v="1"/>
  </r>
  <r>
    <s v="HC-03251"/>
    <s v="P-0628"/>
    <s v="Male"/>
    <n v="30"/>
    <x v="1"/>
    <s v="General Consultation"/>
    <d v="2025-05-28T00:00:00"/>
    <d v="2025-07-04T00:00:00"/>
    <s v="Friday"/>
    <s v="Morning"/>
    <x v="2"/>
    <n v="37"/>
    <n v="5"/>
    <x v="3"/>
    <x v="0"/>
    <s v="WhatsApp"/>
    <n v="9.9"/>
    <x v="6"/>
    <x v="0"/>
  </r>
  <r>
    <s v="HC-03252"/>
    <s v="P-1776"/>
    <s v="Prefer not to say"/>
    <n v="75"/>
    <x v="4"/>
    <s v="General Consultation"/>
    <d v="2026-02-03T00:00:00"/>
    <d v="2026-02-12T00:00:00"/>
    <s v="Thursday"/>
    <s v="Afternoon"/>
    <x v="0"/>
    <n v="9"/>
    <n v="0"/>
    <x v="0"/>
    <x v="1"/>
    <s v="None"/>
    <n v="6.8"/>
    <x v="6"/>
    <x v="0"/>
  </r>
  <r>
    <s v="HC-03253"/>
    <s v="P-0561"/>
    <s v="Female"/>
    <n v="80"/>
    <x v="4"/>
    <s v="Follow-up"/>
    <d v="2025-03-25T00:00:00"/>
    <d v="2025-03-27T00:00:00"/>
    <s v="Thursday"/>
    <s v="Afternoon"/>
    <x v="1"/>
    <n v="2"/>
    <n v="4"/>
    <x v="2"/>
    <x v="0"/>
    <s v="WhatsApp"/>
    <n v="9.3000000000000007"/>
    <x v="12"/>
    <x v="0"/>
  </r>
  <r>
    <s v="HC-03254"/>
    <s v="P-1603"/>
    <s v="Male"/>
    <n v="58"/>
    <x v="3"/>
    <s v="General Consultation"/>
    <d v="2025-06-21T00:00:00"/>
    <d v="2025-07-22T00:00:00"/>
    <s v="Tuesday"/>
    <s v="Afternoon"/>
    <x v="2"/>
    <n v="31"/>
    <n v="3"/>
    <x v="0"/>
    <x v="1"/>
    <s v="None"/>
    <n v="4.7"/>
    <x v="17"/>
    <x v="1"/>
  </r>
  <r>
    <s v="HC-03255"/>
    <s v="P-1363"/>
    <s v="Male"/>
    <n v="50"/>
    <x v="2"/>
    <s v="Follow-up"/>
    <d v="2025-03-22T00:00:00"/>
    <d v="2025-05-10T00:00:00"/>
    <s v="Saturday"/>
    <s v="Afternoon"/>
    <x v="2"/>
    <n v="49"/>
    <n v="4"/>
    <x v="0"/>
    <x v="0"/>
    <s v="WhatsApp"/>
    <n v="19.2"/>
    <x v="24"/>
    <x v="1"/>
  </r>
  <r>
    <s v="HC-03256"/>
    <s v="P-0348"/>
    <s v="Female"/>
    <n v="54"/>
    <x v="2"/>
    <s v="Follow-up"/>
    <d v="2025-03-16T00:00:00"/>
    <d v="2025-04-14T00:00:00"/>
    <s v="Monday"/>
    <s v="Morning"/>
    <x v="3"/>
    <n v="29"/>
    <n v="6"/>
    <x v="3"/>
    <x v="1"/>
    <s v="None"/>
    <n v="12.5"/>
    <x v="25"/>
    <x v="0"/>
  </r>
  <r>
    <s v="HC-03257"/>
    <s v="P-0458"/>
    <s v="Male"/>
    <n v="41"/>
    <x v="0"/>
    <s v="Specialist Consultation"/>
    <d v="2025-03-02T00:00:00"/>
    <d v="2025-04-05T00:00:00"/>
    <s v="Saturday"/>
    <s v="Morning"/>
    <x v="2"/>
    <n v="34"/>
    <n v="0"/>
    <x v="0"/>
    <x v="0"/>
    <s v="Email"/>
    <n v="9.1999999999999993"/>
    <x v="48"/>
    <x v="1"/>
  </r>
  <r>
    <s v="HC-03258"/>
    <s v="P-1152"/>
    <s v="Male"/>
    <n v="30"/>
    <x v="1"/>
    <s v="Follow-up"/>
    <d v="2025-02-28T00:00:00"/>
    <d v="2025-04-17T00:00:00"/>
    <s v="Thursday"/>
    <s v="Morning"/>
    <x v="2"/>
    <n v="48"/>
    <n v="4"/>
    <x v="2"/>
    <x v="0"/>
    <s v="Email"/>
    <n v="1.1000000000000001"/>
    <x v="19"/>
    <x v="0"/>
  </r>
  <r>
    <s v="HC-03259"/>
    <s v="P-0201"/>
    <s v="Female"/>
    <n v="41"/>
    <x v="0"/>
    <s v="Diagnostic Test"/>
    <d v="2025-10-05T00:00:00"/>
    <d v="2025-11-05T00:00:00"/>
    <s v="Wednesday"/>
    <s v="Afternoon"/>
    <x v="2"/>
    <n v="31"/>
    <n v="5"/>
    <x v="0"/>
    <x v="0"/>
    <s v="Email"/>
    <n v="4"/>
    <x v="7"/>
    <x v="1"/>
  </r>
  <r>
    <s v="HC-03260"/>
    <s v="P-0480"/>
    <s v="Female"/>
    <n v="62"/>
    <x v="3"/>
    <s v="Diagnostic Test"/>
    <d v="2025-06-18T00:00:00"/>
    <d v="2025-08-12T00:00:00"/>
    <s v="Tuesday"/>
    <s v="Morning"/>
    <x v="2"/>
    <n v="55"/>
    <n v="3"/>
    <x v="1"/>
    <x v="0"/>
    <s v="SMS"/>
    <n v="14.1"/>
    <x v="27"/>
    <x v="0"/>
  </r>
  <r>
    <s v="HC-03261"/>
    <s v="P-1091"/>
    <s v="Female"/>
    <n v="59"/>
    <x v="3"/>
    <s v="General Consultation"/>
    <d v="2025-07-19T00:00:00"/>
    <d v="2025-08-26T00:00:00"/>
    <s v="Tuesday"/>
    <s v="Morning"/>
    <x v="2"/>
    <n v="38"/>
    <n v="1"/>
    <x v="0"/>
    <x v="0"/>
    <s v="WhatsApp"/>
    <n v="4.5"/>
    <x v="11"/>
    <x v="0"/>
  </r>
  <r>
    <s v="HC-03262"/>
    <s v="P-0974"/>
    <s v="Male"/>
    <n v="60"/>
    <x v="3"/>
    <s v="Follow-up"/>
    <d v="2025-08-06T00:00:00"/>
    <d v="2025-09-19T00:00:00"/>
    <s v="Friday"/>
    <s v="Evening"/>
    <x v="2"/>
    <n v="44"/>
    <n v="2"/>
    <x v="0"/>
    <x v="0"/>
    <s v="SMS"/>
    <n v="11.7"/>
    <x v="28"/>
    <x v="0"/>
  </r>
  <r>
    <s v="HC-03263"/>
    <s v="P-0921"/>
    <s v="Female"/>
    <n v="56"/>
    <x v="3"/>
    <s v="General Consultation"/>
    <d v="2025-12-24T00:00:00"/>
    <d v="2026-02-09T00:00:00"/>
    <s v="Monday"/>
    <s v="Morning"/>
    <x v="2"/>
    <n v="47"/>
    <n v="2"/>
    <x v="1"/>
    <x v="0"/>
    <s v="WhatsApp"/>
    <n v="7"/>
    <x v="27"/>
    <x v="0"/>
  </r>
  <r>
    <s v="HC-03264"/>
    <s v="P-0827"/>
    <s v="Male"/>
    <n v="21"/>
    <x v="5"/>
    <s v="Specialist Consultation"/>
    <d v="2026-03-09T00:00:00"/>
    <d v="2026-04-16T00:00:00"/>
    <s v="Thursday"/>
    <s v="Afternoon"/>
    <x v="2"/>
    <n v="38"/>
    <n v="3"/>
    <x v="0"/>
    <x v="0"/>
    <s v="SMS"/>
    <n v="9.3000000000000007"/>
    <x v="2"/>
    <x v="0"/>
  </r>
  <r>
    <s v="HC-03265"/>
    <s v="P-0134"/>
    <s v="Female"/>
    <n v="57"/>
    <x v="3"/>
    <s v="Follow-up"/>
    <d v="2025-10-12T00:00:00"/>
    <d v="2025-10-15T00:00:00"/>
    <s v="Wednesday"/>
    <s v="Morning"/>
    <x v="1"/>
    <n v="3"/>
    <n v="3"/>
    <x v="0"/>
    <x v="0"/>
    <s v="SMS"/>
    <n v="7.2"/>
    <x v="27"/>
    <x v="1"/>
  </r>
  <r>
    <s v="HC-03266"/>
    <s v="P-0464"/>
    <s v="Prefer not to say"/>
    <n v="73"/>
    <x v="4"/>
    <s v="General Consultation"/>
    <d v="2025-11-21T00:00:00"/>
    <d v="2025-12-17T00:00:00"/>
    <s v="Wednesday"/>
    <s v="Morning"/>
    <x v="3"/>
    <n v="26"/>
    <n v="2"/>
    <x v="0"/>
    <x v="0"/>
    <s v="SMS"/>
    <n v="7.7"/>
    <x v="37"/>
    <x v="1"/>
  </r>
  <r>
    <s v="HC-03267"/>
    <s v="P-1793"/>
    <s v="Male"/>
    <n v="58"/>
    <x v="3"/>
    <s v="General Consultation"/>
    <d v="2026-01-31T00:00:00"/>
    <d v="2026-02-08T00:00:00"/>
    <s v="Sunday"/>
    <s v="Morning"/>
    <x v="0"/>
    <n v="8"/>
    <n v="5"/>
    <x v="3"/>
    <x v="0"/>
    <s v="SMS"/>
    <n v="13.8"/>
    <x v="48"/>
    <x v="1"/>
  </r>
  <r>
    <s v="HC-03268"/>
    <s v="P-0972"/>
    <s v="Female"/>
    <n v="54"/>
    <x v="2"/>
    <s v="Follow-up"/>
    <d v="2025-12-12T00:00:00"/>
    <d v="2026-01-12T00:00:00"/>
    <s v="Monday"/>
    <s v="Afternoon"/>
    <x v="2"/>
    <n v="31"/>
    <n v="2"/>
    <x v="0"/>
    <x v="0"/>
    <s v="SMS"/>
    <n v="14.1"/>
    <x v="2"/>
    <x v="1"/>
  </r>
  <r>
    <s v="HC-03269"/>
    <s v="P-0599"/>
    <s v="Female"/>
    <n v="32"/>
    <x v="1"/>
    <s v="Specialist Consultation"/>
    <d v="2025-03-07T00:00:00"/>
    <d v="2025-03-15T00:00:00"/>
    <s v="Saturday"/>
    <s v="Afternoon"/>
    <x v="0"/>
    <n v="8"/>
    <n v="3"/>
    <x v="0"/>
    <x v="0"/>
    <s v="SMS"/>
    <n v="9.9"/>
    <x v="50"/>
    <x v="0"/>
  </r>
  <r>
    <s v="HC-03270"/>
    <s v="P-1221"/>
    <s v="Male"/>
    <n v="67"/>
    <x v="4"/>
    <s v="Specialist Consultation"/>
    <d v="2026-05-21T00:00:00"/>
    <d v="2026-06-21T00:00:00"/>
    <s v="Sunday"/>
    <s v="Afternoon"/>
    <x v="2"/>
    <n v="31"/>
    <n v="2"/>
    <x v="0"/>
    <x v="0"/>
    <s v="WhatsApp"/>
    <n v="14.4"/>
    <x v="47"/>
    <x v="1"/>
  </r>
  <r>
    <s v="HC-03271"/>
    <s v="P-0900"/>
    <s v="Female"/>
    <n v="46"/>
    <x v="2"/>
    <s v="General Consultation"/>
    <d v="2025-03-11T00:00:00"/>
    <d v="2025-03-31T00:00:00"/>
    <s v="Monday"/>
    <s v="Evening"/>
    <x v="3"/>
    <n v="20"/>
    <n v="4"/>
    <x v="1"/>
    <x v="0"/>
    <s v="Email"/>
    <n v="3.1"/>
    <x v="7"/>
    <x v="0"/>
  </r>
  <r>
    <s v="HC-03272"/>
    <s v="P-1235"/>
    <s v="Female"/>
    <n v="34"/>
    <x v="1"/>
    <s v="General Consultation"/>
    <d v="2025-08-12T00:00:00"/>
    <d v="2025-08-13T00:00:00"/>
    <s v="Wednesday"/>
    <s v="Morning"/>
    <x v="1"/>
    <n v="1"/>
    <n v="4"/>
    <x v="2"/>
    <x v="1"/>
    <s v="None"/>
    <n v="8.6999999999999993"/>
    <x v="1"/>
    <x v="1"/>
  </r>
  <r>
    <s v="HC-03273"/>
    <s v="P-1280"/>
    <s v="Male"/>
    <n v="48"/>
    <x v="2"/>
    <s v="Follow-up"/>
    <d v="2025-12-16T00:00:00"/>
    <d v="2025-12-23T00:00:00"/>
    <s v="Tuesday"/>
    <s v="Afternoon"/>
    <x v="1"/>
    <n v="7"/>
    <n v="3"/>
    <x v="2"/>
    <x v="1"/>
    <s v="None"/>
    <n v="6.4"/>
    <x v="15"/>
    <x v="2"/>
  </r>
  <r>
    <s v="HC-03274"/>
    <s v="P-0329"/>
    <s v="Male"/>
    <n v="25"/>
    <x v="1"/>
    <s v="Follow-up"/>
    <d v="2025-07-10T00:00:00"/>
    <d v="2025-08-09T00:00:00"/>
    <s v="Saturday"/>
    <s v="Morning"/>
    <x v="3"/>
    <n v="30"/>
    <n v="1"/>
    <x v="0"/>
    <x v="0"/>
    <s v="WhatsApp"/>
    <n v="6.2"/>
    <x v="16"/>
    <x v="1"/>
  </r>
  <r>
    <s v="HC-03275"/>
    <s v="P-0373"/>
    <s v="Male"/>
    <n v="76"/>
    <x v="4"/>
    <s v="General Consultation"/>
    <d v="2025-05-09T00:00:00"/>
    <d v="2025-05-13T00:00:00"/>
    <s v="Tuesday"/>
    <s v="Afternoon"/>
    <x v="1"/>
    <n v="4"/>
    <n v="3"/>
    <x v="1"/>
    <x v="0"/>
    <s v="SMS"/>
    <n v="5.8"/>
    <x v="15"/>
    <x v="1"/>
  </r>
  <r>
    <s v="HC-03276"/>
    <s v="P-0037"/>
    <s v="Male"/>
    <n v="62"/>
    <x v="3"/>
    <s v="General Consultation"/>
    <d v="2026-03-29T00:00:00"/>
    <d v="2026-05-20T00:00:00"/>
    <s v="Wednesday"/>
    <s v="Afternoon"/>
    <x v="2"/>
    <n v="52"/>
    <n v="1"/>
    <x v="0"/>
    <x v="0"/>
    <s v="SMS"/>
    <n v="17.8"/>
    <x v="37"/>
    <x v="0"/>
  </r>
  <r>
    <s v="HC-03277"/>
    <s v="P-1028"/>
    <s v="Male"/>
    <n v="38"/>
    <x v="0"/>
    <s v="Diagnostic Test"/>
    <d v="2024-12-25T00:00:00"/>
    <d v="2025-02-09T00:00:00"/>
    <s v="Sunday"/>
    <s v="Morning"/>
    <x v="2"/>
    <n v="46"/>
    <n v="1"/>
    <x v="0"/>
    <x v="0"/>
    <s v="WhatsApp"/>
    <n v="3.9"/>
    <x v="32"/>
    <x v="1"/>
  </r>
  <r>
    <s v="HC-03278"/>
    <s v="P-1433"/>
    <s v="Male"/>
    <n v="68"/>
    <x v="4"/>
    <s v="Follow-up"/>
    <d v="2025-04-02T00:00:00"/>
    <d v="2025-05-15T00:00:00"/>
    <s v="Thursday"/>
    <s v="Evening"/>
    <x v="2"/>
    <n v="43"/>
    <n v="3"/>
    <x v="1"/>
    <x v="0"/>
    <s v="SMS"/>
    <n v="5.8"/>
    <x v="13"/>
    <x v="2"/>
  </r>
  <r>
    <s v="HC-03279"/>
    <s v="P-1048"/>
    <s v="Female"/>
    <n v="21"/>
    <x v="5"/>
    <s v="Specialist Consultation"/>
    <d v="2026-06-17T00:00:00"/>
    <d v="2026-06-27T00:00:00"/>
    <s v="Saturday"/>
    <s v="Afternoon"/>
    <x v="0"/>
    <n v="10"/>
    <n v="3"/>
    <x v="0"/>
    <x v="0"/>
    <s v="WhatsApp"/>
    <n v="9.8000000000000007"/>
    <x v="25"/>
    <x v="1"/>
  </r>
  <r>
    <s v="HC-03280"/>
    <s v="P-1189"/>
    <s v="Male"/>
    <n v="42"/>
    <x v="0"/>
    <s v="Follow-up"/>
    <d v="2025-12-17T00:00:00"/>
    <d v="2026-02-03T00:00:00"/>
    <s v="Tuesday"/>
    <s v="Morning"/>
    <x v="2"/>
    <n v="48"/>
    <n v="7"/>
    <x v="1"/>
    <x v="1"/>
    <s v="None"/>
    <n v="6"/>
    <x v="22"/>
    <x v="0"/>
  </r>
  <r>
    <s v="HC-03281"/>
    <s v="P-1248"/>
    <s v="Male"/>
    <n v="59"/>
    <x v="3"/>
    <s v="Follow-up"/>
    <d v="2025-01-10T00:00:00"/>
    <d v="2025-02-17T00:00:00"/>
    <s v="Monday"/>
    <s v="Morning"/>
    <x v="2"/>
    <n v="38"/>
    <n v="6"/>
    <x v="1"/>
    <x v="0"/>
    <s v="SMS"/>
    <n v="6"/>
    <x v="0"/>
    <x v="1"/>
  </r>
  <r>
    <s v="HC-03282"/>
    <s v="P-0818"/>
    <s v="Male"/>
    <n v="19"/>
    <x v="5"/>
    <s v="Follow-up"/>
    <d v="2026-01-24T00:00:00"/>
    <d v="2026-02-16T00:00:00"/>
    <s v="Monday"/>
    <s v="Afternoon"/>
    <x v="3"/>
    <n v="23"/>
    <n v="5"/>
    <x v="1"/>
    <x v="0"/>
    <s v="SMS"/>
    <n v="6.6"/>
    <x v="6"/>
    <x v="0"/>
  </r>
  <r>
    <s v="HC-03283"/>
    <s v="P-1381"/>
    <s v="Prefer not to say"/>
    <n v="62"/>
    <x v="3"/>
    <s v="General Consultation"/>
    <d v="2026-06-14T00:00:00"/>
    <d v="2026-06-14T00:00:00"/>
    <s v="Sunday"/>
    <s v="Afternoon"/>
    <x v="1"/>
    <n v="0"/>
    <n v="2"/>
    <x v="0"/>
    <x v="0"/>
    <s v="WhatsApp"/>
    <n v="12.7"/>
    <x v="17"/>
    <x v="1"/>
  </r>
  <r>
    <s v="HC-03284"/>
    <s v="P-1141"/>
    <s v="Female"/>
    <n v="69"/>
    <x v="4"/>
    <s v="General Consultation"/>
    <d v="2025-01-22T00:00:00"/>
    <d v="2025-02-23T00:00:00"/>
    <s v="Sunday"/>
    <s v="Morning"/>
    <x v="2"/>
    <n v="32"/>
    <n v="6"/>
    <x v="1"/>
    <x v="0"/>
    <s v="SMS"/>
    <n v="18.399999999999999"/>
    <x v="36"/>
    <x v="0"/>
  </r>
  <r>
    <s v="HC-03285"/>
    <s v="P-0651"/>
    <s v="Male"/>
    <n v="55"/>
    <x v="3"/>
    <s v="Diagnostic Test"/>
    <d v="2025-06-28T00:00:00"/>
    <d v="2025-08-15T00:00:00"/>
    <s v="Friday"/>
    <s v="Afternoon"/>
    <x v="2"/>
    <n v="48"/>
    <n v="4"/>
    <x v="0"/>
    <x v="0"/>
    <s v="SMS"/>
    <n v="14"/>
    <x v="9"/>
    <x v="1"/>
  </r>
  <r>
    <s v="HC-03286"/>
    <s v="P-1595"/>
    <s v="Female"/>
    <n v="30"/>
    <x v="1"/>
    <s v="Specialist Consultation"/>
    <d v="2025-09-11T00:00:00"/>
    <d v="2025-09-13T00:00:00"/>
    <s v="Saturday"/>
    <s v="Morning"/>
    <x v="1"/>
    <n v="2"/>
    <n v="1"/>
    <x v="0"/>
    <x v="0"/>
    <s v="SMS"/>
    <n v="26.5"/>
    <x v="0"/>
    <x v="1"/>
  </r>
  <r>
    <s v="HC-03287"/>
    <s v="P-1006"/>
    <s v="Female"/>
    <n v="65"/>
    <x v="4"/>
    <s v="Specialist Consultation"/>
    <d v="2025-03-10T00:00:00"/>
    <d v="2025-03-13T00:00:00"/>
    <s v="Thursday"/>
    <s v="Evening"/>
    <x v="1"/>
    <n v="3"/>
    <n v="8"/>
    <x v="2"/>
    <x v="0"/>
    <s v="WhatsApp"/>
    <n v="23.3"/>
    <x v="50"/>
    <x v="0"/>
  </r>
  <r>
    <s v="HC-03288"/>
    <s v="P-0658"/>
    <s v="Female"/>
    <n v="39"/>
    <x v="0"/>
    <s v="General Consultation"/>
    <d v="2025-03-28T00:00:00"/>
    <d v="2025-04-20T00:00:00"/>
    <s v="Sunday"/>
    <s v="Morning"/>
    <x v="3"/>
    <n v="23"/>
    <n v="1"/>
    <x v="0"/>
    <x v="1"/>
    <s v="None"/>
    <n v="2"/>
    <x v="0"/>
    <x v="1"/>
  </r>
  <r>
    <s v="HC-03289"/>
    <s v="P-0525"/>
    <s v="Male"/>
    <n v="64"/>
    <x v="3"/>
    <s v="General Consultation"/>
    <d v="2025-03-05T00:00:00"/>
    <d v="2025-04-05T00:00:00"/>
    <s v="Saturday"/>
    <s v="Afternoon"/>
    <x v="2"/>
    <n v="31"/>
    <n v="1"/>
    <x v="1"/>
    <x v="0"/>
    <s v="WhatsApp"/>
    <n v="18"/>
    <x v="48"/>
    <x v="1"/>
  </r>
  <r>
    <s v="HC-03290"/>
    <s v="P-0804"/>
    <s v="Female"/>
    <n v="57"/>
    <x v="3"/>
    <s v="General Consultation"/>
    <d v="2025-03-15T00:00:00"/>
    <d v="2025-04-12T00:00:00"/>
    <s v="Saturday"/>
    <s v="Afternoon"/>
    <x v="3"/>
    <n v="28"/>
    <n v="5"/>
    <x v="1"/>
    <x v="1"/>
    <s v="None"/>
    <n v="22.8"/>
    <x v="37"/>
    <x v="1"/>
  </r>
  <r>
    <s v="HC-03291"/>
    <s v="P-1037"/>
    <s v="Male"/>
    <n v="23"/>
    <x v="5"/>
    <s v="Diagnostic Test"/>
    <d v="2025-07-15T00:00:00"/>
    <d v="2025-08-09T00:00:00"/>
    <s v="Saturday"/>
    <s v="Afternoon"/>
    <x v="3"/>
    <n v="25"/>
    <n v="1"/>
    <x v="0"/>
    <x v="0"/>
    <s v="SMS"/>
    <n v="12.3"/>
    <x v="12"/>
    <x v="0"/>
  </r>
  <r>
    <s v="HC-03292"/>
    <s v="P-0941"/>
    <s v="Male"/>
    <n v="24"/>
    <x v="5"/>
    <s v="Specialist Consultation"/>
    <d v="2025-08-27T00:00:00"/>
    <d v="2025-09-11T00:00:00"/>
    <s v="Thursday"/>
    <s v="Evening"/>
    <x v="3"/>
    <n v="15"/>
    <n v="6"/>
    <x v="3"/>
    <x v="0"/>
    <s v="WhatsApp"/>
    <n v="7.7"/>
    <x v="9"/>
    <x v="0"/>
  </r>
  <r>
    <s v="HC-03293"/>
    <s v="P-1076"/>
    <s v="Male"/>
    <n v="18"/>
    <x v="5"/>
    <s v="Follow-up"/>
    <d v="2025-05-07T00:00:00"/>
    <d v="2025-05-10T00:00:00"/>
    <s v="Saturday"/>
    <s v="Evening"/>
    <x v="1"/>
    <n v="3"/>
    <n v="1"/>
    <x v="0"/>
    <x v="1"/>
    <s v="None"/>
    <n v="4.5"/>
    <x v="25"/>
    <x v="1"/>
  </r>
  <r>
    <s v="HC-03294"/>
    <s v="P-1236"/>
    <s v="Male"/>
    <n v="22"/>
    <x v="5"/>
    <s v="Diagnostic Test"/>
    <d v="2025-06-07T00:00:00"/>
    <d v="2025-06-08T00:00:00"/>
    <s v="Sunday"/>
    <s v="Morning"/>
    <x v="1"/>
    <n v="1"/>
    <n v="5"/>
    <x v="2"/>
    <x v="0"/>
    <s v="WhatsApp"/>
    <n v="13.3"/>
    <x v="17"/>
    <x v="0"/>
  </r>
  <r>
    <s v="HC-03295"/>
    <s v="P-1354"/>
    <s v="Female"/>
    <n v="36"/>
    <x v="0"/>
    <s v="General Consultation"/>
    <d v="2025-04-09T00:00:00"/>
    <d v="2025-04-15T00:00:00"/>
    <s v="Tuesday"/>
    <s v="Morning"/>
    <x v="1"/>
    <n v="6"/>
    <n v="4"/>
    <x v="2"/>
    <x v="1"/>
    <s v="None"/>
    <m/>
    <x v="42"/>
    <x v="1"/>
  </r>
  <r>
    <s v="HC-03296"/>
    <s v="P-0887"/>
    <s v="Female"/>
    <n v="19"/>
    <x v="5"/>
    <s v="Follow-up"/>
    <d v="2026-01-28T00:00:00"/>
    <d v="2026-03-11T00:00:00"/>
    <s v="Wednesday"/>
    <s v="Afternoon"/>
    <x v="2"/>
    <n v="42"/>
    <n v="1"/>
    <x v="0"/>
    <x v="0"/>
    <s v="SMS"/>
    <n v="9.5"/>
    <x v="49"/>
    <x v="1"/>
  </r>
  <r>
    <s v="HC-03297"/>
    <s v="P-1641"/>
    <s v="Male"/>
    <n v="77"/>
    <x v="4"/>
    <s v="General Consultation"/>
    <d v="2025-03-10T00:00:00"/>
    <d v="2025-04-26T00:00:00"/>
    <s v="Saturday"/>
    <s v="Morning"/>
    <x v="2"/>
    <n v="47"/>
    <n v="3"/>
    <x v="0"/>
    <x v="0"/>
    <s v="SMS"/>
    <n v="37.1"/>
    <x v="49"/>
    <x v="1"/>
  </r>
  <r>
    <s v="HC-03298"/>
    <s v="P-1285"/>
    <s v="Female"/>
    <n v="75"/>
    <x v="4"/>
    <s v="General Consultation"/>
    <d v="2026-04-15T00:00:00"/>
    <d v="2026-05-11T00:00:00"/>
    <s v="Monday"/>
    <s v="Afternoon"/>
    <x v="3"/>
    <n v="26"/>
    <n v="4"/>
    <x v="0"/>
    <x v="0"/>
    <s v="WhatsApp"/>
    <m/>
    <x v="51"/>
    <x v="0"/>
  </r>
  <r>
    <s v="HC-03299"/>
    <s v="P-0888"/>
    <s v="Female"/>
    <n v="28"/>
    <x v="1"/>
    <s v="Diagnostic Test"/>
    <d v="2025-10-18T00:00:00"/>
    <d v="2025-10-22T00:00:00"/>
    <s v="Wednesday"/>
    <s v="Morning"/>
    <x v="1"/>
    <n v="4"/>
    <n v="2"/>
    <x v="0"/>
    <x v="0"/>
    <s v="WhatsApp"/>
    <n v="9.6999999999999993"/>
    <x v="13"/>
    <x v="1"/>
  </r>
  <r>
    <s v="HC-03300"/>
    <s v="P-0494"/>
    <s v="Female"/>
    <n v="37"/>
    <x v="0"/>
    <s v="Specialist Consultation"/>
    <d v="2026-02-18T00:00:00"/>
    <d v="2026-03-15T00:00:00"/>
    <s v="Sunday"/>
    <s v="Evening"/>
    <x v="3"/>
    <n v="25"/>
    <n v="5"/>
    <x v="1"/>
    <x v="0"/>
    <s v="WhatsApp"/>
    <n v="16.2"/>
    <x v="4"/>
    <x v="0"/>
  </r>
  <r>
    <s v="HC-03301"/>
    <s v="P-0082"/>
    <s v="Female"/>
    <n v="64"/>
    <x v="3"/>
    <s v="General Consultation"/>
    <d v="2025-10-15T00:00:00"/>
    <d v="2025-12-14T00:00:00"/>
    <s v="Sunday"/>
    <s v="Afternoon"/>
    <x v="2"/>
    <n v="60"/>
    <n v="5"/>
    <x v="1"/>
    <x v="1"/>
    <s v="None"/>
    <n v="10.5"/>
    <x v="18"/>
    <x v="0"/>
  </r>
  <r>
    <s v="HC-03302"/>
    <s v="P-0220"/>
    <s v="Prefer not to say"/>
    <n v="59"/>
    <x v="3"/>
    <s v="General Consultation"/>
    <d v="2025-05-11T00:00:00"/>
    <d v="2025-05-26T00:00:00"/>
    <s v="Monday"/>
    <s v="Afternoon"/>
    <x v="3"/>
    <n v="15"/>
    <n v="4"/>
    <x v="0"/>
    <x v="1"/>
    <s v="None"/>
    <n v="13.5"/>
    <x v="38"/>
    <x v="1"/>
  </r>
  <r>
    <s v="HC-03303"/>
    <s v="P-1154"/>
    <s v="Male"/>
    <n v="54"/>
    <x v="2"/>
    <s v="Follow-up"/>
    <d v="2025-10-27T00:00:00"/>
    <d v="2025-11-25T00:00:00"/>
    <s v="Tuesday"/>
    <s v="Morning"/>
    <x v="3"/>
    <n v="29"/>
    <n v="1"/>
    <x v="0"/>
    <x v="1"/>
    <s v="None"/>
    <n v="2.8"/>
    <x v="49"/>
    <x v="1"/>
  </r>
  <r>
    <s v="HC-03304"/>
    <s v="P-0114"/>
    <s v="Male"/>
    <n v="80"/>
    <x v="4"/>
    <s v="General Consultation"/>
    <d v="2025-04-28T00:00:00"/>
    <d v="2025-05-30T00:00:00"/>
    <s v="Friday"/>
    <s v="Evening"/>
    <x v="2"/>
    <n v="32"/>
    <n v="6"/>
    <x v="1"/>
    <x v="1"/>
    <s v="None"/>
    <n v="25.9"/>
    <x v="6"/>
    <x v="0"/>
  </r>
  <r>
    <s v="HC-03305"/>
    <s v="P-0002"/>
    <s v="Female"/>
    <n v="57"/>
    <x v="3"/>
    <s v="Follow-up"/>
    <d v="2025-02-14T00:00:00"/>
    <d v="2025-03-06T00:00:00"/>
    <s v="Thursday"/>
    <s v="Afternoon"/>
    <x v="3"/>
    <n v="20"/>
    <n v="4"/>
    <x v="1"/>
    <x v="1"/>
    <s v="None"/>
    <n v="10.3"/>
    <x v="7"/>
    <x v="0"/>
  </r>
  <r>
    <s v="HC-03306"/>
    <s v="P-0150"/>
    <s v="Prefer not to say"/>
    <n v="60"/>
    <x v="3"/>
    <s v="Follow-up"/>
    <d v="2025-04-24T00:00:00"/>
    <d v="2025-05-20T00:00:00"/>
    <s v="Tuesday"/>
    <s v="Afternoon"/>
    <x v="3"/>
    <n v="26"/>
    <n v="4"/>
    <x v="0"/>
    <x v="0"/>
    <s v="SMS"/>
    <n v="3.3"/>
    <x v="7"/>
    <x v="1"/>
  </r>
  <r>
    <s v="HC-03307"/>
    <s v="P-1210"/>
    <s v="Male"/>
    <n v="49"/>
    <x v="2"/>
    <s v="General Consultation"/>
    <d v="2025-05-03T00:00:00"/>
    <d v="2025-05-31T00:00:00"/>
    <s v="Saturday"/>
    <s v="Afternoon"/>
    <x v="3"/>
    <n v="28"/>
    <n v="2"/>
    <x v="0"/>
    <x v="1"/>
    <s v="None"/>
    <n v="15.7"/>
    <x v="12"/>
    <x v="1"/>
  </r>
  <r>
    <s v="HC-03308"/>
    <s v="P-0039"/>
    <s v="Male"/>
    <n v="51"/>
    <x v="2"/>
    <s v="General Consultation"/>
    <d v="2025-02-15T00:00:00"/>
    <d v="2025-03-15T00:00:00"/>
    <s v="Saturday"/>
    <s v="Morning"/>
    <x v="3"/>
    <n v="28"/>
    <n v="4"/>
    <x v="1"/>
    <x v="0"/>
    <s v="WhatsApp"/>
    <n v="25.5"/>
    <x v="34"/>
    <x v="0"/>
  </r>
  <r>
    <s v="HC-03309"/>
    <s v="P-1515"/>
    <s v="Female"/>
    <n v="36"/>
    <x v="0"/>
    <s v="General Consultation"/>
    <d v="2024-12-01T00:00:00"/>
    <d v="2025-01-13T00:00:00"/>
    <s v="Monday"/>
    <s v="Morning"/>
    <x v="2"/>
    <n v="43"/>
    <n v="4"/>
    <x v="0"/>
    <x v="1"/>
    <s v="None"/>
    <n v="7.2"/>
    <x v="20"/>
    <x v="0"/>
  </r>
  <r>
    <s v="HC-03310"/>
    <s v="P-1768"/>
    <s v="Female"/>
    <n v="50"/>
    <x v="2"/>
    <s v="Diagnostic Test"/>
    <d v="2026-04-26T00:00:00"/>
    <d v="2026-05-31T00:00:00"/>
    <s v="Sunday"/>
    <s v="Morning"/>
    <x v="2"/>
    <n v="35"/>
    <n v="3"/>
    <x v="1"/>
    <x v="0"/>
    <s v="WhatsApp"/>
    <n v="8.4"/>
    <x v="9"/>
    <x v="1"/>
  </r>
  <r>
    <s v="HC-03311"/>
    <s v="P-1388"/>
    <s v="Male"/>
    <n v="75"/>
    <x v="4"/>
    <s v="General Consultation"/>
    <d v="2025-10-05T00:00:00"/>
    <d v="2025-10-08T00:00:00"/>
    <s v="Wednesday"/>
    <s v="Afternoon"/>
    <x v="1"/>
    <n v="3"/>
    <n v="5"/>
    <x v="1"/>
    <x v="0"/>
    <s v="SMS"/>
    <n v="18.100000000000001"/>
    <x v="0"/>
    <x v="2"/>
  </r>
  <r>
    <s v="HC-03312"/>
    <s v="P-1365"/>
    <s v="Male"/>
    <n v="41"/>
    <x v="0"/>
    <s v="Follow-up"/>
    <d v="2025-08-08T00:00:00"/>
    <d v="2025-08-08T00:00:00"/>
    <s v="Friday"/>
    <s v="Afternoon"/>
    <x v="1"/>
    <n v="0"/>
    <n v="1"/>
    <x v="0"/>
    <x v="0"/>
    <s v="SMS"/>
    <n v="15.2"/>
    <x v="16"/>
    <x v="1"/>
  </r>
  <r>
    <s v="HC-03313"/>
    <s v="P-0994"/>
    <s v="Female"/>
    <n v="26"/>
    <x v="1"/>
    <s v="General Consultation"/>
    <d v="2026-04-28T00:00:00"/>
    <d v="2026-05-23T00:00:00"/>
    <s v="Saturday"/>
    <s v="Morning"/>
    <x v="3"/>
    <n v="25"/>
    <n v="1"/>
    <x v="0"/>
    <x v="1"/>
    <s v="None"/>
    <n v="5"/>
    <x v="0"/>
    <x v="0"/>
  </r>
  <r>
    <s v="HC-03314"/>
    <s v="P-0969"/>
    <s v="Female"/>
    <n v="55"/>
    <x v="3"/>
    <s v="Specialist Consultation"/>
    <d v="2025-03-09T00:00:00"/>
    <d v="2025-05-03T00:00:00"/>
    <s v="Saturday"/>
    <s v="Evening"/>
    <x v="2"/>
    <n v="55"/>
    <n v="3"/>
    <x v="0"/>
    <x v="0"/>
    <s v="SMS"/>
    <n v="1.5"/>
    <x v="17"/>
    <x v="0"/>
  </r>
  <r>
    <s v="HC-03315"/>
    <s v="P-0366"/>
    <s v="Male"/>
    <n v="67"/>
    <x v="4"/>
    <s v="General Consultation"/>
    <d v="2025-08-06T00:00:00"/>
    <d v="2025-08-08T00:00:00"/>
    <s v="Friday"/>
    <s v="Morning"/>
    <x v="1"/>
    <n v="2"/>
    <n v="2"/>
    <x v="0"/>
    <x v="0"/>
    <s v="Email"/>
    <n v="25.8"/>
    <x v="36"/>
    <x v="2"/>
  </r>
  <r>
    <s v="HC-03316"/>
    <s v="P-0472"/>
    <s v="Prefer not to say"/>
    <n v="78"/>
    <x v="4"/>
    <s v="General Consultation"/>
    <d v="2026-04-04T00:00:00"/>
    <d v="2026-04-08T00:00:00"/>
    <s v="Wednesday"/>
    <s v="Afternoon"/>
    <x v="1"/>
    <n v="4"/>
    <n v="3"/>
    <x v="1"/>
    <x v="0"/>
    <s v="WhatsApp"/>
    <n v="6.7"/>
    <x v="13"/>
    <x v="1"/>
  </r>
  <r>
    <s v="HC-03317"/>
    <s v="P-0411"/>
    <s v="Male"/>
    <n v="52"/>
    <x v="2"/>
    <s v="Specialist Consultation"/>
    <d v="2025-11-01T00:00:00"/>
    <d v="2025-12-12T00:00:00"/>
    <s v="Friday"/>
    <s v="Afternoon"/>
    <x v="2"/>
    <n v="41"/>
    <n v="2"/>
    <x v="1"/>
    <x v="1"/>
    <s v="None"/>
    <n v="3.7"/>
    <x v="22"/>
    <x v="1"/>
  </r>
  <r>
    <s v="HC-03318"/>
    <s v="P-1315"/>
    <s v="Male"/>
    <n v="67"/>
    <x v="4"/>
    <s v="Specialist Consultation"/>
    <d v="2025-07-10T00:00:00"/>
    <d v="2025-08-06T00:00:00"/>
    <s v="Wednesday"/>
    <s v="Morning"/>
    <x v="3"/>
    <n v="27"/>
    <n v="5"/>
    <x v="0"/>
    <x v="0"/>
    <s v="SMS"/>
    <n v="5.3"/>
    <x v="47"/>
    <x v="0"/>
  </r>
  <r>
    <s v="HC-03319"/>
    <s v="P-1463"/>
    <s v="Male"/>
    <n v="33"/>
    <x v="1"/>
    <s v="General Consultation"/>
    <d v="2025-05-06T00:00:00"/>
    <d v="2025-05-20T00:00:00"/>
    <s v="Tuesday"/>
    <s v="Morning"/>
    <x v="0"/>
    <n v="14"/>
    <n v="1"/>
    <x v="0"/>
    <x v="0"/>
    <s v="SMS"/>
    <n v="20.7"/>
    <x v="6"/>
    <x v="1"/>
  </r>
  <r>
    <s v="HC-03320"/>
    <s v="P-1794"/>
    <s v="Male"/>
    <n v="44"/>
    <x v="0"/>
    <s v="General Consultation"/>
    <d v="2025-01-08T00:00:00"/>
    <d v="2025-01-20T00:00:00"/>
    <s v="Monday"/>
    <s v="Afternoon"/>
    <x v="0"/>
    <n v="12"/>
    <n v="2"/>
    <x v="0"/>
    <x v="1"/>
    <s v="None"/>
    <n v="0.5"/>
    <x v="35"/>
    <x v="0"/>
  </r>
  <r>
    <s v="HC-03321"/>
    <s v="P-0754"/>
    <s v="Female"/>
    <n v="44"/>
    <x v="0"/>
    <s v="Diagnostic Test"/>
    <d v="2025-01-07T00:00:00"/>
    <d v="2025-02-16T00:00:00"/>
    <s v="Sunday"/>
    <s v="Afternoon"/>
    <x v="2"/>
    <n v="40"/>
    <n v="2"/>
    <x v="0"/>
    <x v="0"/>
    <s v="SMS"/>
    <n v="17.8"/>
    <x v="0"/>
    <x v="0"/>
  </r>
  <r>
    <s v="HC-03322"/>
    <s v="P-0651"/>
    <s v="Female"/>
    <n v="38"/>
    <x v="0"/>
    <s v="General Consultation"/>
    <d v="2025-02-27T00:00:00"/>
    <d v="2025-03-30T00:00:00"/>
    <s v="Sunday"/>
    <s v="Morning"/>
    <x v="2"/>
    <n v="31"/>
    <n v="2"/>
    <x v="1"/>
    <x v="0"/>
    <s v="WhatsApp"/>
    <n v="12.4"/>
    <x v="16"/>
    <x v="1"/>
  </r>
  <r>
    <s v="HC-03323"/>
    <s v="P-0162"/>
    <s v="Male"/>
    <n v="63"/>
    <x v="3"/>
    <s v="General Consultation"/>
    <d v="2026-01-27T00:00:00"/>
    <d v="2026-03-06T00:00:00"/>
    <s v="Friday"/>
    <s v="Afternoon"/>
    <x v="2"/>
    <n v="38"/>
    <n v="3"/>
    <x v="0"/>
    <x v="0"/>
    <s v="WhatsApp"/>
    <n v="7.5"/>
    <x v="5"/>
    <x v="1"/>
  </r>
  <r>
    <s v="HC-03324"/>
    <s v="P-0687"/>
    <s v="Male"/>
    <n v="73"/>
    <x v="4"/>
    <s v="Follow-up"/>
    <d v="2025-11-29T00:00:00"/>
    <d v="2025-12-16T00:00:00"/>
    <s v="Tuesday"/>
    <s v="Afternoon"/>
    <x v="3"/>
    <n v="17"/>
    <n v="1"/>
    <x v="0"/>
    <x v="0"/>
    <s v="SMS"/>
    <n v="9.8000000000000007"/>
    <x v="31"/>
    <x v="0"/>
  </r>
  <r>
    <s v="HC-03325"/>
    <s v="P-0947"/>
    <s v="Female"/>
    <n v="38"/>
    <x v="0"/>
    <s v="General Consultation"/>
    <d v="2025-07-24T00:00:00"/>
    <d v="2025-08-25T00:00:00"/>
    <s v="Monday"/>
    <s v="Morning"/>
    <x v="2"/>
    <n v="32"/>
    <n v="3"/>
    <x v="0"/>
    <x v="0"/>
    <s v="Email"/>
    <n v="14.6"/>
    <x v="47"/>
    <x v="2"/>
  </r>
  <r>
    <s v="HC-03326"/>
    <s v="P-1532"/>
    <s v="Female"/>
    <n v="26"/>
    <x v="1"/>
    <s v="Follow-up"/>
    <d v="2026-01-11T00:00:00"/>
    <d v="2026-03-04T00:00:00"/>
    <s v="Wednesday"/>
    <s v="Afternoon"/>
    <x v="2"/>
    <n v="52"/>
    <n v="5"/>
    <x v="1"/>
    <x v="1"/>
    <s v="None"/>
    <n v="6.9"/>
    <x v="18"/>
    <x v="0"/>
  </r>
  <r>
    <s v="HC-03327"/>
    <s v="P-0137"/>
    <s v="Male"/>
    <n v="70"/>
    <x v="4"/>
    <s v="Follow-up"/>
    <d v="2025-03-10T00:00:00"/>
    <d v="2025-03-29T00:00:00"/>
    <s v="Saturday"/>
    <s v="Morning"/>
    <x v="3"/>
    <n v="19"/>
    <n v="2"/>
    <x v="0"/>
    <x v="1"/>
    <s v="None"/>
    <n v="5.3"/>
    <x v="45"/>
    <x v="1"/>
  </r>
  <r>
    <s v="HC-03328"/>
    <s v="P-0695"/>
    <s v="Male"/>
    <n v="71"/>
    <x v="4"/>
    <s v="Follow-up"/>
    <d v="2025-04-02T00:00:00"/>
    <d v="2025-04-26T00:00:00"/>
    <s v="Saturday"/>
    <s v="Evening"/>
    <x v="3"/>
    <n v="24"/>
    <n v="2"/>
    <x v="1"/>
    <x v="0"/>
    <s v="SMS"/>
    <n v="14"/>
    <x v="9"/>
    <x v="0"/>
  </r>
  <r>
    <s v="HC-03329"/>
    <s v="P-1387"/>
    <s v="Female"/>
    <n v="76"/>
    <x v="4"/>
    <s v="Follow-up"/>
    <d v="2025-07-25T00:00:00"/>
    <d v="2025-08-03T00:00:00"/>
    <s v="Sunday"/>
    <s v="Afternoon"/>
    <x v="0"/>
    <n v="9"/>
    <n v="5"/>
    <x v="1"/>
    <x v="0"/>
    <s v="WhatsApp"/>
    <n v="10.6"/>
    <x v="22"/>
    <x v="1"/>
  </r>
  <r>
    <s v="HC-03330"/>
    <s v="P-1583"/>
    <s v="Male"/>
    <n v="34"/>
    <x v="1"/>
    <s v="Follow-up"/>
    <d v="2026-04-08T00:00:00"/>
    <d v="2026-05-16T00:00:00"/>
    <s v="Saturday"/>
    <s v="Morning"/>
    <x v="2"/>
    <n v="38"/>
    <n v="1"/>
    <x v="1"/>
    <x v="0"/>
    <s v="WhatsApp"/>
    <n v="21.5"/>
    <x v="17"/>
    <x v="0"/>
  </r>
  <r>
    <s v="HC-03331"/>
    <s v="P-1198"/>
    <s v="Female"/>
    <n v="63"/>
    <x v="3"/>
    <s v="Specialist Consultation"/>
    <d v="2025-12-01T00:00:00"/>
    <d v="2025-12-02T00:00:00"/>
    <s v="Tuesday"/>
    <s v="Afternoon"/>
    <x v="1"/>
    <n v="1"/>
    <n v="5"/>
    <x v="0"/>
    <x v="0"/>
    <s v="WhatsApp"/>
    <n v="20.399999999999999"/>
    <x v="10"/>
    <x v="0"/>
  </r>
  <r>
    <s v="HC-03332"/>
    <s v="P-0307"/>
    <s v="Female"/>
    <n v="63"/>
    <x v="3"/>
    <s v="General Consultation"/>
    <d v="2026-03-26T00:00:00"/>
    <d v="2026-04-10T00:00:00"/>
    <s v="Friday"/>
    <s v="Morning"/>
    <x v="3"/>
    <n v="15"/>
    <n v="6"/>
    <x v="1"/>
    <x v="0"/>
    <s v="WhatsApp"/>
    <n v="7.5"/>
    <x v="37"/>
    <x v="0"/>
  </r>
  <r>
    <s v="HC-03333"/>
    <s v="P-1013"/>
    <s v="Female"/>
    <n v="67"/>
    <x v="4"/>
    <s v="General Consultation"/>
    <d v="2025-04-03T00:00:00"/>
    <d v="2025-05-16T00:00:00"/>
    <s v="Friday"/>
    <s v="Evening"/>
    <x v="2"/>
    <n v="43"/>
    <n v="4"/>
    <x v="1"/>
    <x v="0"/>
    <s v="Email"/>
    <n v="8.9"/>
    <x v="28"/>
    <x v="0"/>
  </r>
  <r>
    <s v="HC-03334"/>
    <s v="P-1645"/>
    <s v="Female"/>
    <n v="68"/>
    <x v="4"/>
    <s v="Follow-up"/>
    <d v="2026-04-08T00:00:00"/>
    <d v="2026-04-09T00:00:00"/>
    <s v="Thursday"/>
    <s v="Afternoon"/>
    <x v="1"/>
    <n v="1"/>
    <n v="1"/>
    <x v="0"/>
    <x v="1"/>
    <s v="None"/>
    <n v="19.600000000000001"/>
    <x v="20"/>
    <x v="1"/>
  </r>
  <r>
    <s v="HC-03335"/>
    <s v="P-1343"/>
    <s v="Female"/>
    <n v="78"/>
    <x v="4"/>
    <s v="General Consultation"/>
    <d v="2024-12-11T00:00:00"/>
    <d v="2025-02-09T00:00:00"/>
    <s v="Sunday"/>
    <s v="Morning"/>
    <x v="2"/>
    <n v="60"/>
    <n v="2"/>
    <x v="2"/>
    <x v="0"/>
    <s v="SMS"/>
    <n v="16.3"/>
    <x v="24"/>
    <x v="0"/>
  </r>
  <r>
    <s v="HC-03336"/>
    <s v="P-0245"/>
    <s v="Male"/>
    <n v="48"/>
    <x v="2"/>
    <s v="General Consultation"/>
    <d v="2025-04-11T00:00:00"/>
    <d v="2025-05-05T00:00:00"/>
    <s v="Monday"/>
    <s v="Afternoon"/>
    <x v="3"/>
    <n v="24"/>
    <n v="1"/>
    <x v="0"/>
    <x v="0"/>
    <s v="SMS"/>
    <n v="12.7"/>
    <x v="31"/>
    <x v="1"/>
  </r>
  <r>
    <s v="HC-03337"/>
    <s v="P-0586"/>
    <s v="Male"/>
    <n v="22"/>
    <x v="5"/>
    <s v="General Consultation"/>
    <d v="2025-09-19T00:00:00"/>
    <d v="2025-10-13T00:00:00"/>
    <s v="Monday"/>
    <s v="Morning"/>
    <x v="3"/>
    <n v="24"/>
    <n v="2"/>
    <x v="1"/>
    <x v="0"/>
    <s v="WhatsApp"/>
    <n v="18.3"/>
    <x v="26"/>
    <x v="1"/>
  </r>
  <r>
    <s v="HC-03338"/>
    <s v="P-1324"/>
    <s v="Male"/>
    <n v="30"/>
    <x v="1"/>
    <s v="Specialist Consultation"/>
    <d v="2024-12-27T00:00:00"/>
    <d v="2025-01-28T00:00:00"/>
    <s v="Tuesday"/>
    <s v="Evening"/>
    <x v="2"/>
    <n v="32"/>
    <n v="5"/>
    <x v="0"/>
    <x v="0"/>
    <s v="Email"/>
    <n v="3"/>
    <x v="9"/>
    <x v="0"/>
  </r>
  <r>
    <s v="HC-03339"/>
    <s v="P-1297"/>
    <s v="Male"/>
    <n v="73"/>
    <x v="4"/>
    <s v="General Consultation"/>
    <d v="2026-03-07T00:00:00"/>
    <d v="2026-04-14T00:00:00"/>
    <s v="Tuesday"/>
    <s v="Evening"/>
    <x v="2"/>
    <n v="38"/>
    <n v="4"/>
    <x v="0"/>
    <x v="0"/>
    <s v="Email"/>
    <n v="12.6"/>
    <x v="19"/>
    <x v="1"/>
  </r>
  <r>
    <s v="HC-03340"/>
    <s v="P-0572"/>
    <s v="Male"/>
    <n v="71"/>
    <x v="4"/>
    <s v="Specialist Consultation"/>
    <d v="2026-03-22T00:00:00"/>
    <d v="2026-04-19T00:00:00"/>
    <s v="Sunday"/>
    <s v="Afternoon"/>
    <x v="3"/>
    <n v="28"/>
    <n v="6"/>
    <x v="1"/>
    <x v="0"/>
    <s v="SMS"/>
    <m/>
    <x v="19"/>
    <x v="1"/>
  </r>
  <r>
    <s v="HC-03341"/>
    <s v="P-1659"/>
    <s v="Female"/>
    <n v="18"/>
    <x v="5"/>
    <s v="Specialist Consultation"/>
    <d v="2025-08-31T00:00:00"/>
    <d v="2025-10-23T00:00:00"/>
    <s v="Thursday"/>
    <s v="Afternoon"/>
    <x v="2"/>
    <n v="53"/>
    <n v="4"/>
    <x v="2"/>
    <x v="0"/>
    <s v="SMS"/>
    <n v="15.5"/>
    <x v="14"/>
    <x v="0"/>
  </r>
  <r>
    <s v="HC-03342"/>
    <s v="P-1458"/>
    <s v="Female"/>
    <n v="41"/>
    <x v="0"/>
    <s v="Follow-up"/>
    <d v="2025-04-19T00:00:00"/>
    <d v="2025-06-16T00:00:00"/>
    <s v="Monday"/>
    <s v="Afternoon"/>
    <x v="2"/>
    <n v="58"/>
    <n v="4"/>
    <x v="0"/>
    <x v="0"/>
    <s v="SMS"/>
    <n v="12.4"/>
    <x v="12"/>
    <x v="1"/>
  </r>
  <r>
    <s v="HC-03343"/>
    <s v="P-0688"/>
    <s v="Female"/>
    <n v="33"/>
    <x v="1"/>
    <s v="General Consultation"/>
    <d v="2025-02-12T00:00:00"/>
    <d v="2025-02-24T00:00:00"/>
    <s v="Monday"/>
    <s v="Morning"/>
    <x v="0"/>
    <n v="12"/>
    <n v="2"/>
    <x v="1"/>
    <x v="1"/>
    <s v="None"/>
    <n v="17.8"/>
    <x v="26"/>
    <x v="1"/>
  </r>
  <r>
    <s v="HC-03344"/>
    <s v="P-0305"/>
    <s v="Male"/>
    <n v="38"/>
    <x v="0"/>
    <s v="Specialist Consultation"/>
    <d v="2025-10-22T00:00:00"/>
    <d v="2025-12-04T00:00:00"/>
    <s v="Thursday"/>
    <s v="Morning"/>
    <x v="2"/>
    <n v="43"/>
    <n v="2"/>
    <x v="0"/>
    <x v="0"/>
    <s v="SMS"/>
    <n v="20.7"/>
    <x v="13"/>
    <x v="0"/>
  </r>
  <r>
    <s v="HC-03345"/>
    <s v="P-1044"/>
    <s v="Female"/>
    <n v="58"/>
    <x v="3"/>
    <s v="General Consultation"/>
    <d v="2025-10-03T00:00:00"/>
    <d v="2025-10-21T00:00:00"/>
    <s v="Tuesday"/>
    <s v="Evening"/>
    <x v="3"/>
    <n v="18"/>
    <n v="2"/>
    <x v="1"/>
    <x v="0"/>
    <s v="SMS"/>
    <n v="3.5"/>
    <x v="2"/>
    <x v="0"/>
  </r>
  <r>
    <s v="HC-03346"/>
    <s v="P-1143"/>
    <s v="Male"/>
    <n v="50"/>
    <x v="2"/>
    <s v="Diagnostic Test"/>
    <d v="2025-12-21T00:00:00"/>
    <d v="2026-02-19T00:00:00"/>
    <s v="Thursday"/>
    <s v="Morning"/>
    <x v="2"/>
    <n v="60"/>
    <n v="3"/>
    <x v="2"/>
    <x v="1"/>
    <s v="None"/>
    <n v="12.7"/>
    <x v="8"/>
    <x v="0"/>
  </r>
  <r>
    <s v="HC-03347"/>
    <s v="P-0040"/>
    <s v="Male"/>
    <n v="48"/>
    <x v="2"/>
    <s v="Specialist Consultation"/>
    <d v="2025-11-10T00:00:00"/>
    <d v="2025-11-25T00:00:00"/>
    <s v="Tuesday"/>
    <s v="Morning"/>
    <x v="3"/>
    <n v="15"/>
    <n v="5"/>
    <x v="2"/>
    <x v="0"/>
    <s v="SMS"/>
    <n v="6.2"/>
    <x v="9"/>
    <x v="0"/>
  </r>
  <r>
    <s v="HC-03348"/>
    <s v="P-0913"/>
    <s v="Male"/>
    <n v="45"/>
    <x v="2"/>
    <s v="General Consultation"/>
    <d v="2025-02-23T00:00:00"/>
    <d v="2025-03-12T00:00:00"/>
    <s v="Wednesday"/>
    <s v="Morning"/>
    <x v="3"/>
    <n v="17"/>
    <n v="4"/>
    <x v="0"/>
    <x v="0"/>
    <s v="SMS"/>
    <n v="14.6"/>
    <x v="23"/>
    <x v="0"/>
  </r>
  <r>
    <s v="HC-03349"/>
    <s v="P-1734"/>
    <s v="Female"/>
    <n v="58"/>
    <x v="3"/>
    <s v="Specialist Consultation"/>
    <d v="2025-01-24T00:00:00"/>
    <d v="2025-03-08T00:00:00"/>
    <s v="Saturday"/>
    <s v="Evening"/>
    <x v="2"/>
    <n v="43"/>
    <n v="3"/>
    <x v="1"/>
    <x v="1"/>
    <s v="None"/>
    <n v="6"/>
    <x v="23"/>
    <x v="1"/>
  </r>
  <r>
    <s v="HC-03350"/>
    <s v="P-0518"/>
    <s v="Female"/>
    <n v="61"/>
    <x v="3"/>
    <s v="Follow-up"/>
    <d v="2026-01-14T00:00:00"/>
    <d v="2026-03-03T00:00:00"/>
    <s v="Tuesday"/>
    <s v="Evening"/>
    <x v="2"/>
    <n v="48"/>
    <n v="6"/>
    <x v="1"/>
    <x v="1"/>
    <s v="None"/>
    <n v="6.3"/>
    <x v="3"/>
    <x v="0"/>
  </r>
  <r>
    <s v="HC-03351"/>
    <s v="P-1705"/>
    <s v="Female"/>
    <n v="20"/>
    <x v="5"/>
    <s v="Follow-up"/>
    <d v="2025-03-21T00:00:00"/>
    <d v="2025-03-28T00:00:00"/>
    <s v="Friday"/>
    <s v="Morning"/>
    <x v="1"/>
    <n v="7"/>
    <n v="3"/>
    <x v="1"/>
    <x v="0"/>
    <s v="SMS"/>
    <n v="10.3"/>
    <x v="11"/>
    <x v="1"/>
  </r>
  <r>
    <s v="HC-03352"/>
    <s v="P-0876"/>
    <s v="Male"/>
    <n v="26"/>
    <x v="1"/>
    <s v="Follow-up"/>
    <d v="2026-04-25T00:00:00"/>
    <d v="2026-05-28T00:00:00"/>
    <s v="Thursday"/>
    <s v="Morning"/>
    <x v="2"/>
    <n v="33"/>
    <n v="4"/>
    <x v="0"/>
    <x v="0"/>
    <s v="WhatsApp"/>
    <n v="3.4"/>
    <x v="0"/>
    <x v="0"/>
  </r>
  <r>
    <s v="HC-03353"/>
    <s v="P-1479"/>
    <s v="Male"/>
    <n v="39"/>
    <x v="0"/>
    <s v="Follow-up"/>
    <d v="2025-02-06T00:00:00"/>
    <d v="2025-02-27T00:00:00"/>
    <s v="Thursday"/>
    <s v="Afternoon"/>
    <x v="3"/>
    <n v="21"/>
    <n v="3"/>
    <x v="1"/>
    <x v="0"/>
    <s v="SMS"/>
    <n v="4.8"/>
    <x v="26"/>
    <x v="0"/>
  </r>
  <r>
    <s v="HC-03354"/>
    <s v="P-1728"/>
    <s v="Male"/>
    <n v="45"/>
    <x v="2"/>
    <s v="Specialist Consultation"/>
    <d v="2025-12-27T00:00:00"/>
    <d v="2026-02-02T00:00:00"/>
    <s v="Monday"/>
    <s v="Morning"/>
    <x v="2"/>
    <n v="37"/>
    <n v="6"/>
    <x v="1"/>
    <x v="1"/>
    <s v="None"/>
    <n v="13.4"/>
    <x v="47"/>
    <x v="1"/>
  </r>
  <r>
    <s v="HC-03355"/>
    <s v="P-1517"/>
    <s v="Male"/>
    <n v="80"/>
    <x v="4"/>
    <s v="Diagnostic Test"/>
    <d v="2026-05-15T00:00:00"/>
    <d v="2026-06-17T00:00:00"/>
    <s v="Wednesday"/>
    <s v="Evening"/>
    <x v="2"/>
    <n v="33"/>
    <n v="2"/>
    <x v="1"/>
    <x v="0"/>
    <s v="WhatsApp"/>
    <n v="23.8"/>
    <x v="28"/>
    <x v="0"/>
  </r>
  <r>
    <s v="HC-03356"/>
    <s v="P-1365"/>
    <s v="Female"/>
    <n v="74"/>
    <x v="4"/>
    <s v="General Consultation"/>
    <d v="2025-06-30T00:00:00"/>
    <d v="2025-08-29T00:00:00"/>
    <s v="Friday"/>
    <s v="Evening"/>
    <x v="2"/>
    <n v="60"/>
    <n v="5"/>
    <x v="1"/>
    <x v="0"/>
    <s v="SMS"/>
    <n v="2"/>
    <x v="10"/>
    <x v="0"/>
  </r>
  <r>
    <s v="HC-03357"/>
    <s v="P-1651"/>
    <s v="Female"/>
    <n v="58"/>
    <x v="3"/>
    <s v="Follow-up"/>
    <d v="2024-12-06T00:00:00"/>
    <d v="2025-01-31T00:00:00"/>
    <s v="Friday"/>
    <s v="Afternoon"/>
    <x v="2"/>
    <n v="56"/>
    <n v="4"/>
    <x v="1"/>
    <x v="0"/>
    <s v="SMS"/>
    <n v="5.7"/>
    <x v="17"/>
    <x v="0"/>
  </r>
  <r>
    <s v="HC-03358"/>
    <s v="P-0105"/>
    <s v="Female"/>
    <n v="20"/>
    <x v="5"/>
    <s v="Follow-up"/>
    <d v="2026-03-16T00:00:00"/>
    <d v="2026-04-24T00:00:00"/>
    <s v="Friday"/>
    <s v="Morning"/>
    <x v="2"/>
    <n v="39"/>
    <n v="3"/>
    <x v="0"/>
    <x v="0"/>
    <s v="SMS"/>
    <n v="11.9"/>
    <x v="1"/>
    <x v="0"/>
  </r>
  <r>
    <s v="HC-03359"/>
    <s v="P-0517"/>
    <s v="Female"/>
    <n v="24"/>
    <x v="5"/>
    <s v="Follow-up"/>
    <d v="2025-03-03T00:00:00"/>
    <d v="2025-04-13T00:00:00"/>
    <s v="Sunday"/>
    <s v="Afternoon"/>
    <x v="2"/>
    <n v="41"/>
    <n v="2"/>
    <x v="0"/>
    <x v="0"/>
    <s v="SMS"/>
    <n v="2.4"/>
    <x v="23"/>
    <x v="1"/>
  </r>
  <r>
    <s v="HC-03360"/>
    <s v="P-1760"/>
    <s v="Female"/>
    <n v="46"/>
    <x v="2"/>
    <s v="Follow-up"/>
    <d v="2025-08-22T00:00:00"/>
    <d v="2025-10-15T00:00:00"/>
    <s v="Wednesday"/>
    <s v="Evening"/>
    <x v="2"/>
    <n v="54"/>
    <n v="4"/>
    <x v="2"/>
    <x v="0"/>
    <s v="SMS"/>
    <n v="7.7"/>
    <x v="17"/>
    <x v="0"/>
  </r>
  <r>
    <s v="HC-03361"/>
    <s v="P-0677"/>
    <s v="Female"/>
    <n v="54"/>
    <x v="2"/>
    <s v="General Consultation"/>
    <d v="2026-06-11T00:00:00"/>
    <d v="2026-06-22T00:00:00"/>
    <s v="Monday"/>
    <s v="Morning"/>
    <x v="0"/>
    <n v="11"/>
    <n v="4"/>
    <x v="1"/>
    <x v="0"/>
    <s v="WhatsApp"/>
    <n v="11"/>
    <x v="15"/>
    <x v="1"/>
  </r>
  <r>
    <s v="HC-03362"/>
    <s v="P-1297"/>
    <s v="Male"/>
    <n v="59"/>
    <x v="3"/>
    <s v="Specialist Consultation"/>
    <d v="2025-12-29T00:00:00"/>
    <d v="2026-02-11T00:00:00"/>
    <s v="Wednesday"/>
    <s v="Evening"/>
    <x v="2"/>
    <n v="44"/>
    <n v="1"/>
    <x v="0"/>
    <x v="0"/>
    <s v="SMS"/>
    <n v="9.1999999999999993"/>
    <x v="7"/>
    <x v="1"/>
  </r>
  <r>
    <s v="HC-03363"/>
    <s v="P-0584"/>
    <s v="Female"/>
    <n v="26"/>
    <x v="1"/>
    <s v="General Consultation"/>
    <d v="2024-12-10T00:00:00"/>
    <d v="2025-01-26T00:00:00"/>
    <s v="Sunday"/>
    <s v="Morning"/>
    <x v="2"/>
    <n v="47"/>
    <n v="4"/>
    <x v="1"/>
    <x v="0"/>
    <s v="SMS"/>
    <n v="6.6"/>
    <x v="8"/>
    <x v="1"/>
  </r>
  <r>
    <s v="HC-03364"/>
    <s v="P-0455"/>
    <s v="Female"/>
    <n v="73"/>
    <x v="4"/>
    <s v="General Consultation"/>
    <d v="2026-03-17T00:00:00"/>
    <d v="2026-03-24T00:00:00"/>
    <s v="Tuesday"/>
    <s v="Evening"/>
    <x v="1"/>
    <n v="7"/>
    <n v="2"/>
    <x v="1"/>
    <x v="0"/>
    <s v="SMS"/>
    <n v="3"/>
    <x v="6"/>
    <x v="1"/>
  </r>
  <r>
    <s v="HC-03365"/>
    <s v="P-0145"/>
    <s v="Female"/>
    <n v="49"/>
    <x v="2"/>
    <s v="Follow-up"/>
    <d v="2025-02-05T00:00:00"/>
    <d v="2025-03-30T00:00:00"/>
    <s v="Sunday"/>
    <s v="Afternoon"/>
    <x v="2"/>
    <n v="53"/>
    <n v="3"/>
    <x v="1"/>
    <x v="0"/>
    <s v="WhatsApp"/>
    <n v="33.299999999999997"/>
    <x v="14"/>
    <x v="0"/>
  </r>
  <r>
    <s v="HC-03366"/>
    <s v="P-1729"/>
    <s v="Female"/>
    <n v="55"/>
    <x v="3"/>
    <s v="General Consultation"/>
    <d v="2026-01-03T00:00:00"/>
    <d v="2026-02-14T00:00:00"/>
    <s v="Saturday"/>
    <s v="Morning"/>
    <x v="2"/>
    <n v="42"/>
    <n v="3"/>
    <x v="0"/>
    <x v="1"/>
    <s v="None"/>
    <n v="5.5"/>
    <x v="23"/>
    <x v="2"/>
  </r>
  <r>
    <s v="HC-03367"/>
    <s v="P-0123"/>
    <s v="Female"/>
    <n v="20"/>
    <x v="5"/>
    <s v="General Consultation"/>
    <d v="2025-11-15T00:00:00"/>
    <d v="2025-12-06T00:00:00"/>
    <s v="Saturday"/>
    <s v="Afternoon"/>
    <x v="3"/>
    <n v="21"/>
    <n v="7"/>
    <x v="2"/>
    <x v="1"/>
    <s v="None"/>
    <n v="15.2"/>
    <x v="18"/>
    <x v="1"/>
  </r>
  <r>
    <s v="HC-03368"/>
    <s v="P-0892"/>
    <s v="Female"/>
    <n v="69"/>
    <x v="4"/>
    <s v="General Consultation"/>
    <d v="2025-05-09T00:00:00"/>
    <d v="2025-06-07T00:00:00"/>
    <s v="Saturday"/>
    <s v="Morning"/>
    <x v="3"/>
    <n v="29"/>
    <n v="1"/>
    <x v="0"/>
    <x v="0"/>
    <s v="SMS"/>
    <n v="13.6"/>
    <x v="4"/>
    <x v="1"/>
  </r>
  <r>
    <s v="HC-03369"/>
    <s v="P-0401"/>
    <s v="Female"/>
    <n v="52"/>
    <x v="2"/>
    <s v="Follow-up"/>
    <d v="2025-07-22T00:00:00"/>
    <d v="2025-08-20T00:00:00"/>
    <s v="Wednesday"/>
    <s v="Morning"/>
    <x v="3"/>
    <n v="29"/>
    <n v="2"/>
    <x v="0"/>
    <x v="1"/>
    <s v="None"/>
    <n v="7.8"/>
    <x v="24"/>
    <x v="0"/>
  </r>
  <r>
    <s v="HC-03370"/>
    <s v="P-0978"/>
    <s v="Prefer not to say"/>
    <n v="32"/>
    <x v="1"/>
    <s v="Diagnostic Test"/>
    <d v="2025-01-09T00:00:00"/>
    <d v="2025-03-06T00:00:00"/>
    <s v="Thursday"/>
    <s v="Evening"/>
    <x v="2"/>
    <n v="56"/>
    <n v="0"/>
    <x v="0"/>
    <x v="0"/>
    <s v="WhatsApp"/>
    <n v="6.7"/>
    <x v="4"/>
    <x v="0"/>
  </r>
  <r>
    <s v="HC-03371"/>
    <s v="P-1105"/>
    <s v="Female"/>
    <n v="38"/>
    <x v="0"/>
    <s v="Follow-up"/>
    <d v="2026-04-25T00:00:00"/>
    <d v="2026-06-23T00:00:00"/>
    <s v="Tuesday"/>
    <s v="Morning"/>
    <x v="2"/>
    <n v="59"/>
    <n v="2"/>
    <x v="0"/>
    <x v="0"/>
    <s v="Email"/>
    <n v="3.2"/>
    <x v="19"/>
    <x v="0"/>
  </r>
  <r>
    <s v="HC-03372"/>
    <s v="P-0447"/>
    <s v="Female"/>
    <n v="40"/>
    <x v="0"/>
    <s v="General Consultation"/>
    <d v="2025-03-23T00:00:00"/>
    <d v="2025-05-11T00:00:00"/>
    <s v="Sunday"/>
    <s v="Evening"/>
    <x v="2"/>
    <n v="49"/>
    <n v="2"/>
    <x v="0"/>
    <x v="0"/>
    <s v="Email"/>
    <n v="16.8"/>
    <x v="12"/>
    <x v="0"/>
  </r>
  <r>
    <s v="HC-03373"/>
    <s v="P-0468"/>
    <s v="Female"/>
    <n v="19"/>
    <x v="5"/>
    <s v="Specialist Consultation"/>
    <d v="2025-05-10T00:00:00"/>
    <d v="2025-06-18T00:00:00"/>
    <s v="Wednesday"/>
    <s v="Morning"/>
    <x v="2"/>
    <n v="39"/>
    <n v="1"/>
    <x v="0"/>
    <x v="0"/>
    <s v="WhatsApp"/>
    <n v="17.7"/>
    <x v="26"/>
    <x v="0"/>
  </r>
  <r>
    <s v="HC-03374"/>
    <s v="P-1794"/>
    <s v="Female"/>
    <n v="77"/>
    <x v="4"/>
    <s v="General Consultation"/>
    <d v="2025-09-26T00:00:00"/>
    <d v="2025-10-02T00:00:00"/>
    <s v="Thursday"/>
    <s v="Afternoon"/>
    <x v="1"/>
    <n v="6"/>
    <n v="6"/>
    <x v="3"/>
    <x v="0"/>
    <s v="WhatsApp"/>
    <n v="8"/>
    <x v="25"/>
    <x v="1"/>
  </r>
  <r>
    <s v="HC-03375"/>
    <s v="P-0883"/>
    <s v="Male"/>
    <n v="68"/>
    <x v="4"/>
    <s v="Diagnostic Test"/>
    <d v="2025-11-09T00:00:00"/>
    <d v="2026-01-03T00:00:00"/>
    <s v="Saturday"/>
    <s v="Evening"/>
    <x v="2"/>
    <n v="55"/>
    <n v="4"/>
    <x v="2"/>
    <x v="0"/>
    <s v="WhatsApp"/>
    <n v="5.8"/>
    <x v="20"/>
    <x v="0"/>
  </r>
  <r>
    <s v="HC-03376"/>
    <s v="P-0548"/>
    <s v="Female"/>
    <n v="73"/>
    <x v="4"/>
    <s v="Follow-up"/>
    <d v="2025-09-25T00:00:00"/>
    <d v="2025-10-03T00:00:00"/>
    <s v="Friday"/>
    <s v="Afternoon"/>
    <x v="0"/>
    <n v="8"/>
    <n v="6"/>
    <x v="2"/>
    <x v="0"/>
    <s v="SMS"/>
    <n v="4.4000000000000004"/>
    <x v="15"/>
    <x v="0"/>
  </r>
  <r>
    <s v="HC-03377"/>
    <s v="P-0912"/>
    <s v="Male"/>
    <n v="40"/>
    <x v="0"/>
    <s v="General Consultation"/>
    <d v="2025-09-23T00:00:00"/>
    <d v="2025-10-03T00:00:00"/>
    <s v="Friday"/>
    <s v="Evening"/>
    <x v="0"/>
    <n v="10"/>
    <n v="0"/>
    <x v="0"/>
    <x v="1"/>
    <s v="None"/>
    <n v="8.5"/>
    <x v="13"/>
    <x v="1"/>
  </r>
  <r>
    <s v="HC-03378"/>
    <s v="P-1156"/>
    <s v="Male"/>
    <n v="53"/>
    <x v="2"/>
    <s v="Follow-up"/>
    <d v="2025-11-11T00:00:00"/>
    <d v="2025-11-15T00:00:00"/>
    <s v="Saturday"/>
    <s v="Evening"/>
    <x v="1"/>
    <n v="4"/>
    <n v="2"/>
    <x v="0"/>
    <x v="0"/>
    <s v="WhatsApp"/>
    <n v="5"/>
    <x v="0"/>
    <x v="0"/>
  </r>
  <r>
    <s v="HC-03379"/>
    <s v="P-0144"/>
    <s v="Male"/>
    <n v="46"/>
    <x v="2"/>
    <s v="General Consultation"/>
    <d v="2026-02-16T00:00:00"/>
    <d v="2026-04-14T00:00:00"/>
    <s v="Tuesday"/>
    <s v="Afternoon"/>
    <x v="2"/>
    <n v="57"/>
    <n v="6"/>
    <x v="1"/>
    <x v="0"/>
    <s v="Email"/>
    <n v="10.199999999999999"/>
    <x v="20"/>
    <x v="1"/>
  </r>
  <r>
    <s v="HC-03380"/>
    <s v="P-1051"/>
    <s v="Female"/>
    <n v="47"/>
    <x v="2"/>
    <s v="Specialist Consultation"/>
    <d v="2025-07-05T00:00:00"/>
    <d v="2025-08-04T00:00:00"/>
    <s v="Monday"/>
    <s v="Afternoon"/>
    <x v="3"/>
    <n v="30"/>
    <n v="3"/>
    <x v="0"/>
    <x v="0"/>
    <s v="SMS"/>
    <n v="11.2"/>
    <x v="13"/>
    <x v="1"/>
  </r>
  <r>
    <s v="HC-03381"/>
    <s v="P-0913"/>
    <s v="Female"/>
    <n v="55"/>
    <x v="3"/>
    <s v="General Consultation"/>
    <d v="2026-03-17T00:00:00"/>
    <d v="2026-03-31T00:00:00"/>
    <s v="Tuesday"/>
    <s v="Morning"/>
    <x v="0"/>
    <n v="14"/>
    <n v="1"/>
    <x v="0"/>
    <x v="0"/>
    <s v="SMS"/>
    <n v="11.3"/>
    <x v="19"/>
    <x v="1"/>
  </r>
  <r>
    <s v="HC-03382"/>
    <s v="P-1286"/>
    <s v="Female"/>
    <n v="46"/>
    <x v="2"/>
    <s v="Specialist Consultation"/>
    <d v="2026-03-02T00:00:00"/>
    <d v="2026-03-06T00:00:00"/>
    <s v="Friday"/>
    <s v="Morning"/>
    <x v="1"/>
    <n v="4"/>
    <n v="1"/>
    <x v="0"/>
    <x v="0"/>
    <s v="WhatsApp"/>
    <n v="4.5"/>
    <x v="20"/>
    <x v="1"/>
  </r>
  <r>
    <s v="HC-03383"/>
    <s v="P-1499"/>
    <s v="Male"/>
    <n v="66"/>
    <x v="4"/>
    <s v="Specialist Consultation"/>
    <d v="2026-05-15T00:00:00"/>
    <d v="2026-06-09T00:00:00"/>
    <s v="Tuesday"/>
    <s v="Morning"/>
    <x v="3"/>
    <n v="25"/>
    <n v="3"/>
    <x v="0"/>
    <x v="0"/>
    <s v="Email"/>
    <n v="4.9000000000000004"/>
    <x v="13"/>
    <x v="1"/>
  </r>
  <r>
    <s v="HC-03384"/>
    <s v="P-0133"/>
    <s v="Female"/>
    <n v="21"/>
    <x v="5"/>
    <s v="Specialist Consultation"/>
    <d v="2026-03-31T00:00:00"/>
    <d v="2026-05-14T00:00:00"/>
    <s v="Thursday"/>
    <s v="Afternoon"/>
    <x v="2"/>
    <n v="44"/>
    <n v="5"/>
    <x v="0"/>
    <x v="0"/>
    <s v="SMS"/>
    <n v="8"/>
    <x v="9"/>
    <x v="0"/>
  </r>
  <r>
    <s v="HC-03385"/>
    <s v="P-0063"/>
    <s v="Male"/>
    <n v="30"/>
    <x v="1"/>
    <s v="Diagnostic Test"/>
    <d v="2026-01-11T00:00:00"/>
    <d v="2026-03-12T00:00:00"/>
    <s v="Thursday"/>
    <s v="Afternoon"/>
    <x v="2"/>
    <n v="60"/>
    <n v="3"/>
    <x v="0"/>
    <x v="0"/>
    <s v="SMS"/>
    <n v="16.5"/>
    <x v="13"/>
    <x v="1"/>
  </r>
  <r>
    <s v="HC-03386"/>
    <s v="P-0894"/>
    <s v="Female"/>
    <n v="74"/>
    <x v="4"/>
    <s v="General Consultation"/>
    <d v="2025-04-12T00:00:00"/>
    <d v="2025-05-15T00:00:00"/>
    <s v="Thursday"/>
    <s v="Afternoon"/>
    <x v="2"/>
    <n v="33"/>
    <n v="6"/>
    <x v="2"/>
    <x v="0"/>
    <s v="SMS"/>
    <n v="11.2"/>
    <x v="11"/>
    <x v="0"/>
  </r>
  <r>
    <s v="HC-03387"/>
    <s v="P-1018"/>
    <s v="Female"/>
    <n v="73"/>
    <x v="4"/>
    <s v="Follow-up"/>
    <d v="2026-01-21T00:00:00"/>
    <d v="2026-02-27T00:00:00"/>
    <s v="Friday"/>
    <s v="Evening"/>
    <x v="2"/>
    <n v="37"/>
    <n v="1"/>
    <x v="1"/>
    <x v="0"/>
    <s v="WhatsApp"/>
    <n v="4.3"/>
    <x v="25"/>
    <x v="0"/>
  </r>
  <r>
    <s v="HC-03388"/>
    <s v="P-0415"/>
    <s v="Female"/>
    <n v="69"/>
    <x v="4"/>
    <s v="Specialist Consultation"/>
    <d v="2025-12-19T00:00:00"/>
    <d v="2026-02-07T00:00:00"/>
    <s v="Saturday"/>
    <s v="Morning"/>
    <x v="2"/>
    <n v="50"/>
    <n v="2"/>
    <x v="0"/>
    <x v="1"/>
    <s v="None"/>
    <n v="11.5"/>
    <x v="20"/>
    <x v="0"/>
  </r>
  <r>
    <s v="HC-03389"/>
    <s v="P-0475"/>
    <s v="Female"/>
    <n v="41"/>
    <x v="0"/>
    <s v="General Consultation"/>
    <d v="2025-04-14T00:00:00"/>
    <d v="2025-06-08T00:00:00"/>
    <s v="Sunday"/>
    <s v="Evening"/>
    <x v="2"/>
    <n v="55"/>
    <n v="2"/>
    <x v="0"/>
    <x v="1"/>
    <s v="None"/>
    <n v="0.5"/>
    <x v="25"/>
    <x v="0"/>
  </r>
  <r>
    <s v="HC-03390"/>
    <s v="P-0221"/>
    <s v="Male"/>
    <n v="46"/>
    <x v="2"/>
    <s v="General Consultation"/>
    <d v="2025-12-20T00:00:00"/>
    <d v="2026-01-06T00:00:00"/>
    <s v="Tuesday"/>
    <s v="Morning"/>
    <x v="3"/>
    <n v="17"/>
    <n v="1"/>
    <x v="0"/>
    <x v="0"/>
    <s v="Email"/>
    <n v="14.3"/>
    <x v="39"/>
    <x v="1"/>
  </r>
  <r>
    <s v="HC-03391"/>
    <s v="P-1460"/>
    <s v="Male"/>
    <n v="19"/>
    <x v="5"/>
    <s v="General Consultation"/>
    <d v="2025-03-20T00:00:00"/>
    <d v="2025-05-19T00:00:00"/>
    <s v="Monday"/>
    <s v="Morning"/>
    <x v="2"/>
    <n v="60"/>
    <n v="1"/>
    <x v="0"/>
    <x v="0"/>
    <s v="WhatsApp"/>
    <n v="18.2"/>
    <x v="12"/>
    <x v="0"/>
  </r>
  <r>
    <s v="HC-03392"/>
    <s v="P-0946"/>
    <s v="Female"/>
    <n v="35"/>
    <x v="0"/>
    <s v="General Consultation"/>
    <d v="2025-09-12T00:00:00"/>
    <d v="2025-10-13T00:00:00"/>
    <s v="Monday"/>
    <s v="Afternoon"/>
    <x v="2"/>
    <n v="31"/>
    <n v="4"/>
    <x v="0"/>
    <x v="1"/>
    <s v="None"/>
    <n v="6.4"/>
    <x v="20"/>
    <x v="0"/>
  </r>
  <r>
    <s v="HC-03393"/>
    <s v="P-1381"/>
    <s v="Female"/>
    <n v="63"/>
    <x v="3"/>
    <s v="Specialist Consultation"/>
    <d v="2026-01-15T00:00:00"/>
    <d v="2026-03-12T00:00:00"/>
    <s v="Thursday"/>
    <s v="Morning"/>
    <x v="2"/>
    <n v="56"/>
    <n v="1"/>
    <x v="0"/>
    <x v="0"/>
    <s v="SMS"/>
    <n v="9.5"/>
    <x v="23"/>
    <x v="0"/>
  </r>
  <r>
    <s v="HC-03394"/>
    <s v="P-0816"/>
    <s v="Male"/>
    <n v="39"/>
    <x v="0"/>
    <s v="Follow-up"/>
    <d v="2025-04-06T00:00:00"/>
    <d v="2025-04-13T00:00:00"/>
    <s v="Sunday"/>
    <s v="Afternoon"/>
    <x v="1"/>
    <n v="7"/>
    <n v="6"/>
    <x v="0"/>
    <x v="1"/>
    <s v="None"/>
    <n v="4.8"/>
    <x v="12"/>
    <x v="1"/>
  </r>
  <r>
    <s v="HC-03395"/>
    <s v="P-0381"/>
    <s v="Female"/>
    <n v="48"/>
    <x v="2"/>
    <s v="Follow-up"/>
    <d v="2025-06-28T00:00:00"/>
    <d v="2025-07-03T00:00:00"/>
    <s v="Thursday"/>
    <s v="Afternoon"/>
    <x v="1"/>
    <n v="5"/>
    <n v="3"/>
    <x v="1"/>
    <x v="1"/>
    <s v="None"/>
    <n v="3.8"/>
    <x v="17"/>
    <x v="1"/>
  </r>
  <r>
    <s v="HC-03396"/>
    <s v="P-0818"/>
    <s v="Male"/>
    <n v="25"/>
    <x v="1"/>
    <s v="Diagnostic Test"/>
    <d v="2026-01-17T00:00:00"/>
    <d v="2026-03-11T00:00:00"/>
    <s v="Wednesday"/>
    <s v="Afternoon"/>
    <x v="2"/>
    <n v="53"/>
    <n v="1"/>
    <x v="0"/>
    <x v="0"/>
    <s v="SMS"/>
    <n v="16.2"/>
    <x v="21"/>
    <x v="0"/>
  </r>
  <r>
    <s v="HC-03397"/>
    <s v="P-0051"/>
    <s v="Female"/>
    <n v="49"/>
    <x v="2"/>
    <s v="General Consultation"/>
    <d v="2025-07-26T00:00:00"/>
    <d v="2025-09-05T00:00:00"/>
    <s v="Friday"/>
    <s v="Morning"/>
    <x v="2"/>
    <n v="41"/>
    <n v="3"/>
    <x v="0"/>
    <x v="0"/>
    <s v="SMS"/>
    <n v="4.9000000000000004"/>
    <x v="27"/>
    <x v="1"/>
  </r>
  <r>
    <s v="HC-03398"/>
    <s v="P-0685"/>
    <s v="Male"/>
    <n v="63"/>
    <x v="3"/>
    <s v="Specialist Consultation"/>
    <d v="2026-05-30T00:00:00"/>
    <d v="2026-06-09T00:00:00"/>
    <s v="Tuesday"/>
    <s v="Morning"/>
    <x v="0"/>
    <n v="10"/>
    <n v="1"/>
    <x v="1"/>
    <x v="1"/>
    <s v="None"/>
    <n v="9.3000000000000007"/>
    <x v="11"/>
    <x v="1"/>
  </r>
  <r>
    <s v="HC-03399"/>
    <s v="P-1382"/>
    <s v="Male"/>
    <n v="54"/>
    <x v="2"/>
    <s v="General Consultation"/>
    <d v="2024-11-12T00:00:00"/>
    <d v="2025-01-05T00:00:00"/>
    <s v="Sunday"/>
    <s v="Morning"/>
    <x v="2"/>
    <n v="54"/>
    <n v="1"/>
    <x v="0"/>
    <x v="0"/>
    <s v="WhatsApp"/>
    <n v="12.8"/>
    <x v="17"/>
    <x v="1"/>
  </r>
  <r>
    <s v="HC-03400"/>
    <s v="P-0563"/>
    <s v="Female"/>
    <n v="53"/>
    <x v="2"/>
    <s v="General Consultation"/>
    <d v="2026-01-24T00:00:00"/>
    <d v="2026-01-30T00:00:00"/>
    <s v="Friday"/>
    <s v="Afternoon"/>
    <x v="1"/>
    <n v="6"/>
    <n v="3"/>
    <x v="0"/>
    <x v="0"/>
    <s v="SMS"/>
    <n v="10.199999999999999"/>
    <x v="19"/>
    <x v="0"/>
  </r>
  <r>
    <s v="HC-03401"/>
    <s v="P-1746"/>
    <s v="Male"/>
    <n v="75"/>
    <x v="4"/>
    <s v="General Consultation"/>
    <d v="2026-02-08T00:00:00"/>
    <d v="2026-03-21T00:00:00"/>
    <s v="Saturday"/>
    <s v="Morning"/>
    <x v="2"/>
    <n v="41"/>
    <n v="2"/>
    <x v="0"/>
    <x v="0"/>
    <s v="SMS"/>
    <n v="2.9"/>
    <x v="23"/>
    <x v="0"/>
  </r>
  <r>
    <s v="HC-03402"/>
    <s v="P-0052"/>
    <s v="Female"/>
    <n v="32"/>
    <x v="1"/>
    <s v="General Consultation"/>
    <d v="2026-05-05T00:00:00"/>
    <d v="2026-05-17T00:00:00"/>
    <s v="Sunday"/>
    <s v="Morning"/>
    <x v="0"/>
    <n v="12"/>
    <n v="5"/>
    <x v="1"/>
    <x v="0"/>
    <s v="WhatsApp"/>
    <m/>
    <x v="3"/>
    <x v="1"/>
  </r>
  <r>
    <s v="HC-03403"/>
    <s v="P-0478"/>
    <s v="Female"/>
    <n v="36"/>
    <x v="0"/>
    <s v="General Consultation"/>
    <d v="2025-03-23T00:00:00"/>
    <d v="2025-03-27T00:00:00"/>
    <s v="Thursday"/>
    <s v="Afternoon"/>
    <x v="1"/>
    <n v="4"/>
    <n v="4"/>
    <x v="2"/>
    <x v="0"/>
    <s v="SMS"/>
    <n v="14"/>
    <x v="26"/>
    <x v="0"/>
  </r>
  <r>
    <s v="HC-03404"/>
    <s v="P-1068"/>
    <s v="Male"/>
    <n v="57"/>
    <x v="3"/>
    <s v="Follow-up"/>
    <d v="2026-05-04T00:00:00"/>
    <d v="2026-06-22T00:00:00"/>
    <s v="Monday"/>
    <s v="Evening"/>
    <x v="2"/>
    <n v="49"/>
    <n v="4"/>
    <x v="0"/>
    <x v="0"/>
    <s v="WhatsApp"/>
    <n v="8.1999999999999993"/>
    <x v="18"/>
    <x v="0"/>
  </r>
  <r>
    <s v="HC-03405"/>
    <s v="P-0528"/>
    <s v="Female"/>
    <n v="48"/>
    <x v="2"/>
    <s v="General Consultation"/>
    <d v="2025-06-13T00:00:00"/>
    <d v="2025-08-03T00:00:00"/>
    <s v="Sunday"/>
    <s v="Afternoon"/>
    <x v="2"/>
    <n v="51"/>
    <n v="3"/>
    <x v="1"/>
    <x v="1"/>
    <s v="None"/>
    <n v="8.4"/>
    <x v="3"/>
    <x v="1"/>
  </r>
  <r>
    <s v="HC-03406"/>
    <s v="P-1639"/>
    <s v="Female"/>
    <n v="79"/>
    <x v="4"/>
    <s v="General Consultation"/>
    <d v="2025-07-06T00:00:00"/>
    <d v="2025-07-12T00:00:00"/>
    <s v="Saturday"/>
    <s v="Morning"/>
    <x v="1"/>
    <n v="6"/>
    <n v="3"/>
    <x v="1"/>
    <x v="0"/>
    <s v="SMS"/>
    <n v="15.4"/>
    <x v="24"/>
    <x v="0"/>
  </r>
  <r>
    <s v="HC-03407"/>
    <s v="P-0139"/>
    <s v="Male"/>
    <n v="21"/>
    <x v="5"/>
    <s v="Follow-up"/>
    <d v="2025-07-09T00:00:00"/>
    <d v="2025-07-14T00:00:00"/>
    <s v="Monday"/>
    <s v="Afternoon"/>
    <x v="1"/>
    <n v="5"/>
    <n v="2"/>
    <x v="1"/>
    <x v="1"/>
    <s v="None"/>
    <n v="13.3"/>
    <x v="3"/>
    <x v="0"/>
  </r>
  <r>
    <s v="HC-03408"/>
    <s v="P-0884"/>
    <s v="Male"/>
    <n v="25"/>
    <x v="1"/>
    <s v="General Consultation"/>
    <d v="2025-11-08T00:00:00"/>
    <d v="2025-12-15T00:00:00"/>
    <s v="Monday"/>
    <s v="Morning"/>
    <x v="2"/>
    <n v="37"/>
    <n v="5"/>
    <x v="0"/>
    <x v="1"/>
    <s v="None"/>
    <n v="6.5"/>
    <x v="36"/>
    <x v="2"/>
  </r>
  <r>
    <s v="HC-03409"/>
    <s v="P-0585"/>
    <s v="Female"/>
    <n v="39"/>
    <x v="0"/>
    <s v="Specialist Consultation"/>
    <d v="2025-12-25T00:00:00"/>
    <d v="2025-12-26T00:00:00"/>
    <s v="Friday"/>
    <s v="Morning"/>
    <x v="1"/>
    <n v="1"/>
    <n v="1"/>
    <x v="0"/>
    <x v="0"/>
    <s v="SMS"/>
    <n v="20.9"/>
    <x v="9"/>
    <x v="1"/>
  </r>
  <r>
    <s v="HC-03410"/>
    <s v="P-0529"/>
    <s v="Male"/>
    <n v="46"/>
    <x v="2"/>
    <s v="Diagnostic Test"/>
    <d v="2025-08-02T00:00:00"/>
    <d v="2025-09-16T00:00:00"/>
    <s v="Tuesday"/>
    <s v="Morning"/>
    <x v="2"/>
    <n v="45"/>
    <n v="5"/>
    <x v="2"/>
    <x v="1"/>
    <s v="None"/>
    <n v="5.0999999999999996"/>
    <x v="25"/>
    <x v="0"/>
  </r>
  <r>
    <s v="HC-03411"/>
    <s v="P-0103"/>
    <s v="Female"/>
    <n v="74"/>
    <x v="4"/>
    <s v="Specialist Consultation"/>
    <d v="2024-12-15T00:00:00"/>
    <d v="2025-02-08T00:00:00"/>
    <s v="Saturday"/>
    <s v="Evening"/>
    <x v="2"/>
    <n v="55"/>
    <n v="4"/>
    <x v="1"/>
    <x v="0"/>
    <s v="SMS"/>
    <n v="6.3"/>
    <x v="24"/>
    <x v="1"/>
  </r>
  <r>
    <s v="HC-03412"/>
    <s v="P-0555"/>
    <s v="Male"/>
    <n v="49"/>
    <x v="2"/>
    <s v="Follow-up"/>
    <d v="2026-05-09T00:00:00"/>
    <d v="2026-06-23T00:00:00"/>
    <s v="Tuesday"/>
    <s v="Afternoon"/>
    <x v="2"/>
    <n v="45"/>
    <n v="3"/>
    <x v="2"/>
    <x v="0"/>
    <s v="WhatsApp"/>
    <n v="9.1999999999999993"/>
    <x v="20"/>
    <x v="0"/>
  </r>
  <r>
    <s v="HC-03413"/>
    <s v="P-0078"/>
    <s v="Female"/>
    <n v="45"/>
    <x v="2"/>
    <s v="Follow-up"/>
    <d v="2025-04-18T00:00:00"/>
    <d v="2025-05-02T00:00:00"/>
    <s v="Friday"/>
    <s v="Morning"/>
    <x v="0"/>
    <n v="14"/>
    <n v="2"/>
    <x v="0"/>
    <x v="0"/>
    <s v="SMS"/>
    <n v="12.8"/>
    <x v="31"/>
    <x v="1"/>
  </r>
  <r>
    <s v="HC-03414"/>
    <s v="P-0470"/>
    <s v="Male"/>
    <n v="28"/>
    <x v="1"/>
    <s v="Follow-up"/>
    <d v="2025-02-10T00:00:00"/>
    <d v="2025-02-21T00:00:00"/>
    <s v="Friday"/>
    <s v="Afternoon"/>
    <x v="0"/>
    <n v="11"/>
    <n v="2"/>
    <x v="0"/>
    <x v="0"/>
    <s v="SMS"/>
    <n v="19"/>
    <x v="14"/>
    <x v="1"/>
  </r>
  <r>
    <s v="HC-03415"/>
    <s v="P-1505"/>
    <s v="Female"/>
    <n v="45"/>
    <x v="2"/>
    <s v="Diagnostic Test"/>
    <d v="2025-10-13T00:00:00"/>
    <d v="2025-11-23T00:00:00"/>
    <s v="Sunday"/>
    <s v="Evening"/>
    <x v="2"/>
    <n v="41"/>
    <n v="2"/>
    <x v="2"/>
    <x v="1"/>
    <s v="None"/>
    <n v="6.4"/>
    <x v="26"/>
    <x v="2"/>
  </r>
  <r>
    <s v="HC-03416"/>
    <s v="P-0790"/>
    <s v="Female"/>
    <n v="51"/>
    <x v="2"/>
    <s v="Diagnostic Test"/>
    <d v="2025-08-11T00:00:00"/>
    <d v="2025-08-14T00:00:00"/>
    <s v="Thursday"/>
    <s v="Morning"/>
    <x v="1"/>
    <n v="3"/>
    <n v="4"/>
    <x v="1"/>
    <x v="0"/>
    <s v="SMS"/>
    <n v="9.4"/>
    <x v="13"/>
    <x v="0"/>
  </r>
  <r>
    <s v="HC-03417"/>
    <s v="P-0477"/>
    <s v="Male"/>
    <n v="54"/>
    <x v="2"/>
    <s v="Follow-up"/>
    <d v="2025-11-01T00:00:00"/>
    <d v="2025-12-03T00:00:00"/>
    <s v="Wednesday"/>
    <s v="Afternoon"/>
    <x v="2"/>
    <n v="32"/>
    <n v="5"/>
    <x v="0"/>
    <x v="0"/>
    <s v="Email"/>
    <n v="21"/>
    <x v="7"/>
    <x v="0"/>
  </r>
  <r>
    <s v="HC-03418"/>
    <s v="P-0097"/>
    <s v="Female"/>
    <n v="56"/>
    <x v="3"/>
    <s v="Follow-up"/>
    <d v="2026-03-28T00:00:00"/>
    <d v="2026-04-24T00:00:00"/>
    <s v="Friday"/>
    <s v="Morning"/>
    <x v="3"/>
    <n v="27"/>
    <n v="3"/>
    <x v="1"/>
    <x v="1"/>
    <s v="None"/>
    <n v="16.100000000000001"/>
    <x v="6"/>
    <x v="0"/>
  </r>
  <r>
    <s v="HC-03419"/>
    <s v="P-0537"/>
    <s v="Female"/>
    <n v="45"/>
    <x v="2"/>
    <s v="Specialist Consultation"/>
    <d v="2025-01-09T00:00:00"/>
    <d v="2025-02-23T00:00:00"/>
    <s v="Sunday"/>
    <s v="Morning"/>
    <x v="2"/>
    <n v="45"/>
    <n v="5"/>
    <x v="0"/>
    <x v="1"/>
    <s v="None"/>
    <n v="11.6"/>
    <x v="37"/>
    <x v="0"/>
  </r>
  <r>
    <s v="HC-03420"/>
    <s v="P-0426"/>
    <s v="Female"/>
    <n v="27"/>
    <x v="1"/>
    <s v="General Consultation"/>
    <d v="2025-05-24T00:00:00"/>
    <d v="2025-06-05T00:00:00"/>
    <s v="Thursday"/>
    <s v="Evening"/>
    <x v="0"/>
    <n v="12"/>
    <n v="4"/>
    <x v="1"/>
    <x v="1"/>
    <s v="None"/>
    <n v="10.199999999999999"/>
    <x v="0"/>
    <x v="0"/>
  </r>
  <r>
    <s v="HC-03421"/>
    <s v="P-0824"/>
    <s v="Male"/>
    <n v="27"/>
    <x v="1"/>
    <s v="Follow-up"/>
    <d v="2025-08-25T00:00:00"/>
    <d v="2025-10-10T00:00:00"/>
    <s v="Friday"/>
    <s v="Morning"/>
    <x v="2"/>
    <n v="46"/>
    <n v="5"/>
    <x v="0"/>
    <x v="0"/>
    <s v="SMS"/>
    <n v="2.6"/>
    <x v="22"/>
    <x v="1"/>
  </r>
  <r>
    <s v="HC-03422"/>
    <s v="P-1698"/>
    <s v="Female"/>
    <n v="27"/>
    <x v="1"/>
    <s v="Follow-up"/>
    <d v="2026-01-24T00:00:00"/>
    <d v="2026-03-07T00:00:00"/>
    <s v="Saturday"/>
    <s v="Afternoon"/>
    <x v="2"/>
    <n v="42"/>
    <n v="2"/>
    <x v="2"/>
    <x v="0"/>
    <s v="WhatsApp"/>
    <n v="12.7"/>
    <x v="6"/>
    <x v="0"/>
  </r>
  <r>
    <s v="HC-03423"/>
    <s v="P-0083"/>
    <s v="Male"/>
    <n v="56"/>
    <x v="3"/>
    <s v="Specialist Consultation"/>
    <d v="2025-11-10T00:00:00"/>
    <d v="2025-11-24T00:00:00"/>
    <s v="Monday"/>
    <s v="Morning"/>
    <x v="0"/>
    <n v="14"/>
    <n v="3"/>
    <x v="2"/>
    <x v="0"/>
    <s v="SMS"/>
    <n v="6.8"/>
    <x v="27"/>
    <x v="1"/>
  </r>
  <r>
    <s v="HC-03424"/>
    <s v="P-0820"/>
    <s v="Female"/>
    <n v="71"/>
    <x v="4"/>
    <s v="General Consultation"/>
    <d v="2025-07-07T00:00:00"/>
    <d v="2025-07-28T00:00:00"/>
    <s v="Monday"/>
    <s v="Afternoon"/>
    <x v="3"/>
    <n v="21"/>
    <n v="4"/>
    <x v="2"/>
    <x v="0"/>
    <s v="WhatsApp"/>
    <n v="17.399999999999999"/>
    <x v="48"/>
    <x v="1"/>
  </r>
  <r>
    <s v="HC-03425"/>
    <s v="P-0839"/>
    <s v="Male"/>
    <n v="73"/>
    <x v="4"/>
    <s v="General Consultation"/>
    <d v="2025-11-26T00:00:00"/>
    <d v="2025-11-30T00:00:00"/>
    <s v="Sunday"/>
    <s v="Afternoon"/>
    <x v="1"/>
    <n v="4"/>
    <n v="3"/>
    <x v="0"/>
    <x v="1"/>
    <s v="None"/>
    <n v="9.9"/>
    <x v="14"/>
    <x v="0"/>
  </r>
  <r>
    <s v="HC-03426"/>
    <s v="P-0084"/>
    <s v="Male"/>
    <n v="37"/>
    <x v="0"/>
    <s v="General Consultation"/>
    <d v="2026-05-24T00:00:00"/>
    <d v="2026-06-20T00:00:00"/>
    <s v="Saturday"/>
    <s v="Afternoon"/>
    <x v="3"/>
    <n v="27"/>
    <n v="4"/>
    <x v="1"/>
    <x v="0"/>
    <s v="SMS"/>
    <n v="3.3"/>
    <x v="14"/>
    <x v="0"/>
  </r>
  <r>
    <s v="HC-03427"/>
    <s v="P-0468"/>
    <s v="Female"/>
    <n v="23"/>
    <x v="5"/>
    <s v="Follow-up"/>
    <d v="2025-09-05T00:00:00"/>
    <d v="2025-09-20T00:00:00"/>
    <s v="Saturday"/>
    <s v="Afternoon"/>
    <x v="3"/>
    <n v="15"/>
    <n v="4"/>
    <x v="0"/>
    <x v="1"/>
    <s v="None"/>
    <n v="4.3"/>
    <x v="7"/>
    <x v="0"/>
  </r>
  <r>
    <s v="HC-03428"/>
    <s v="P-0021"/>
    <s v="Male"/>
    <n v="57"/>
    <x v="3"/>
    <s v="Diagnostic Test"/>
    <d v="2026-04-22T00:00:00"/>
    <d v="2026-04-28T00:00:00"/>
    <s v="Tuesday"/>
    <s v="Afternoon"/>
    <x v="1"/>
    <n v="6"/>
    <n v="3"/>
    <x v="0"/>
    <x v="0"/>
    <s v="SMS"/>
    <n v="28.4"/>
    <x v="28"/>
    <x v="1"/>
  </r>
  <r>
    <s v="HC-03429"/>
    <s v="P-1279"/>
    <s v="Female"/>
    <n v="20"/>
    <x v="5"/>
    <s v="Diagnostic Test"/>
    <d v="2026-01-27T00:00:00"/>
    <d v="2026-03-02T00:00:00"/>
    <s v="Monday"/>
    <s v="Morning"/>
    <x v="2"/>
    <n v="34"/>
    <n v="2"/>
    <x v="1"/>
    <x v="0"/>
    <s v="WhatsApp"/>
    <n v="13.2"/>
    <x v="47"/>
    <x v="0"/>
  </r>
  <r>
    <s v="HC-03430"/>
    <s v="P-1763"/>
    <s v="Female"/>
    <n v="57"/>
    <x v="3"/>
    <s v="General Consultation"/>
    <d v="2025-05-11T00:00:00"/>
    <d v="2025-06-14T00:00:00"/>
    <s v="Saturday"/>
    <s v="Morning"/>
    <x v="2"/>
    <n v="34"/>
    <n v="8"/>
    <x v="0"/>
    <x v="0"/>
    <s v="SMS"/>
    <n v="6.2"/>
    <x v="54"/>
    <x v="0"/>
  </r>
  <r>
    <s v="HC-03431"/>
    <s v="P-0096"/>
    <s v="Male"/>
    <n v="42"/>
    <x v="0"/>
    <s v="General Consultation"/>
    <d v="2025-05-12T00:00:00"/>
    <d v="2025-05-17T00:00:00"/>
    <s v="Saturday"/>
    <s v="Afternoon"/>
    <x v="1"/>
    <n v="5"/>
    <n v="2"/>
    <x v="0"/>
    <x v="0"/>
    <s v="Email"/>
    <n v="10.3"/>
    <x v="20"/>
    <x v="1"/>
  </r>
  <r>
    <s v="HC-03432"/>
    <s v="P-1406"/>
    <s v="Male"/>
    <n v="70"/>
    <x v="4"/>
    <s v="Specialist Consultation"/>
    <d v="2026-02-14T00:00:00"/>
    <d v="2026-02-25T00:00:00"/>
    <s v="Wednesday"/>
    <s v="Afternoon"/>
    <x v="0"/>
    <n v="11"/>
    <n v="0"/>
    <x v="0"/>
    <x v="1"/>
    <s v="None"/>
    <n v="7.9"/>
    <x v="3"/>
    <x v="1"/>
  </r>
  <r>
    <s v="HC-03433"/>
    <s v="P-0958"/>
    <s v="Male"/>
    <n v="57"/>
    <x v="3"/>
    <s v="Specialist Consultation"/>
    <d v="2025-04-19T00:00:00"/>
    <d v="2025-04-24T00:00:00"/>
    <s v="Thursday"/>
    <s v="Morning"/>
    <x v="1"/>
    <n v="5"/>
    <n v="3"/>
    <x v="1"/>
    <x v="0"/>
    <s v="WhatsApp"/>
    <n v="17.2"/>
    <x v="10"/>
    <x v="2"/>
  </r>
  <r>
    <s v="HC-03434"/>
    <s v="P-0477"/>
    <s v="Male"/>
    <n v="64"/>
    <x v="3"/>
    <s v="Follow-up"/>
    <d v="2025-05-23T00:00:00"/>
    <d v="2025-07-03T00:00:00"/>
    <s v="Thursday"/>
    <s v="Evening"/>
    <x v="2"/>
    <n v="41"/>
    <n v="2"/>
    <x v="0"/>
    <x v="1"/>
    <s v="None"/>
    <n v="14.1"/>
    <x v="23"/>
    <x v="0"/>
  </r>
  <r>
    <s v="HC-03435"/>
    <s v="P-1143"/>
    <s v="Female"/>
    <n v="43"/>
    <x v="0"/>
    <s v="General Consultation"/>
    <d v="2025-04-19T00:00:00"/>
    <d v="2025-05-09T00:00:00"/>
    <s v="Friday"/>
    <s v="Morning"/>
    <x v="3"/>
    <n v="20"/>
    <n v="1"/>
    <x v="0"/>
    <x v="1"/>
    <s v="None"/>
    <n v="36.700000000000003"/>
    <x v="10"/>
    <x v="0"/>
  </r>
  <r>
    <s v="HC-03436"/>
    <s v="P-0595"/>
    <s v="Male"/>
    <n v="70"/>
    <x v="4"/>
    <s v="General Consultation"/>
    <d v="2025-11-24T00:00:00"/>
    <d v="2025-11-28T00:00:00"/>
    <s v="Friday"/>
    <s v="Morning"/>
    <x v="1"/>
    <n v="4"/>
    <n v="3"/>
    <x v="1"/>
    <x v="0"/>
    <s v="SMS"/>
    <n v="11.2"/>
    <x v="19"/>
    <x v="1"/>
  </r>
  <r>
    <s v="HC-03437"/>
    <s v="P-1793"/>
    <s v="Female"/>
    <n v="51"/>
    <x v="2"/>
    <s v="Specialist Consultation"/>
    <d v="2025-05-30T00:00:00"/>
    <d v="2025-06-10T00:00:00"/>
    <s v="Tuesday"/>
    <s v="Evening"/>
    <x v="0"/>
    <n v="11"/>
    <n v="6"/>
    <x v="0"/>
    <x v="0"/>
    <s v="SMS"/>
    <n v="3.8"/>
    <x v="26"/>
    <x v="1"/>
  </r>
  <r>
    <s v="HC-03438"/>
    <s v="P-1360"/>
    <s v="Male"/>
    <n v="57"/>
    <x v="3"/>
    <s v="Follow-up"/>
    <d v="2025-10-28T00:00:00"/>
    <d v="2025-12-26T00:00:00"/>
    <s v="Friday"/>
    <s v="Afternoon"/>
    <x v="2"/>
    <n v="59"/>
    <n v="2"/>
    <x v="1"/>
    <x v="0"/>
    <s v="SMS"/>
    <n v="1.9"/>
    <x v="3"/>
    <x v="0"/>
  </r>
  <r>
    <s v="HC-03439"/>
    <s v="P-0465"/>
    <s v="Male"/>
    <n v="40"/>
    <x v="0"/>
    <s v="General Consultation"/>
    <d v="2026-05-11T00:00:00"/>
    <d v="2026-05-26T00:00:00"/>
    <s v="Tuesday"/>
    <s v="Afternoon"/>
    <x v="3"/>
    <n v="15"/>
    <n v="3"/>
    <x v="1"/>
    <x v="0"/>
    <s v="WhatsApp"/>
    <n v="1.2"/>
    <x v="25"/>
    <x v="2"/>
  </r>
  <r>
    <s v="HC-03440"/>
    <s v="P-1154"/>
    <s v="Female"/>
    <n v="46"/>
    <x v="2"/>
    <s v="Diagnostic Test"/>
    <d v="2026-02-16T00:00:00"/>
    <d v="2026-03-29T00:00:00"/>
    <s v="Sunday"/>
    <s v="Morning"/>
    <x v="2"/>
    <n v="41"/>
    <n v="4"/>
    <x v="0"/>
    <x v="0"/>
    <s v="SMS"/>
    <n v="16.2"/>
    <x v="24"/>
    <x v="0"/>
  </r>
  <r>
    <s v="HC-03441"/>
    <s v="P-1657"/>
    <s v="Male"/>
    <n v="70"/>
    <x v="4"/>
    <s v="Follow-up"/>
    <d v="2026-05-05T00:00:00"/>
    <d v="2026-06-02T00:00:00"/>
    <s v="Tuesday"/>
    <s v="Morning"/>
    <x v="3"/>
    <n v="28"/>
    <n v="3"/>
    <x v="0"/>
    <x v="0"/>
    <s v="SMS"/>
    <n v="9.8000000000000007"/>
    <x v="24"/>
    <x v="1"/>
  </r>
  <r>
    <s v="HC-03442"/>
    <s v="P-1188"/>
    <s v="Male"/>
    <n v="42"/>
    <x v="0"/>
    <s v="Diagnostic Test"/>
    <d v="2025-01-03T00:00:00"/>
    <d v="2025-01-14T00:00:00"/>
    <s v="Tuesday"/>
    <s v="Afternoon"/>
    <x v="0"/>
    <n v="11"/>
    <n v="4"/>
    <x v="0"/>
    <x v="1"/>
    <s v="None"/>
    <n v="7.9"/>
    <x v="20"/>
    <x v="1"/>
  </r>
  <r>
    <s v="HC-03443"/>
    <s v="P-1190"/>
    <s v="Male"/>
    <n v="19"/>
    <x v="5"/>
    <s v="Follow-up"/>
    <d v="2025-08-19T00:00:00"/>
    <d v="2025-09-06T00:00:00"/>
    <s v="Saturday"/>
    <s v="Morning"/>
    <x v="3"/>
    <n v="18"/>
    <n v="4"/>
    <x v="1"/>
    <x v="1"/>
    <s v="None"/>
    <n v="4.5999999999999996"/>
    <x v="19"/>
    <x v="0"/>
  </r>
  <r>
    <s v="HC-03444"/>
    <s v="P-0673"/>
    <s v="Male"/>
    <n v="41"/>
    <x v="0"/>
    <s v="Follow-up"/>
    <d v="2025-05-01T00:00:00"/>
    <d v="2025-05-01T00:00:00"/>
    <s v="Thursday"/>
    <s v="Afternoon"/>
    <x v="1"/>
    <n v="0"/>
    <n v="5"/>
    <x v="1"/>
    <x v="0"/>
    <s v="SMS"/>
    <n v="8.6999999999999993"/>
    <x v="37"/>
    <x v="1"/>
  </r>
  <r>
    <s v="HC-03445"/>
    <s v="P-1128"/>
    <s v="Male"/>
    <n v="42"/>
    <x v="0"/>
    <s v="Diagnostic Test"/>
    <d v="2026-04-02T00:00:00"/>
    <d v="2026-05-17T00:00:00"/>
    <s v="Sunday"/>
    <s v="Morning"/>
    <x v="2"/>
    <n v="45"/>
    <n v="3"/>
    <x v="0"/>
    <x v="0"/>
    <s v="WhatsApp"/>
    <n v="14"/>
    <x v="23"/>
    <x v="0"/>
  </r>
  <r>
    <s v="HC-03446"/>
    <s v="P-1508"/>
    <s v="Male"/>
    <n v="44"/>
    <x v="0"/>
    <s v="Diagnostic Test"/>
    <d v="2026-01-04T00:00:00"/>
    <d v="2026-01-24T00:00:00"/>
    <s v="Saturday"/>
    <s v="Morning"/>
    <x v="3"/>
    <n v="20"/>
    <n v="1"/>
    <x v="0"/>
    <x v="0"/>
    <s v="SMS"/>
    <n v="8.1"/>
    <x v="10"/>
    <x v="0"/>
  </r>
  <r>
    <s v="HC-03447"/>
    <s v="P-0134"/>
    <s v="Male"/>
    <n v="22"/>
    <x v="5"/>
    <s v="Diagnostic Test"/>
    <d v="2025-05-25T00:00:00"/>
    <d v="2025-06-24T00:00:00"/>
    <s v="Tuesday"/>
    <s v="Morning"/>
    <x v="3"/>
    <n v="30"/>
    <n v="5"/>
    <x v="2"/>
    <x v="0"/>
    <s v="Email"/>
    <n v="17.899999999999999"/>
    <x v="11"/>
    <x v="0"/>
  </r>
  <r>
    <s v="HC-03448"/>
    <s v="P-1275"/>
    <s v="Male"/>
    <n v="26"/>
    <x v="1"/>
    <s v="Specialist Consultation"/>
    <d v="2025-10-26T00:00:00"/>
    <d v="2025-11-04T00:00:00"/>
    <s v="Tuesday"/>
    <s v="Morning"/>
    <x v="0"/>
    <n v="9"/>
    <n v="2"/>
    <x v="0"/>
    <x v="0"/>
    <s v="WhatsApp"/>
    <n v="24.4"/>
    <x v="15"/>
    <x v="0"/>
  </r>
  <r>
    <s v="HC-03449"/>
    <s v="P-0390"/>
    <s v="Female"/>
    <n v="38"/>
    <x v="0"/>
    <s v="Follow-up"/>
    <d v="2025-10-08T00:00:00"/>
    <d v="2025-11-27T00:00:00"/>
    <s v="Thursday"/>
    <s v="Morning"/>
    <x v="2"/>
    <n v="50"/>
    <n v="3"/>
    <x v="0"/>
    <x v="0"/>
    <s v="SMS"/>
    <n v="10.3"/>
    <x v="6"/>
    <x v="0"/>
  </r>
  <r>
    <s v="HC-03450"/>
    <s v="P-1309"/>
    <s v="Female"/>
    <n v="44"/>
    <x v="0"/>
    <s v="General Consultation"/>
    <d v="2025-09-15T00:00:00"/>
    <d v="2025-09-28T00:00:00"/>
    <s v="Sunday"/>
    <s v="Afternoon"/>
    <x v="0"/>
    <n v="13"/>
    <n v="3"/>
    <x v="2"/>
    <x v="1"/>
    <s v="None"/>
    <n v="7.5"/>
    <x v="4"/>
    <x v="0"/>
  </r>
  <r>
    <s v="HC-03451"/>
    <s v="P-0924"/>
    <s v="Prefer not to say"/>
    <n v="19"/>
    <x v="5"/>
    <s v="General Consultation"/>
    <d v="2025-08-13T00:00:00"/>
    <d v="2025-09-16T00:00:00"/>
    <s v="Tuesday"/>
    <s v="Afternoon"/>
    <x v="2"/>
    <n v="34"/>
    <n v="6"/>
    <x v="0"/>
    <x v="0"/>
    <s v="SMS"/>
    <n v="7.1"/>
    <x v="3"/>
    <x v="1"/>
  </r>
  <r>
    <s v="HC-03452"/>
    <s v="P-0355"/>
    <s v="Male"/>
    <n v="42"/>
    <x v="0"/>
    <s v="Diagnostic Test"/>
    <d v="2024-12-09T00:00:00"/>
    <d v="2025-01-31T00:00:00"/>
    <s v="Friday"/>
    <s v="Morning"/>
    <x v="2"/>
    <n v="53"/>
    <n v="1"/>
    <x v="0"/>
    <x v="0"/>
    <s v="WhatsApp"/>
    <n v="10"/>
    <x v="25"/>
    <x v="1"/>
  </r>
  <r>
    <s v="HC-03453"/>
    <s v="P-1798"/>
    <s v="Male"/>
    <n v="38"/>
    <x v="0"/>
    <s v="General Consultation"/>
    <d v="2025-07-24T00:00:00"/>
    <d v="2025-09-05T00:00:00"/>
    <s v="Friday"/>
    <s v="Afternoon"/>
    <x v="2"/>
    <n v="43"/>
    <n v="2"/>
    <x v="0"/>
    <x v="1"/>
    <s v="None"/>
    <n v="10.199999999999999"/>
    <x v="17"/>
    <x v="1"/>
  </r>
  <r>
    <s v="HC-03454"/>
    <s v="P-0547"/>
    <s v="Female"/>
    <n v="20"/>
    <x v="5"/>
    <s v="Specialist Consultation"/>
    <d v="2025-06-04T00:00:00"/>
    <d v="2025-07-10T00:00:00"/>
    <s v="Thursday"/>
    <s v="Morning"/>
    <x v="2"/>
    <n v="36"/>
    <n v="4"/>
    <x v="0"/>
    <x v="0"/>
    <s v="SMS"/>
    <n v="11.3"/>
    <x v="18"/>
    <x v="0"/>
  </r>
  <r>
    <s v="HC-03455"/>
    <s v="P-1482"/>
    <s v="Female"/>
    <n v="33"/>
    <x v="1"/>
    <s v="Diagnostic Test"/>
    <d v="2026-01-28T00:00:00"/>
    <d v="2026-03-23T00:00:00"/>
    <s v="Monday"/>
    <s v="Morning"/>
    <x v="2"/>
    <n v="54"/>
    <n v="2"/>
    <x v="0"/>
    <x v="0"/>
    <s v="SMS"/>
    <n v="2.6"/>
    <x v="51"/>
    <x v="0"/>
  </r>
  <r>
    <s v="HC-03456"/>
    <s v="P-0652"/>
    <s v="Male"/>
    <n v="35"/>
    <x v="0"/>
    <s v="Diagnostic Test"/>
    <d v="2026-04-08T00:00:00"/>
    <d v="2026-04-18T00:00:00"/>
    <s v="Saturday"/>
    <s v="Evening"/>
    <x v="0"/>
    <n v="10"/>
    <n v="2"/>
    <x v="1"/>
    <x v="0"/>
    <s v="SMS"/>
    <n v="11"/>
    <x v="3"/>
    <x v="1"/>
  </r>
  <r>
    <s v="HC-03457"/>
    <s v="P-0252"/>
    <s v="Female"/>
    <n v="27"/>
    <x v="1"/>
    <s v="Diagnostic Test"/>
    <d v="2025-12-18T00:00:00"/>
    <d v="2026-02-14T00:00:00"/>
    <s v="Saturday"/>
    <s v="Afternoon"/>
    <x v="2"/>
    <n v="58"/>
    <n v="5"/>
    <x v="1"/>
    <x v="0"/>
    <s v="SMS"/>
    <n v="10.8"/>
    <x v="11"/>
    <x v="0"/>
  </r>
  <r>
    <s v="HC-03458"/>
    <s v="P-0549"/>
    <s v="Female"/>
    <n v="65"/>
    <x v="4"/>
    <s v="Follow-up"/>
    <d v="2024-12-15T00:00:00"/>
    <d v="2025-01-17T00:00:00"/>
    <s v="Friday"/>
    <s v="Afternoon"/>
    <x v="2"/>
    <n v="33"/>
    <n v="5"/>
    <x v="0"/>
    <x v="0"/>
    <s v="SMS"/>
    <n v="13.8"/>
    <x v="27"/>
    <x v="0"/>
  </r>
  <r>
    <s v="HC-03459"/>
    <s v="P-1742"/>
    <s v="Female"/>
    <n v="22"/>
    <x v="5"/>
    <s v="Follow-up"/>
    <d v="2026-03-11T00:00:00"/>
    <d v="2026-04-05T00:00:00"/>
    <s v="Sunday"/>
    <s v="Morning"/>
    <x v="3"/>
    <n v="25"/>
    <n v="2"/>
    <x v="1"/>
    <x v="1"/>
    <s v="None"/>
    <n v="15.1"/>
    <x v="6"/>
    <x v="1"/>
  </r>
  <r>
    <s v="HC-03460"/>
    <s v="P-0363"/>
    <s v="Male"/>
    <n v="54"/>
    <x v="2"/>
    <s v="Diagnostic Test"/>
    <d v="2025-07-21T00:00:00"/>
    <d v="2025-08-05T00:00:00"/>
    <s v="Tuesday"/>
    <s v="Morning"/>
    <x v="3"/>
    <n v="15"/>
    <n v="1"/>
    <x v="0"/>
    <x v="0"/>
    <s v="SMS"/>
    <n v="18.7"/>
    <x v="7"/>
    <x v="1"/>
  </r>
  <r>
    <s v="HC-03461"/>
    <s v="P-1492"/>
    <s v="Male"/>
    <n v="59"/>
    <x v="3"/>
    <s v="General Consultation"/>
    <d v="2025-07-02T00:00:00"/>
    <d v="2025-08-16T00:00:00"/>
    <s v="Saturday"/>
    <s v="Afternoon"/>
    <x v="2"/>
    <n v="45"/>
    <n v="5"/>
    <x v="1"/>
    <x v="0"/>
    <s v="SMS"/>
    <n v="11.6"/>
    <x v="31"/>
    <x v="0"/>
  </r>
  <r>
    <s v="HC-03462"/>
    <s v="P-1213"/>
    <s v="Female"/>
    <n v="68"/>
    <x v="4"/>
    <s v="General Consultation"/>
    <d v="2026-04-03T00:00:00"/>
    <d v="2026-06-01T00:00:00"/>
    <s v="Monday"/>
    <s v="Afternoon"/>
    <x v="2"/>
    <n v="59"/>
    <n v="3"/>
    <x v="0"/>
    <x v="0"/>
    <s v="SMS"/>
    <n v="15.2"/>
    <x v="3"/>
    <x v="1"/>
  </r>
  <r>
    <s v="HC-03463"/>
    <s v="P-0779"/>
    <s v="Male"/>
    <n v="52"/>
    <x v="2"/>
    <s v="Diagnostic Test"/>
    <d v="2026-03-08T00:00:00"/>
    <d v="2026-04-19T00:00:00"/>
    <s v="Sunday"/>
    <s v="Afternoon"/>
    <x v="2"/>
    <n v="42"/>
    <n v="3"/>
    <x v="0"/>
    <x v="1"/>
    <s v="None"/>
    <n v="11.6"/>
    <x v="16"/>
    <x v="1"/>
  </r>
  <r>
    <s v="HC-03464"/>
    <s v="P-1170"/>
    <s v="Female"/>
    <n v="52"/>
    <x v="2"/>
    <s v="Follow-up"/>
    <d v="2025-01-27T00:00:00"/>
    <d v="2025-01-28T00:00:00"/>
    <s v="Tuesday"/>
    <s v="Evening"/>
    <x v="1"/>
    <n v="1"/>
    <n v="4"/>
    <x v="0"/>
    <x v="0"/>
    <s v="Email"/>
    <n v="18.5"/>
    <x v="38"/>
    <x v="1"/>
  </r>
  <r>
    <s v="HC-03465"/>
    <s v="P-1048"/>
    <s v="Male"/>
    <n v="65"/>
    <x v="4"/>
    <s v="Follow-up"/>
    <d v="2025-06-18T00:00:00"/>
    <d v="2025-07-16T00:00:00"/>
    <s v="Wednesday"/>
    <s v="Morning"/>
    <x v="3"/>
    <n v="28"/>
    <n v="1"/>
    <x v="0"/>
    <x v="1"/>
    <s v="None"/>
    <m/>
    <x v="32"/>
    <x v="1"/>
  </r>
  <r>
    <s v="HC-03466"/>
    <s v="P-0990"/>
    <s v="Male"/>
    <n v="71"/>
    <x v="4"/>
    <s v="General Consultation"/>
    <d v="2026-01-01T00:00:00"/>
    <d v="2026-02-14T00:00:00"/>
    <s v="Saturday"/>
    <s v="Afternoon"/>
    <x v="2"/>
    <n v="44"/>
    <n v="3"/>
    <x v="1"/>
    <x v="1"/>
    <s v="None"/>
    <n v="6.3"/>
    <x v="0"/>
    <x v="0"/>
  </r>
  <r>
    <s v="HC-03467"/>
    <s v="P-1277"/>
    <s v="Male"/>
    <n v="31"/>
    <x v="1"/>
    <s v="Follow-up"/>
    <d v="2025-09-28T00:00:00"/>
    <d v="2025-10-22T00:00:00"/>
    <s v="Wednesday"/>
    <s v="Afternoon"/>
    <x v="3"/>
    <n v="24"/>
    <n v="5"/>
    <x v="2"/>
    <x v="0"/>
    <s v="Email"/>
    <n v="9.6999999999999993"/>
    <x v="49"/>
    <x v="0"/>
  </r>
  <r>
    <s v="HC-03468"/>
    <s v="P-1104"/>
    <s v="Female"/>
    <n v="68"/>
    <x v="4"/>
    <s v="Diagnostic Test"/>
    <d v="2025-04-04T00:00:00"/>
    <d v="2025-05-21T00:00:00"/>
    <s v="Wednesday"/>
    <s v="Morning"/>
    <x v="2"/>
    <n v="47"/>
    <n v="3"/>
    <x v="1"/>
    <x v="0"/>
    <s v="SMS"/>
    <n v="21.1"/>
    <x v="16"/>
    <x v="0"/>
  </r>
  <r>
    <s v="HC-03469"/>
    <s v="P-0099"/>
    <s v="Female"/>
    <n v="47"/>
    <x v="2"/>
    <s v="Follow-up"/>
    <d v="2025-09-01T00:00:00"/>
    <d v="2025-10-14T00:00:00"/>
    <s v="Tuesday"/>
    <s v="Morning"/>
    <x v="2"/>
    <n v="43"/>
    <n v="2"/>
    <x v="1"/>
    <x v="0"/>
    <s v="WhatsApp"/>
    <n v="6.6"/>
    <x v="52"/>
    <x v="0"/>
  </r>
  <r>
    <s v="HC-03470"/>
    <s v="P-1752"/>
    <s v="Female"/>
    <n v="24"/>
    <x v="5"/>
    <s v="General Consultation"/>
    <d v="2026-04-15T00:00:00"/>
    <d v="2026-04-19T00:00:00"/>
    <s v="Sunday"/>
    <s v="Afternoon"/>
    <x v="1"/>
    <n v="4"/>
    <n v="2"/>
    <x v="1"/>
    <x v="0"/>
    <s v="SMS"/>
    <n v="20.9"/>
    <x v="26"/>
    <x v="0"/>
  </r>
  <r>
    <s v="HC-03471"/>
    <s v="P-1793"/>
    <s v="Male"/>
    <n v="56"/>
    <x v="3"/>
    <s v="Follow-up"/>
    <d v="2025-03-29T00:00:00"/>
    <d v="2025-05-02T00:00:00"/>
    <s v="Friday"/>
    <s v="Morning"/>
    <x v="2"/>
    <n v="34"/>
    <n v="1"/>
    <x v="1"/>
    <x v="0"/>
    <s v="WhatsApp"/>
    <n v="11.9"/>
    <x v="25"/>
    <x v="0"/>
  </r>
  <r>
    <s v="HC-03472"/>
    <s v="P-0124"/>
    <s v="Female"/>
    <n v="79"/>
    <x v="4"/>
    <s v="Diagnostic Test"/>
    <d v="2026-02-02T00:00:00"/>
    <d v="2026-02-12T00:00:00"/>
    <s v="Thursday"/>
    <s v="Afternoon"/>
    <x v="0"/>
    <n v="10"/>
    <n v="5"/>
    <x v="1"/>
    <x v="0"/>
    <s v="WhatsApp"/>
    <n v="16.100000000000001"/>
    <x v="31"/>
    <x v="1"/>
  </r>
  <r>
    <s v="HC-03473"/>
    <s v="P-0012"/>
    <s v="Female"/>
    <n v="26"/>
    <x v="1"/>
    <s v="Diagnostic Test"/>
    <d v="2026-01-08T00:00:00"/>
    <d v="2026-02-06T00:00:00"/>
    <s v="Friday"/>
    <s v="Afternoon"/>
    <x v="3"/>
    <n v="29"/>
    <n v="2"/>
    <x v="1"/>
    <x v="0"/>
    <s v="SMS"/>
    <n v="12.6"/>
    <x v="0"/>
    <x v="0"/>
  </r>
  <r>
    <s v="HC-03474"/>
    <s v="P-1214"/>
    <s v="Female"/>
    <n v="18"/>
    <x v="5"/>
    <s v="General Consultation"/>
    <d v="2026-04-06T00:00:00"/>
    <d v="2026-04-29T00:00:00"/>
    <s v="Wednesday"/>
    <s v="Afternoon"/>
    <x v="3"/>
    <n v="23"/>
    <n v="3"/>
    <x v="1"/>
    <x v="1"/>
    <s v="None"/>
    <n v="10.199999999999999"/>
    <x v="51"/>
    <x v="0"/>
  </r>
  <r>
    <s v="HC-03475"/>
    <s v="P-1546"/>
    <s v="Prefer not to say"/>
    <n v="75"/>
    <x v="4"/>
    <s v="Follow-up"/>
    <d v="2025-04-24T00:00:00"/>
    <d v="2025-06-12T00:00:00"/>
    <s v="Thursday"/>
    <s v="Afternoon"/>
    <x v="2"/>
    <n v="49"/>
    <n v="4"/>
    <x v="0"/>
    <x v="0"/>
    <s v="SMS"/>
    <n v="6.3"/>
    <x v="27"/>
    <x v="1"/>
  </r>
  <r>
    <s v="HC-03476"/>
    <s v="P-1458"/>
    <s v="Male"/>
    <n v="55"/>
    <x v="3"/>
    <s v="General Consultation"/>
    <d v="2025-03-07T00:00:00"/>
    <d v="2025-04-28T00:00:00"/>
    <s v="Monday"/>
    <s v="Afternoon"/>
    <x v="2"/>
    <n v="52"/>
    <n v="0"/>
    <x v="0"/>
    <x v="0"/>
    <s v="WhatsApp"/>
    <n v="34.6"/>
    <x v="16"/>
    <x v="0"/>
  </r>
  <r>
    <s v="HC-03477"/>
    <s v="P-1074"/>
    <s v="Female"/>
    <n v="31"/>
    <x v="1"/>
    <s v="Follow-up"/>
    <d v="2025-09-29T00:00:00"/>
    <d v="2025-10-27T00:00:00"/>
    <s v="Monday"/>
    <s v="Afternoon"/>
    <x v="3"/>
    <n v="28"/>
    <n v="7"/>
    <x v="2"/>
    <x v="0"/>
    <s v="SMS"/>
    <n v="3.1"/>
    <x v="36"/>
    <x v="0"/>
  </r>
  <r>
    <s v="HC-03478"/>
    <s v="P-0787"/>
    <s v="Male"/>
    <n v="67"/>
    <x v="4"/>
    <s v="General Consultation"/>
    <d v="2025-09-16T00:00:00"/>
    <d v="2025-10-18T00:00:00"/>
    <s v="Saturday"/>
    <s v="Evening"/>
    <x v="2"/>
    <n v="32"/>
    <n v="2"/>
    <x v="0"/>
    <x v="0"/>
    <s v="SMS"/>
    <n v="17.600000000000001"/>
    <x v="36"/>
    <x v="1"/>
  </r>
  <r>
    <s v="HC-03479"/>
    <s v="P-1646"/>
    <s v="Female"/>
    <n v="42"/>
    <x v="0"/>
    <s v="Follow-up"/>
    <d v="2025-07-05T00:00:00"/>
    <d v="2025-08-12T00:00:00"/>
    <s v="Tuesday"/>
    <s v="Morning"/>
    <x v="2"/>
    <n v="38"/>
    <n v="8"/>
    <x v="1"/>
    <x v="1"/>
    <s v="None"/>
    <m/>
    <x v="17"/>
    <x v="0"/>
  </r>
  <r>
    <s v="HC-03480"/>
    <s v="P-0558"/>
    <s v="Male"/>
    <n v="38"/>
    <x v="0"/>
    <s v="Follow-up"/>
    <d v="2026-01-22T00:00:00"/>
    <d v="2026-03-02T00:00:00"/>
    <s v="Monday"/>
    <s v="Evening"/>
    <x v="2"/>
    <n v="39"/>
    <n v="6"/>
    <x v="0"/>
    <x v="0"/>
    <s v="WhatsApp"/>
    <n v="23.2"/>
    <x v="27"/>
    <x v="0"/>
  </r>
  <r>
    <s v="HC-03481"/>
    <s v="P-1596"/>
    <s v="Prefer not to say"/>
    <n v="36"/>
    <x v="0"/>
    <s v="General Consultation"/>
    <d v="2026-02-03T00:00:00"/>
    <d v="2026-03-13T00:00:00"/>
    <s v="Friday"/>
    <s v="Morning"/>
    <x v="2"/>
    <n v="38"/>
    <n v="6"/>
    <x v="0"/>
    <x v="0"/>
    <s v="Email"/>
    <n v="14.1"/>
    <x v="2"/>
    <x v="1"/>
  </r>
  <r>
    <s v="HC-03482"/>
    <s v="P-0988"/>
    <s v="Male"/>
    <n v="55"/>
    <x v="3"/>
    <s v="General Consultation"/>
    <d v="2025-03-29T00:00:00"/>
    <d v="2025-05-15T00:00:00"/>
    <s v="Thursday"/>
    <s v="Morning"/>
    <x v="2"/>
    <n v="47"/>
    <n v="1"/>
    <x v="0"/>
    <x v="0"/>
    <s v="WhatsApp"/>
    <n v="5.0999999999999996"/>
    <x v="6"/>
    <x v="0"/>
  </r>
  <r>
    <s v="HC-03483"/>
    <s v="P-0976"/>
    <s v="Male"/>
    <n v="26"/>
    <x v="1"/>
    <s v="General Consultation"/>
    <d v="2026-01-11T00:00:00"/>
    <d v="2026-03-11T00:00:00"/>
    <s v="Wednesday"/>
    <s v="Afternoon"/>
    <x v="2"/>
    <n v="59"/>
    <n v="6"/>
    <x v="1"/>
    <x v="1"/>
    <s v="None"/>
    <n v="5.4"/>
    <x v="3"/>
    <x v="0"/>
  </r>
  <r>
    <s v="HC-03484"/>
    <s v="P-1372"/>
    <s v="Female"/>
    <n v="40"/>
    <x v="0"/>
    <s v="General Consultation"/>
    <d v="2025-03-17T00:00:00"/>
    <d v="2025-05-06T00:00:00"/>
    <s v="Tuesday"/>
    <s v="Morning"/>
    <x v="2"/>
    <n v="50"/>
    <n v="3"/>
    <x v="1"/>
    <x v="0"/>
    <s v="SMS"/>
    <n v="9.6999999999999993"/>
    <x v="11"/>
    <x v="0"/>
  </r>
  <r>
    <s v="HC-03485"/>
    <s v="P-1041"/>
    <s v="Female"/>
    <n v="37"/>
    <x v="0"/>
    <s v="Specialist Consultation"/>
    <d v="2025-08-03T00:00:00"/>
    <d v="2025-08-11T00:00:00"/>
    <s v="Monday"/>
    <s v="Morning"/>
    <x v="0"/>
    <n v="8"/>
    <n v="0"/>
    <x v="0"/>
    <x v="0"/>
    <s v="SMS"/>
    <n v="2.1"/>
    <x v="18"/>
    <x v="1"/>
  </r>
  <r>
    <s v="HC-03486"/>
    <s v="P-1558"/>
    <s v="Male"/>
    <n v="21"/>
    <x v="5"/>
    <s v="General Consultation"/>
    <d v="2024-12-17T00:00:00"/>
    <d v="2025-01-15T00:00:00"/>
    <s v="Wednesday"/>
    <s v="Morning"/>
    <x v="3"/>
    <n v="29"/>
    <n v="2"/>
    <x v="0"/>
    <x v="0"/>
    <s v="Email"/>
    <n v="18.3"/>
    <x v="27"/>
    <x v="0"/>
  </r>
  <r>
    <s v="HC-03487"/>
    <s v="P-1572"/>
    <s v="Male"/>
    <n v="66"/>
    <x v="4"/>
    <s v="General Consultation"/>
    <d v="2025-06-07T00:00:00"/>
    <d v="2025-07-05T00:00:00"/>
    <s v="Saturday"/>
    <s v="Afternoon"/>
    <x v="3"/>
    <n v="28"/>
    <n v="1"/>
    <x v="0"/>
    <x v="0"/>
    <s v="SMS"/>
    <n v="5.9"/>
    <x v="4"/>
    <x v="1"/>
  </r>
  <r>
    <s v="HC-03488"/>
    <s v="P-1193"/>
    <s v="Female"/>
    <n v="18"/>
    <x v="5"/>
    <s v="Diagnostic Test"/>
    <d v="2026-05-08T00:00:00"/>
    <d v="2026-06-08T00:00:00"/>
    <s v="Monday"/>
    <s v="Afternoon"/>
    <x v="2"/>
    <n v="31"/>
    <n v="2"/>
    <x v="0"/>
    <x v="0"/>
    <s v="Email"/>
    <n v="3.4"/>
    <x v="31"/>
    <x v="1"/>
  </r>
  <r>
    <s v="HC-03489"/>
    <s v="P-0644"/>
    <s v="Female"/>
    <n v="78"/>
    <x v="4"/>
    <s v="General Consultation"/>
    <d v="2025-07-29T00:00:00"/>
    <d v="2025-08-30T00:00:00"/>
    <s v="Saturday"/>
    <s v="Morning"/>
    <x v="2"/>
    <n v="32"/>
    <n v="2"/>
    <x v="0"/>
    <x v="0"/>
    <s v="WhatsApp"/>
    <n v="16.5"/>
    <x v="6"/>
    <x v="1"/>
  </r>
  <r>
    <s v="HC-03490"/>
    <s v="P-1159"/>
    <s v="Female"/>
    <n v="23"/>
    <x v="5"/>
    <s v="Diagnostic Test"/>
    <d v="2025-12-11T00:00:00"/>
    <d v="2026-01-23T00:00:00"/>
    <s v="Friday"/>
    <s v="Afternoon"/>
    <x v="2"/>
    <n v="43"/>
    <n v="3"/>
    <x v="1"/>
    <x v="0"/>
    <s v="SMS"/>
    <n v="1.8"/>
    <x v="20"/>
    <x v="1"/>
  </r>
  <r>
    <s v="HC-03491"/>
    <s v="P-1768"/>
    <s v="Female"/>
    <n v="40"/>
    <x v="0"/>
    <s v="Follow-up"/>
    <d v="2025-02-03T00:00:00"/>
    <d v="2025-02-28T00:00:00"/>
    <s v="Friday"/>
    <s v="Morning"/>
    <x v="3"/>
    <n v="25"/>
    <n v="3"/>
    <x v="1"/>
    <x v="0"/>
    <s v="SMS"/>
    <n v="9"/>
    <x v="27"/>
    <x v="1"/>
  </r>
  <r>
    <s v="HC-03492"/>
    <s v="P-1612"/>
    <s v="Male"/>
    <n v="24"/>
    <x v="5"/>
    <s v="Specialist Consultation"/>
    <d v="2025-11-28T00:00:00"/>
    <d v="2025-12-14T00:00:00"/>
    <s v="Sunday"/>
    <s v="Evening"/>
    <x v="3"/>
    <n v="16"/>
    <n v="6"/>
    <x v="0"/>
    <x v="0"/>
    <s v="WhatsApp"/>
    <n v="4.3"/>
    <x v="29"/>
    <x v="0"/>
  </r>
  <r>
    <s v="HC-03493"/>
    <s v="P-1571"/>
    <s v="Female"/>
    <n v="41"/>
    <x v="0"/>
    <s v="Follow-up"/>
    <d v="2025-06-25T00:00:00"/>
    <d v="2025-07-22T00:00:00"/>
    <s v="Tuesday"/>
    <s v="Morning"/>
    <x v="3"/>
    <n v="27"/>
    <n v="3"/>
    <x v="0"/>
    <x v="1"/>
    <s v="None"/>
    <n v="12.4"/>
    <x v="29"/>
    <x v="0"/>
  </r>
  <r>
    <s v="HC-03494"/>
    <s v="P-0959"/>
    <s v="Male"/>
    <n v="56"/>
    <x v="3"/>
    <s v="General Consultation"/>
    <d v="2025-12-21T00:00:00"/>
    <d v="2026-02-11T00:00:00"/>
    <s v="Wednesday"/>
    <s v="Afternoon"/>
    <x v="2"/>
    <n v="52"/>
    <n v="2"/>
    <x v="1"/>
    <x v="0"/>
    <s v="SMS"/>
    <n v="18.600000000000001"/>
    <x v="18"/>
    <x v="1"/>
  </r>
  <r>
    <s v="HC-03495"/>
    <s v="P-1731"/>
    <s v="Female"/>
    <n v="23"/>
    <x v="5"/>
    <s v="Specialist Consultation"/>
    <d v="2026-05-04T00:00:00"/>
    <d v="2026-05-22T00:00:00"/>
    <s v="Friday"/>
    <s v="Afternoon"/>
    <x v="3"/>
    <n v="18"/>
    <n v="2"/>
    <x v="1"/>
    <x v="0"/>
    <s v="SMS"/>
    <n v="2"/>
    <x v="24"/>
    <x v="1"/>
  </r>
  <r>
    <s v="HC-03496"/>
    <s v="P-0650"/>
    <s v="Male"/>
    <n v="51"/>
    <x v="2"/>
    <s v="Specialist Consultation"/>
    <d v="2025-10-17T00:00:00"/>
    <d v="2025-10-18T00:00:00"/>
    <s v="Saturday"/>
    <s v="Afternoon"/>
    <x v="1"/>
    <n v="1"/>
    <n v="4"/>
    <x v="1"/>
    <x v="0"/>
    <s v="SMS"/>
    <n v="18.7"/>
    <x v="20"/>
    <x v="1"/>
  </r>
  <r>
    <s v="HC-03497"/>
    <s v="P-1330"/>
    <s v="Male"/>
    <n v="66"/>
    <x v="4"/>
    <s v="General Consultation"/>
    <d v="2024-12-29T00:00:00"/>
    <d v="2025-02-26T00:00:00"/>
    <s v="Wednesday"/>
    <s v="Evening"/>
    <x v="2"/>
    <n v="59"/>
    <n v="1"/>
    <x v="0"/>
    <x v="0"/>
    <s v="SMS"/>
    <n v="8.1999999999999993"/>
    <x v="18"/>
    <x v="0"/>
  </r>
  <r>
    <s v="HC-03498"/>
    <s v="P-0339"/>
    <s v="Male"/>
    <n v="46"/>
    <x v="2"/>
    <s v="Specialist Consultation"/>
    <d v="2025-09-06T00:00:00"/>
    <d v="2025-09-17T00:00:00"/>
    <s v="Wednesday"/>
    <s v="Morning"/>
    <x v="0"/>
    <n v="11"/>
    <n v="1"/>
    <x v="0"/>
    <x v="0"/>
    <s v="SMS"/>
    <n v="3.9"/>
    <x v="9"/>
    <x v="0"/>
  </r>
  <r>
    <s v="HC-03499"/>
    <s v="P-0531"/>
    <s v="Male"/>
    <n v="25"/>
    <x v="1"/>
    <s v="Follow-up"/>
    <d v="2025-02-01T00:00:00"/>
    <d v="2025-03-09T00:00:00"/>
    <s v="Sunday"/>
    <s v="Afternoon"/>
    <x v="2"/>
    <n v="36"/>
    <n v="4"/>
    <x v="1"/>
    <x v="1"/>
    <s v="None"/>
    <n v="3.7"/>
    <x v="19"/>
    <x v="0"/>
  </r>
  <r>
    <s v="HC-03500"/>
    <s v="P-0242"/>
    <s v="Female"/>
    <n v="61"/>
    <x v="3"/>
    <s v="Diagnostic Test"/>
    <d v="2025-07-17T00:00:00"/>
    <d v="2025-09-03T00:00:00"/>
    <s v="Wednesday"/>
    <s v="Morning"/>
    <x v="2"/>
    <n v="48"/>
    <n v="3"/>
    <x v="0"/>
    <x v="0"/>
    <s v="SMS"/>
    <n v="8.1999999999999993"/>
    <x v="10"/>
    <x v="1"/>
  </r>
  <r>
    <s v="HC-03501"/>
    <s v="P-0669"/>
    <s v="Female"/>
    <n v="29"/>
    <x v="1"/>
    <s v="Specialist Consultation"/>
    <d v="2025-01-18T00:00:00"/>
    <d v="2025-02-03T00:00:00"/>
    <s v="Monday"/>
    <s v="Afternoon"/>
    <x v="3"/>
    <n v="16"/>
    <n v="4"/>
    <x v="1"/>
    <x v="0"/>
    <s v="WhatsApp"/>
    <n v="1.8"/>
    <x v="47"/>
    <x v="0"/>
  </r>
  <r>
    <s v="HC-03502"/>
    <s v="P-0670"/>
    <s v="Male"/>
    <n v="19"/>
    <x v="5"/>
    <s v="General Consultation"/>
    <d v="2025-11-26T00:00:00"/>
    <d v="2025-12-16T00:00:00"/>
    <s v="Tuesday"/>
    <s v="Morning"/>
    <x v="3"/>
    <n v="20"/>
    <n v="4"/>
    <x v="0"/>
    <x v="0"/>
    <s v="SMS"/>
    <n v="7.9"/>
    <x v="29"/>
    <x v="1"/>
  </r>
  <r>
    <s v="HC-03503"/>
    <s v="P-0449"/>
    <s v="Male"/>
    <n v="45"/>
    <x v="2"/>
    <s v="Specialist Consultation"/>
    <d v="2025-06-02T00:00:00"/>
    <d v="2025-06-19T00:00:00"/>
    <s v="Thursday"/>
    <s v="Morning"/>
    <x v="3"/>
    <n v="17"/>
    <n v="3"/>
    <x v="2"/>
    <x v="0"/>
    <s v="WhatsApp"/>
    <n v="8.6999999999999993"/>
    <x v="35"/>
    <x v="1"/>
  </r>
  <r>
    <s v="HC-03504"/>
    <s v="P-0051"/>
    <s v="Male"/>
    <n v="35"/>
    <x v="0"/>
    <s v="Diagnostic Test"/>
    <d v="2025-04-12T00:00:00"/>
    <d v="2025-04-21T00:00:00"/>
    <s v="Monday"/>
    <s v="Morning"/>
    <x v="0"/>
    <n v="9"/>
    <n v="1"/>
    <x v="0"/>
    <x v="1"/>
    <s v="None"/>
    <n v="13"/>
    <x v="25"/>
    <x v="1"/>
  </r>
  <r>
    <s v="HC-03505"/>
    <s v="P-0646"/>
    <s v="Male"/>
    <n v="19"/>
    <x v="5"/>
    <s v="Specialist Consultation"/>
    <d v="2025-01-01T00:00:00"/>
    <d v="2025-01-10T00:00:00"/>
    <s v="Friday"/>
    <s v="Morning"/>
    <x v="0"/>
    <n v="9"/>
    <n v="3"/>
    <x v="2"/>
    <x v="0"/>
    <s v="SMS"/>
    <n v="17.600000000000001"/>
    <x v="4"/>
    <x v="0"/>
  </r>
  <r>
    <s v="HC-03506"/>
    <s v="P-1150"/>
    <s v="Female"/>
    <n v="66"/>
    <x v="4"/>
    <s v="General Consultation"/>
    <d v="2026-04-19T00:00:00"/>
    <d v="2026-04-30T00:00:00"/>
    <s v="Thursday"/>
    <s v="Evening"/>
    <x v="0"/>
    <n v="11"/>
    <n v="2"/>
    <x v="1"/>
    <x v="0"/>
    <s v="SMS"/>
    <n v="13.7"/>
    <x v="25"/>
    <x v="1"/>
  </r>
  <r>
    <s v="HC-03507"/>
    <s v="P-1538"/>
    <s v="Female"/>
    <n v="55"/>
    <x v="3"/>
    <s v="Specialist Consultation"/>
    <d v="2026-03-07T00:00:00"/>
    <d v="2026-04-03T00:00:00"/>
    <s v="Friday"/>
    <s v="Afternoon"/>
    <x v="3"/>
    <n v="27"/>
    <n v="3"/>
    <x v="0"/>
    <x v="1"/>
    <s v="None"/>
    <n v="21.2"/>
    <x v="27"/>
    <x v="1"/>
  </r>
  <r>
    <s v="HC-03508"/>
    <s v="P-1576"/>
    <s v="Male"/>
    <n v="75"/>
    <x v="4"/>
    <s v="Follow-up"/>
    <d v="2026-02-16T00:00:00"/>
    <d v="2026-03-20T00:00:00"/>
    <s v="Friday"/>
    <s v="Morning"/>
    <x v="2"/>
    <n v="32"/>
    <n v="2"/>
    <x v="0"/>
    <x v="0"/>
    <s v="SMS"/>
    <n v="4.4000000000000004"/>
    <x v="19"/>
    <x v="1"/>
  </r>
  <r>
    <s v="HC-03509"/>
    <s v="P-0674"/>
    <s v="Male"/>
    <n v="48"/>
    <x v="2"/>
    <s v="General Consultation"/>
    <d v="2025-02-01T00:00:00"/>
    <d v="2025-02-01T00:00:00"/>
    <s v="Saturday"/>
    <s v="Afternoon"/>
    <x v="1"/>
    <n v="0"/>
    <n v="2"/>
    <x v="1"/>
    <x v="1"/>
    <s v="None"/>
    <n v="11.9"/>
    <x v="12"/>
    <x v="0"/>
  </r>
  <r>
    <s v="HC-03510"/>
    <s v="P-1156"/>
    <s v="Male"/>
    <n v="45"/>
    <x v="2"/>
    <s v="Diagnostic Test"/>
    <d v="2025-05-20T00:00:00"/>
    <d v="2025-07-10T00:00:00"/>
    <s v="Thursday"/>
    <s v="Afternoon"/>
    <x v="2"/>
    <n v="51"/>
    <n v="1"/>
    <x v="0"/>
    <x v="0"/>
    <s v="SMS"/>
    <n v="12.6"/>
    <x v="2"/>
    <x v="0"/>
  </r>
  <r>
    <s v="HC-03511"/>
    <s v="P-0148"/>
    <s v="Male"/>
    <n v="71"/>
    <x v="4"/>
    <s v="Follow-up"/>
    <d v="2026-05-05T00:00:00"/>
    <d v="2026-06-15T00:00:00"/>
    <s v="Monday"/>
    <s v="Morning"/>
    <x v="2"/>
    <n v="41"/>
    <n v="6"/>
    <x v="0"/>
    <x v="1"/>
    <s v="None"/>
    <n v="20.9"/>
    <x v="5"/>
    <x v="0"/>
  </r>
  <r>
    <s v="HC-03512"/>
    <s v="P-1766"/>
    <s v="Male"/>
    <n v="23"/>
    <x v="5"/>
    <s v="Specialist Consultation"/>
    <d v="2025-11-08T00:00:00"/>
    <d v="2025-11-12T00:00:00"/>
    <s v="Wednesday"/>
    <s v="Morning"/>
    <x v="1"/>
    <n v="4"/>
    <n v="3"/>
    <x v="0"/>
    <x v="0"/>
    <s v="SMS"/>
    <n v="12.5"/>
    <x v="4"/>
    <x v="0"/>
  </r>
  <r>
    <s v="HC-03513"/>
    <s v="P-0541"/>
    <s v="Male"/>
    <n v="40"/>
    <x v="0"/>
    <s v="Follow-up"/>
    <d v="2025-01-20T00:00:00"/>
    <d v="2025-03-12T00:00:00"/>
    <s v="Wednesday"/>
    <s v="Afternoon"/>
    <x v="2"/>
    <n v="51"/>
    <n v="3"/>
    <x v="0"/>
    <x v="0"/>
    <s v="WhatsApp"/>
    <n v="5.4"/>
    <x v="27"/>
    <x v="0"/>
  </r>
  <r>
    <s v="HC-03514"/>
    <s v="P-1664"/>
    <s v="Female"/>
    <n v="68"/>
    <x v="4"/>
    <s v="General Consultation"/>
    <d v="2025-03-18T00:00:00"/>
    <d v="2025-03-19T00:00:00"/>
    <s v="Wednesday"/>
    <s v="Morning"/>
    <x v="1"/>
    <n v="1"/>
    <n v="3"/>
    <x v="1"/>
    <x v="0"/>
    <s v="Email"/>
    <n v="9.1"/>
    <x v="4"/>
    <x v="2"/>
  </r>
  <r>
    <s v="HC-03515"/>
    <s v="P-0810"/>
    <s v="Male"/>
    <n v="36"/>
    <x v="0"/>
    <s v="Diagnostic Test"/>
    <d v="2025-04-20T00:00:00"/>
    <d v="2025-05-24T00:00:00"/>
    <s v="Saturday"/>
    <s v="Afternoon"/>
    <x v="2"/>
    <n v="34"/>
    <n v="3"/>
    <x v="0"/>
    <x v="0"/>
    <s v="SMS"/>
    <n v="12"/>
    <x v="35"/>
    <x v="1"/>
  </r>
  <r>
    <s v="HC-03516"/>
    <s v="P-1069"/>
    <s v="Female"/>
    <n v="73"/>
    <x v="4"/>
    <s v="Follow-up"/>
    <d v="2026-05-18T00:00:00"/>
    <d v="2026-06-15T00:00:00"/>
    <s v="Monday"/>
    <s v="Morning"/>
    <x v="3"/>
    <n v="28"/>
    <n v="4"/>
    <x v="0"/>
    <x v="1"/>
    <s v="None"/>
    <n v="2.8"/>
    <x v="17"/>
    <x v="1"/>
  </r>
  <r>
    <s v="HC-03517"/>
    <s v="P-0932"/>
    <s v="Female"/>
    <n v="35"/>
    <x v="0"/>
    <s v="Follow-up"/>
    <d v="2025-03-04T00:00:00"/>
    <d v="2025-04-03T00:00:00"/>
    <s v="Thursday"/>
    <s v="Morning"/>
    <x v="3"/>
    <n v="30"/>
    <n v="4"/>
    <x v="1"/>
    <x v="0"/>
    <s v="SMS"/>
    <n v="22.7"/>
    <x v="16"/>
    <x v="1"/>
  </r>
  <r>
    <s v="HC-03518"/>
    <s v="P-0235"/>
    <s v="Male"/>
    <n v="44"/>
    <x v="0"/>
    <s v="General Consultation"/>
    <d v="2026-03-11T00:00:00"/>
    <d v="2026-05-08T00:00:00"/>
    <s v="Friday"/>
    <s v="Afternoon"/>
    <x v="2"/>
    <n v="58"/>
    <n v="1"/>
    <x v="1"/>
    <x v="0"/>
    <s v="SMS"/>
    <n v="9.3000000000000007"/>
    <x v="22"/>
    <x v="0"/>
  </r>
  <r>
    <s v="HC-03519"/>
    <s v="P-0544"/>
    <s v="Female"/>
    <n v="74"/>
    <x v="4"/>
    <s v="General Consultation"/>
    <d v="2025-11-11T00:00:00"/>
    <d v="2026-01-06T00:00:00"/>
    <s v="Tuesday"/>
    <s v="Afternoon"/>
    <x v="2"/>
    <n v="56"/>
    <n v="6"/>
    <x v="0"/>
    <x v="0"/>
    <s v="WhatsApp"/>
    <n v="28.8"/>
    <x v="14"/>
    <x v="0"/>
  </r>
  <r>
    <s v="HC-03520"/>
    <s v="P-0354"/>
    <s v="Female"/>
    <n v="33"/>
    <x v="1"/>
    <s v="Follow-up"/>
    <d v="2026-05-02T00:00:00"/>
    <d v="2026-05-19T00:00:00"/>
    <s v="Tuesday"/>
    <s v="Evening"/>
    <x v="3"/>
    <n v="17"/>
    <n v="2"/>
    <x v="1"/>
    <x v="0"/>
    <s v="SMS"/>
    <n v="3.2"/>
    <x v="11"/>
    <x v="1"/>
  </r>
  <r>
    <s v="HC-03521"/>
    <s v="P-1256"/>
    <s v="Male"/>
    <n v="78"/>
    <x v="4"/>
    <s v="Follow-up"/>
    <d v="2026-02-21T00:00:00"/>
    <d v="2026-03-28T00:00:00"/>
    <s v="Saturday"/>
    <s v="Morning"/>
    <x v="2"/>
    <n v="35"/>
    <n v="0"/>
    <x v="0"/>
    <x v="0"/>
    <s v="Email"/>
    <n v="4.5999999999999996"/>
    <x v="45"/>
    <x v="0"/>
  </r>
  <r>
    <s v="HC-03522"/>
    <s v="P-0640"/>
    <s v="Prefer not to say"/>
    <n v="20"/>
    <x v="5"/>
    <s v="Diagnostic Test"/>
    <d v="2025-05-04T00:00:00"/>
    <d v="2025-07-01T00:00:00"/>
    <s v="Tuesday"/>
    <s v="Afternoon"/>
    <x v="2"/>
    <n v="58"/>
    <n v="3"/>
    <x v="0"/>
    <x v="1"/>
    <s v="None"/>
    <n v="12.9"/>
    <x v="1"/>
    <x v="0"/>
  </r>
  <r>
    <s v="HC-03523"/>
    <s v="P-1525"/>
    <s v="Female"/>
    <n v="34"/>
    <x v="1"/>
    <s v="Diagnostic Test"/>
    <d v="2026-02-13T00:00:00"/>
    <d v="2026-03-29T00:00:00"/>
    <s v="Sunday"/>
    <s v="Evening"/>
    <x v="2"/>
    <n v="44"/>
    <n v="3"/>
    <x v="1"/>
    <x v="1"/>
    <s v="None"/>
    <n v="7.1"/>
    <x v="26"/>
    <x v="0"/>
  </r>
  <r>
    <s v="HC-03524"/>
    <s v="P-0308"/>
    <s v="Male"/>
    <n v="55"/>
    <x v="3"/>
    <s v="Specialist Consultation"/>
    <d v="2025-02-08T00:00:00"/>
    <d v="2025-04-03T00:00:00"/>
    <s v="Thursday"/>
    <s v="Afternoon"/>
    <x v="2"/>
    <n v="54"/>
    <n v="3"/>
    <x v="0"/>
    <x v="1"/>
    <s v="None"/>
    <n v="17.100000000000001"/>
    <x v="23"/>
    <x v="0"/>
  </r>
  <r>
    <s v="HC-03525"/>
    <s v="P-0936"/>
    <s v="Male"/>
    <n v="55"/>
    <x v="3"/>
    <s v="General Consultation"/>
    <d v="2025-05-13T00:00:00"/>
    <d v="2025-06-08T00:00:00"/>
    <s v="Sunday"/>
    <s v="Evening"/>
    <x v="3"/>
    <n v="26"/>
    <n v="4"/>
    <x v="1"/>
    <x v="0"/>
    <s v="WhatsApp"/>
    <n v="9.6999999999999993"/>
    <x v="1"/>
    <x v="1"/>
  </r>
  <r>
    <s v="HC-03526"/>
    <s v="P-0746"/>
    <s v="Female"/>
    <n v="75"/>
    <x v="4"/>
    <s v="Specialist Consultation"/>
    <d v="2025-04-09T00:00:00"/>
    <d v="2025-04-26T00:00:00"/>
    <s v="Saturday"/>
    <s v="Evening"/>
    <x v="3"/>
    <n v="17"/>
    <n v="5"/>
    <x v="2"/>
    <x v="0"/>
    <s v="SMS"/>
    <n v="9.4"/>
    <x v="4"/>
    <x v="1"/>
  </r>
  <r>
    <s v="HC-03527"/>
    <s v="P-0096"/>
    <s v="Male"/>
    <n v="78"/>
    <x v="4"/>
    <s v="General Consultation"/>
    <d v="2025-02-11T00:00:00"/>
    <d v="2025-03-14T00:00:00"/>
    <s v="Friday"/>
    <s v="Afternoon"/>
    <x v="2"/>
    <n v="31"/>
    <n v="2"/>
    <x v="0"/>
    <x v="0"/>
    <s v="WhatsApp"/>
    <n v="9.1999999999999993"/>
    <x v="19"/>
    <x v="1"/>
  </r>
  <r>
    <s v="HC-03528"/>
    <s v="P-1791"/>
    <s v="Male"/>
    <n v="60"/>
    <x v="3"/>
    <s v="Specialist Consultation"/>
    <d v="2025-01-01T00:00:00"/>
    <d v="2025-02-19T00:00:00"/>
    <s v="Wednesday"/>
    <s v="Evening"/>
    <x v="2"/>
    <n v="49"/>
    <n v="2"/>
    <x v="1"/>
    <x v="1"/>
    <s v="None"/>
    <n v="3.5"/>
    <x v="26"/>
    <x v="0"/>
  </r>
  <r>
    <s v="HC-03529"/>
    <s v="P-1124"/>
    <s v="Male"/>
    <n v="59"/>
    <x v="3"/>
    <s v="Follow-up"/>
    <d v="2025-02-16T00:00:00"/>
    <d v="2025-04-13T00:00:00"/>
    <s v="Sunday"/>
    <s v="Afternoon"/>
    <x v="2"/>
    <n v="56"/>
    <n v="4"/>
    <x v="0"/>
    <x v="0"/>
    <s v="SMS"/>
    <n v="9.9"/>
    <x v="23"/>
    <x v="0"/>
  </r>
  <r>
    <s v="HC-03530"/>
    <s v="P-1794"/>
    <s v="Male"/>
    <n v="37"/>
    <x v="0"/>
    <s v="Diagnostic Test"/>
    <d v="2025-01-25T00:00:00"/>
    <d v="2025-03-07T00:00:00"/>
    <s v="Friday"/>
    <s v="Afternoon"/>
    <x v="2"/>
    <n v="41"/>
    <n v="0"/>
    <x v="0"/>
    <x v="0"/>
    <s v="Email"/>
    <n v="4.4000000000000004"/>
    <x v="12"/>
    <x v="1"/>
  </r>
  <r>
    <s v="HC-03531"/>
    <s v="P-0132"/>
    <s v="Prefer not to say"/>
    <n v="68"/>
    <x v="4"/>
    <s v="General Consultation"/>
    <d v="2025-06-14T00:00:00"/>
    <d v="2025-07-27T00:00:00"/>
    <s v="Sunday"/>
    <s v="Evening"/>
    <x v="2"/>
    <n v="43"/>
    <n v="3"/>
    <x v="0"/>
    <x v="0"/>
    <s v="Email"/>
    <n v="29.5"/>
    <x v="6"/>
    <x v="1"/>
  </r>
  <r>
    <s v="HC-03532"/>
    <s v="P-1355"/>
    <s v="Male"/>
    <n v="58"/>
    <x v="3"/>
    <s v="General Consultation"/>
    <d v="2025-01-08T00:00:00"/>
    <d v="2025-02-08T00:00:00"/>
    <s v="Saturday"/>
    <s v="Afternoon"/>
    <x v="2"/>
    <n v="31"/>
    <n v="4"/>
    <x v="0"/>
    <x v="0"/>
    <s v="SMS"/>
    <n v="1.4"/>
    <x v="1"/>
    <x v="1"/>
  </r>
  <r>
    <s v="HC-03533"/>
    <s v="P-1396"/>
    <s v="Female"/>
    <n v="19"/>
    <x v="5"/>
    <s v="Diagnostic Test"/>
    <d v="2025-01-15T00:00:00"/>
    <d v="2025-02-03T00:00:00"/>
    <s v="Monday"/>
    <s v="Morning"/>
    <x v="3"/>
    <n v="19"/>
    <n v="3"/>
    <x v="2"/>
    <x v="0"/>
    <s v="SMS"/>
    <n v="10.8"/>
    <x v="23"/>
    <x v="1"/>
  </r>
  <r>
    <s v="HC-03534"/>
    <s v="P-1104"/>
    <s v="Male"/>
    <n v="70"/>
    <x v="4"/>
    <s v="Follow-up"/>
    <d v="2026-05-31T00:00:00"/>
    <d v="2026-06-25T00:00:00"/>
    <s v="Thursday"/>
    <s v="Morning"/>
    <x v="3"/>
    <n v="25"/>
    <n v="1"/>
    <x v="0"/>
    <x v="0"/>
    <s v="WhatsApp"/>
    <n v="11.7"/>
    <x v="13"/>
    <x v="1"/>
  </r>
  <r>
    <s v="HC-03535"/>
    <s v="P-0239"/>
    <s v="Male"/>
    <n v="40"/>
    <x v="0"/>
    <s v="Specialist Consultation"/>
    <d v="2025-01-18T00:00:00"/>
    <d v="2025-02-17T00:00:00"/>
    <s v="Monday"/>
    <s v="Morning"/>
    <x v="3"/>
    <n v="30"/>
    <n v="2"/>
    <x v="0"/>
    <x v="1"/>
    <s v="None"/>
    <m/>
    <x v="45"/>
    <x v="2"/>
  </r>
  <r>
    <s v="HC-03536"/>
    <s v="P-1535"/>
    <s v="Female"/>
    <n v="47"/>
    <x v="2"/>
    <s v="Diagnostic Test"/>
    <d v="2024-12-23T00:00:00"/>
    <d v="2025-02-10T00:00:00"/>
    <s v="Monday"/>
    <s v="Afternoon"/>
    <x v="2"/>
    <n v="49"/>
    <n v="3"/>
    <x v="1"/>
    <x v="0"/>
    <s v="WhatsApp"/>
    <n v="15.2"/>
    <x v="6"/>
    <x v="0"/>
  </r>
  <r>
    <s v="HC-03537"/>
    <s v="P-0933"/>
    <s v="Male"/>
    <n v="48"/>
    <x v="2"/>
    <s v="Follow-up"/>
    <d v="2024-12-15T00:00:00"/>
    <d v="2025-01-17T00:00:00"/>
    <s v="Friday"/>
    <s v="Morning"/>
    <x v="2"/>
    <n v="33"/>
    <n v="4"/>
    <x v="0"/>
    <x v="0"/>
    <s v="SMS"/>
    <n v="2.2999999999999998"/>
    <x v="39"/>
    <x v="0"/>
  </r>
  <r>
    <s v="HC-03538"/>
    <s v="P-1733"/>
    <s v="Male"/>
    <n v="69"/>
    <x v="4"/>
    <s v="Follow-up"/>
    <d v="2025-01-25T00:00:00"/>
    <d v="2025-03-14T00:00:00"/>
    <s v="Friday"/>
    <s v="Morning"/>
    <x v="2"/>
    <n v="48"/>
    <n v="4"/>
    <x v="2"/>
    <x v="0"/>
    <s v="SMS"/>
    <n v="12"/>
    <x v="20"/>
    <x v="2"/>
  </r>
  <r>
    <s v="HC-03539"/>
    <s v="P-0092"/>
    <s v="Female"/>
    <n v="34"/>
    <x v="1"/>
    <s v="Follow-up"/>
    <d v="2025-10-15T00:00:00"/>
    <d v="2025-10-16T00:00:00"/>
    <s v="Thursday"/>
    <s v="Afternoon"/>
    <x v="1"/>
    <n v="1"/>
    <n v="4"/>
    <x v="0"/>
    <x v="0"/>
    <s v="SMS"/>
    <n v="8.8000000000000007"/>
    <x v="23"/>
    <x v="1"/>
  </r>
  <r>
    <s v="HC-03540"/>
    <s v="P-1529"/>
    <s v="Female"/>
    <n v="42"/>
    <x v="0"/>
    <s v="Specialist Consultation"/>
    <d v="2026-02-10T00:00:00"/>
    <d v="2026-03-28T00:00:00"/>
    <s v="Saturday"/>
    <s v="Morning"/>
    <x v="2"/>
    <n v="46"/>
    <n v="1"/>
    <x v="0"/>
    <x v="0"/>
    <s v="SMS"/>
    <m/>
    <x v="23"/>
    <x v="0"/>
  </r>
  <r>
    <s v="HC-03541"/>
    <s v="P-0583"/>
    <s v="Male"/>
    <n v="20"/>
    <x v="5"/>
    <s v="Diagnostic Test"/>
    <d v="2026-01-07T00:00:00"/>
    <d v="2026-02-06T00:00:00"/>
    <s v="Friday"/>
    <s v="Evening"/>
    <x v="3"/>
    <n v="30"/>
    <n v="2"/>
    <x v="0"/>
    <x v="0"/>
    <s v="WhatsApp"/>
    <n v="16.5"/>
    <x v="0"/>
    <x v="0"/>
  </r>
  <r>
    <s v="HC-03542"/>
    <s v="P-1172"/>
    <s v="Female"/>
    <n v="39"/>
    <x v="0"/>
    <s v="General Consultation"/>
    <d v="2025-09-14T00:00:00"/>
    <d v="2025-11-13T00:00:00"/>
    <s v="Thursday"/>
    <s v="Afternoon"/>
    <x v="2"/>
    <n v="60"/>
    <n v="5"/>
    <x v="1"/>
    <x v="0"/>
    <s v="SMS"/>
    <n v="19.7"/>
    <x v="14"/>
    <x v="1"/>
  </r>
  <r>
    <s v="HC-03543"/>
    <s v="P-0837"/>
    <s v="Male"/>
    <n v="23"/>
    <x v="5"/>
    <s v="Specialist Consultation"/>
    <d v="2025-01-19T00:00:00"/>
    <d v="2025-02-16T00:00:00"/>
    <s v="Sunday"/>
    <s v="Morning"/>
    <x v="3"/>
    <n v="28"/>
    <n v="5"/>
    <x v="1"/>
    <x v="0"/>
    <s v="WhatsApp"/>
    <n v="3.1"/>
    <x v="8"/>
    <x v="1"/>
  </r>
  <r>
    <s v="HC-03544"/>
    <s v="P-0877"/>
    <s v="Female"/>
    <n v="54"/>
    <x v="2"/>
    <s v="General Consultation"/>
    <d v="2026-01-29T00:00:00"/>
    <d v="2026-02-27T00:00:00"/>
    <s v="Friday"/>
    <s v="Morning"/>
    <x v="3"/>
    <n v="29"/>
    <n v="5"/>
    <x v="1"/>
    <x v="0"/>
    <s v="Email"/>
    <n v="9.1999999999999993"/>
    <x v="13"/>
    <x v="1"/>
  </r>
  <r>
    <s v="HC-03545"/>
    <s v="P-0116"/>
    <s v="Male"/>
    <n v="74"/>
    <x v="4"/>
    <s v="Follow-up"/>
    <d v="2025-01-14T00:00:00"/>
    <d v="2025-01-21T00:00:00"/>
    <s v="Tuesday"/>
    <s v="Afternoon"/>
    <x v="1"/>
    <n v="7"/>
    <n v="0"/>
    <x v="0"/>
    <x v="0"/>
    <s v="SMS"/>
    <n v="14.7"/>
    <x v="36"/>
    <x v="0"/>
  </r>
  <r>
    <s v="HC-03546"/>
    <s v="P-0675"/>
    <s v="Male"/>
    <n v="47"/>
    <x v="2"/>
    <s v="Specialist Consultation"/>
    <d v="2025-10-23T00:00:00"/>
    <d v="2025-12-11T00:00:00"/>
    <s v="Thursday"/>
    <s v="Afternoon"/>
    <x v="2"/>
    <n v="49"/>
    <n v="1"/>
    <x v="0"/>
    <x v="1"/>
    <s v="None"/>
    <n v="9.8000000000000007"/>
    <x v="47"/>
    <x v="0"/>
  </r>
  <r>
    <s v="HC-03547"/>
    <s v="P-0073"/>
    <s v="Female"/>
    <n v="75"/>
    <x v="4"/>
    <s v="Diagnostic Test"/>
    <d v="2025-07-01T00:00:00"/>
    <d v="2025-08-12T00:00:00"/>
    <s v="Tuesday"/>
    <s v="Afternoon"/>
    <x v="2"/>
    <n v="42"/>
    <n v="6"/>
    <x v="2"/>
    <x v="0"/>
    <s v="WhatsApp"/>
    <n v="18.8"/>
    <x v="7"/>
    <x v="0"/>
  </r>
  <r>
    <s v="HC-03548"/>
    <s v="P-0789"/>
    <s v="Male"/>
    <n v="79"/>
    <x v="4"/>
    <s v="Follow-up"/>
    <d v="2026-03-06T00:00:00"/>
    <d v="2026-04-27T00:00:00"/>
    <s v="Monday"/>
    <s v="Morning"/>
    <x v="2"/>
    <n v="52"/>
    <n v="0"/>
    <x v="0"/>
    <x v="0"/>
    <s v="SMS"/>
    <n v="5.3"/>
    <x v="13"/>
    <x v="0"/>
  </r>
  <r>
    <s v="HC-03549"/>
    <s v="P-1610"/>
    <s v="Female"/>
    <n v="21"/>
    <x v="5"/>
    <s v="General Consultation"/>
    <d v="2025-06-12T00:00:00"/>
    <d v="2025-06-17T00:00:00"/>
    <s v="Tuesday"/>
    <s v="Evening"/>
    <x v="1"/>
    <n v="5"/>
    <n v="8"/>
    <x v="3"/>
    <x v="0"/>
    <s v="SMS"/>
    <n v="17.8"/>
    <x v="9"/>
    <x v="0"/>
  </r>
  <r>
    <s v="HC-03550"/>
    <s v="P-0289"/>
    <s v="Female"/>
    <n v="50"/>
    <x v="2"/>
    <s v="General Consultation"/>
    <d v="2025-12-03T00:00:00"/>
    <d v="2025-12-15T00:00:00"/>
    <s v="Monday"/>
    <s v="Afternoon"/>
    <x v="0"/>
    <n v="12"/>
    <n v="1"/>
    <x v="0"/>
    <x v="0"/>
    <s v="SMS"/>
    <n v="7.2"/>
    <x v="32"/>
    <x v="1"/>
  </r>
  <r>
    <s v="HC-03551"/>
    <s v="P-0102"/>
    <s v="Male"/>
    <n v="51"/>
    <x v="2"/>
    <s v="General Consultation"/>
    <d v="2025-07-07T00:00:00"/>
    <d v="2025-08-29T00:00:00"/>
    <s v="Friday"/>
    <s v="Afternoon"/>
    <x v="2"/>
    <n v="53"/>
    <n v="5"/>
    <x v="2"/>
    <x v="0"/>
    <s v="WhatsApp"/>
    <n v="4.4000000000000004"/>
    <x v="19"/>
    <x v="0"/>
  </r>
  <r>
    <s v="HC-03552"/>
    <s v="P-0473"/>
    <s v="Female"/>
    <n v="42"/>
    <x v="0"/>
    <s v="General Consultation"/>
    <d v="2025-10-11T00:00:00"/>
    <d v="2025-10-13T00:00:00"/>
    <s v="Monday"/>
    <s v="Morning"/>
    <x v="1"/>
    <n v="2"/>
    <n v="3"/>
    <x v="0"/>
    <x v="1"/>
    <s v="None"/>
    <n v="9.9"/>
    <x v="37"/>
    <x v="1"/>
  </r>
  <r>
    <s v="HC-03553"/>
    <s v="P-0629"/>
    <s v="Male"/>
    <n v="70"/>
    <x v="4"/>
    <s v="Specialist Consultation"/>
    <d v="2026-04-27T00:00:00"/>
    <d v="2026-05-28T00:00:00"/>
    <s v="Thursday"/>
    <s v="Evening"/>
    <x v="2"/>
    <n v="31"/>
    <n v="3"/>
    <x v="1"/>
    <x v="0"/>
    <s v="WhatsApp"/>
    <n v="8.1999999999999993"/>
    <x v="42"/>
    <x v="0"/>
  </r>
  <r>
    <s v="HC-03554"/>
    <s v="P-1378"/>
    <s v="Male"/>
    <n v="42"/>
    <x v="0"/>
    <s v="General Consultation"/>
    <d v="2026-01-01T00:00:00"/>
    <d v="2026-01-25T00:00:00"/>
    <s v="Sunday"/>
    <s v="Afternoon"/>
    <x v="3"/>
    <n v="24"/>
    <n v="4"/>
    <x v="1"/>
    <x v="0"/>
    <s v="SMS"/>
    <n v="2.8"/>
    <x v="7"/>
    <x v="0"/>
  </r>
  <r>
    <s v="HC-03555"/>
    <s v="P-0235"/>
    <s v="Female"/>
    <n v="21"/>
    <x v="5"/>
    <s v="General Consultation"/>
    <d v="2025-06-19T00:00:00"/>
    <d v="2025-08-15T00:00:00"/>
    <s v="Friday"/>
    <s v="Morning"/>
    <x v="2"/>
    <n v="57"/>
    <n v="4"/>
    <x v="2"/>
    <x v="1"/>
    <s v="None"/>
    <n v="9.3000000000000007"/>
    <x v="4"/>
    <x v="1"/>
  </r>
  <r>
    <s v="HC-03556"/>
    <s v="P-1152"/>
    <s v="Female"/>
    <n v="52"/>
    <x v="2"/>
    <s v="Specialist Consultation"/>
    <d v="2025-07-12T00:00:00"/>
    <d v="2025-09-02T00:00:00"/>
    <s v="Tuesday"/>
    <s v="Evening"/>
    <x v="2"/>
    <n v="52"/>
    <n v="5"/>
    <x v="0"/>
    <x v="0"/>
    <s v="SMS"/>
    <n v="16"/>
    <x v="37"/>
    <x v="1"/>
  </r>
  <r>
    <s v="HC-03557"/>
    <s v="P-0267"/>
    <s v="Male"/>
    <n v="30"/>
    <x v="1"/>
    <s v="General Consultation"/>
    <d v="2025-11-27T00:00:00"/>
    <d v="2026-01-20T00:00:00"/>
    <s v="Tuesday"/>
    <s v="Evening"/>
    <x v="2"/>
    <n v="54"/>
    <n v="4"/>
    <x v="1"/>
    <x v="0"/>
    <s v="Email"/>
    <n v="20.399999999999999"/>
    <x v="4"/>
    <x v="0"/>
  </r>
  <r>
    <s v="HC-03558"/>
    <s v="P-0569"/>
    <s v="Female"/>
    <n v="40"/>
    <x v="0"/>
    <s v="General Consultation"/>
    <d v="2025-06-21T00:00:00"/>
    <d v="2025-07-08T00:00:00"/>
    <s v="Tuesday"/>
    <s v="Afternoon"/>
    <x v="3"/>
    <n v="17"/>
    <n v="5"/>
    <x v="1"/>
    <x v="1"/>
    <s v="None"/>
    <n v="14.6"/>
    <x v="36"/>
    <x v="0"/>
  </r>
  <r>
    <s v="HC-03559"/>
    <s v="P-0674"/>
    <s v="Male"/>
    <n v="49"/>
    <x v="2"/>
    <s v="Diagnostic Test"/>
    <d v="2025-02-26T00:00:00"/>
    <d v="2025-04-02T00:00:00"/>
    <s v="Wednesday"/>
    <s v="Afternoon"/>
    <x v="2"/>
    <n v="35"/>
    <n v="2"/>
    <x v="2"/>
    <x v="0"/>
    <s v="SMS"/>
    <n v="5"/>
    <x v="14"/>
    <x v="1"/>
  </r>
  <r>
    <s v="HC-03560"/>
    <s v="P-0925"/>
    <s v="Female"/>
    <n v="63"/>
    <x v="3"/>
    <s v="General Consultation"/>
    <d v="2025-08-02T00:00:00"/>
    <d v="2025-09-13T00:00:00"/>
    <s v="Saturday"/>
    <s v="Morning"/>
    <x v="2"/>
    <n v="42"/>
    <n v="5"/>
    <x v="1"/>
    <x v="1"/>
    <s v="None"/>
    <n v="11.6"/>
    <x v="54"/>
    <x v="1"/>
  </r>
  <r>
    <s v="HC-03561"/>
    <s v="P-0300"/>
    <s v="Male"/>
    <n v="35"/>
    <x v="0"/>
    <s v="General Consultation"/>
    <d v="2024-12-10T00:00:00"/>
    <d v="2025-02-07T00:00:00"/>
    <s v="Friday"/>
    <s v="Afternoon"/>
    <x v="2"/>
    <n v="59"/>
    <n v="7"/>
    <x v="1"/>
    <x v="0"/>
    <s v="SMS"/>
    <n v="2.4"/>
    <x v="7"/>
    <x v="1"/>
  </r>
  <r>
    <s v="HC-03562"/>
    <s v="P-0671"/>
    <s v="Female"/>
    <n v="41"/>
    <x v="0"/>
    <s v="Follow-up"/>
    <d v="2025-04-03T00:00:00"/>
    <d v="2025-04-03T00:00:00"/>
    <s v="Thursday"/>
    <s v="Morning"/>
    <x v="1"/>
    <n v="0"/>
    <n v="2"/>
    <x v="1"/>
    <x v="0"/>
    <s v="WhatsApp"/>
    <n v="13.4"/>
    <x v="2"/>
    <x v="1"/>
  </r>
  <r>
    <s v="HC-03563"/>
    <s v="P-0565"/>
    <s v="Female"/>
    <n v="22"/>
    <x v="5"/>
    <s v="General Consultation"/>
    <d v="2025-06-20T00:00:00"/>
    <d v="2025-08-18T00:00:00"/>
    <s v="Monday"/>
    <s v="Afternoon"/>
    <x v="2"/>
    <n v="59"/>
    <n v="2"/>
    <x v="0"/>
    <x v="0"/>
    <s v="SMS"/>
    <n v="12.7"/>
    <x v="20"/>
    <x v="1"/>
  </r>
  <r>
    <s v="HC-03564"/>
    <s v="P-0431"/>
    <s v="Male"/>
    <n v="42"/>
    <x v="0"/>
    <s v="General Consultation"/>
    <d v="2026-02-18T00:00:00"/>
    <d v="2026-03-11T00:00:00"/>
    <s v="Wednesday"/>
    <s v="Morning"/>
    <x v="3"/>
    <n v="21"/>
    <n v="1"/>
    <x v="0"/>
    <x v="1"/>
    <s v="None"/>
    <n v="5"/>
    <x v="12"/>
    <x v="0"/>
  </r>
  <r>
    <s v="HC-03565"/>
    <s v="P-1019"/>
    <s v="Female"/>
    <n v="54"/>
    <x v="2"/>
    <s v="General Consultation"/>
    <d v="2026-02-24T00:00:00"/>
    <d v="2026-03-03T00:00:00"/>
    <s v="Tuesday"/>
    <s v="Morning"/>
    <x v="1"/>
    <n v="7"/>
    <n v="5"/>
    <x v="0"/>
    <x v="0"/>
    <s v="WhatsApp"/>
    <n v="7.1"/>
    <x v="8"/>
    <x v="1"/>
  </r>
  <r>
    <s v="HC-03566"/>
    <s v="P-0192"/>
    <s v="Male"/>
    <n v="56"/>
    <x v="3"/>
    <s v="General Consultation"/>
    <d v="2025-04-16T00:00:00"/>
    <d v="2025-05-23T00:00:00"/>
    <s v="Friday"/>
    <s v="Evening"/>
    <x v="2"/>
    <n v="37"/>
    <n v="4"/>
    <x v="2"/>
    <x v="0"/>
    <s v="SMS"/>
    <m/>
    <x v="20"/>
    <x v="0"/>
  </r>
  <r>
    <s v="HC-03567"/>
    <s v="P-1776"/>
    <s v="Female"/>
    <n v="36"/>
    <x v="0"/>
    <s v="Diagnostic Test"/>
    <d v="2025-07-03T00:00:00"/>
    <d v="2025-08-19T00:00:00"/>
    <s v="Tuesday"/>
    <s v="Morning"/>
    <x v="2"/>
    <n v="47"/>
    <n v="4"/>
    <x v="1"/>
    <x v="1"/>
    <s v="None"/>
    <n v="12.6"/>
    <x v="12"/>
    <x v="0"/>
  </r>
  <r>
    <s v="HC-03568"/>
    <s v="P-0957"/>
    <s v="Female"/>
    <n v="21"/>
    <x v="5"/>
    <s v="Follow-up"/>
    <d v="2025-03-18T00:00:00"/>
    <d v="2025-03-25T00:00:00"/>
    <s v="Tuesday"/>
    <s v="Afternoon"/>
    <x v="1"/>
    <n v="7"/>
    <n v="3"/>
    <x v="0"/>
    <x v="0"/>
    <s v="SMS"/>
    <n v="16.399999999999999"/>
    <x v="22"/>
    <x v="0"/>
  </r>
  <r>
    <s v="HC-03569"/>
    <s v="P-1593"/>
    <s v="Female"/>
    <n v="54"/>
    <x v="2"/>
    <s v="General Consultation"/>
    <d v="2026-02-15T00:00:00"/>
    <d v="2026-02-17T00:00:00"/>
    <s v="Tuesday"/>
    <s v="Morning"/>
    <x v="1"/>
    <n v="2"/>
    <n v="3"/>
    <x v="1"/>
    <x v="0"/>
    <s v="WhatsApp"/>
    <n v="2.4"/>
    <x v="9"/>
    <x v="1"/>
  </r>
  <r>
    <s v="HC-03570"/>
    <s v="P-1133"/>
    <s v="Male"/>
    <n v="59"/>
    <x v="3"/>
    <s v="General Consultation"/>
    <d v="2025-03-22T00:00:00"/>
    <d v="2025-05-15T00:00:00"/>
    <s v="Thursday"/>
    <s v="Morning"/>
    <x v="2"/>
    <n v="54"/>
    <n v="4"/>
    <x v="0"/>
    <x v="0"/>
    <s v="WhatsApp"/>
    <n v="2.2000000000000002"/>
    <x v="35"/>
    <x v="0"/>
  </r>
  <r>
    <s v="HC-03571"/>
    <s v="P-1269"/>
    <s v="Male"/>
    <n v="23"/>
    <x v="5"/>
    <s v="Diagnostic Test"/>
    <d v="2026-01-16T00:00:00"/>
    <d v="2026-03-13T00:00:00"/>
    <s v="Friday"/>
    <s v="Morning"/>
    <x v="2"/>
    <n v="56"/>
    <n v="3"/>
    <x v="0"/>
    <x v="1"/>
    <s v="None"/>
    <n v="2"/>
    <x v="8"/>
    <x v="0"/>
  </r>
  <r>
    <s v="HC-03572"/>
    <s v="P-0003"/>
    <s v="Female"/>
    <n v="49"/>
    <x v="2"/>
    <s v="General Consultation"/>
    <d v="2026-03-27T00:00:00"/>
    <d v="2026-04-05T00:00:00"/>
    <s v="Sunday"/>
    <s v="Morning"/>
    <x v="0"/>
    <n v="9"/>
    <n v="1"/>
    <x v="1"/>
    <x v="0"/>
    <s v="SMS"/>
    <n v="11"/>
    <x v="25"/>
    <x v="2"/>
  </r>
  <r>
    <s v="HC-03573"/>
    <s v="P-1573"/>
    <s v="Male"/>
    <n v="23"/>
    <x v="5"/>
    <s v="Specialist Consultation"/>
    <d v="2025-11-18T00:00:00"/>
    <d v="2026-01-12T00:00:00"/>
    <s v="Monday"/>
    <s v="Afternoon"/>
    <x v="2"/>
    <n v="55"/>
    <n v="4"/>
    <x v="0"/>
    <x v="1"/>
    <s v="None"/>
    <n v="14.3"/>
    <x v="27"/>
    <x v="1"/>
  </r>
  <r>
    <s v="HC-03574"/>
    <s v="P-0069"/>
    <s v="Male"/>
    <n v="46"/>
    <x v="2"/>
    <s v="General Consultation"/>
    <d v="2025-05-06T00:00:00"/>
    <d v="2025-06-30T00:00:00"/>
    <s v="Monday"/>
    <s v="Morning"/>
    <x v="2"/>
    <n v="55"/>
    <n v="2"/>
    <x v="0"/>
    <x v="0"/>
    <s v="SMS"/>
    <n v="7.4"/>
    <x v="20"/>
    <x v="0"/>
  </r>
  <r>
    <s v="HC-03575"/>
    <s v="P-0395"/>
    <s v="Female"/>
    <n v="58"/>
    <x v="3"/>
    <s v="Diagnostic Test"/>
    <d v="2026-04-06T00:00:00"/>
    <d v="2026-06-05T00:00:00"/>
    <s v="Friday"/>
    <s v="Afternoon"/>
    <x v="2"/>
    <n v="60"/>
    <n v="0"/>
    <x v="0"/>
    <x v="0"/>
    <s v="SMS"/>
    <n v="6.9"/>
    <x v="29"/>
    <x v="0"/>
  </r>
  <r>
    <s v="HC-03576"/>
    <s v="P-0337"/>
    <s v="Female"/>
    <n v="63"/>
    <x v="3"/>
    <s v="General Consultation"/>
    <d v="2025-12-28T00:00:00"/>
    <d v="2026-01-10T00:00:00"/>
    <s v="Saturday"/>
    <s v="Afternoon"/>
    <x v="0"/>
    <n v="13"/>
    <n v="3"/>
    <x v="0"/>
    <x v="1"/>
    <s v="None"/>
    <n v="4.3"/>
    <x v="9"/>
    <x v="0"/>
  </r>
  <r>
    <s v="HC-03577"/>
    <s v="P-1565"/>
    <s v="Female"/>
    <n v="62"/>
    <x v="3"/>
    <s v="General Consultation"/>
    <d v="2025-11-14T00:00:00"/>
    <d v="2025-12-19T00:00:00"/>
    <s v="Friday"/>
    <s v="Morning"/>
    <x v="2"/>
    <n v="35"/>
    <n v="1"/>
    <x v="1"/>
    <x v="0"/>
    <s v="SMS"/>
    <n v="15.1"/>
    <x v="26"/>
    <x v="0"/>
  </r>
  <r>
    <s v="HC-03578"/>
    <s v="P-1351"/>
    <s v="Female"/>
    <n v="65"/>
    <x v="4"/>
    <s v="Follow-up"/>
    <d v="2026-02-12T00:00:00"/>
    <d v="2026-04-13T00:00:00"/>
    <s v="Monday"/>
    <s v="Morning"/>
    <x v="2"/>
    <n v="60"/>
    <n v="3"/>
    <x v="1"/>
    <x v="0"/>
    <s v="SMS"/>
    <n v="10.3"/>
    <x v="20"/>
    <x v="0"/>
  </r>
  <r>
    <s v="HC-03579"/>
    <s v="P-0558"/>
    <s v="Male"/>
    <n v="33"/>
    <x v="1"/>
    <s v="General Consultation"/>
    <d v="2026-03-03T00:00:00"/>
    <d v="2026-04-27T00:00:00"/>
    <s v="Monday"/>
    <s v="Morning"/>
    <x v="2"/>
    <n v="55"/>
    <n v="4"/>
    <x v="2"/>
    <x v="1"/>
    <s v="None"/>
    <n v="12.3"/>
    <x v="7"/>
    <x v="0"/>
  </r>
  <r>
    <s v="HC-03580"/>
    <s v="P-1321"/>
    <s v="Female"/>
    <n v="71"/>
    <x v="4"/>
    <s v="Specialist Consultation"/>
    <d v="2025-01-07T00:00:00"/>
    <d v="2025-02-12T00:00:00"/>
    <s v="Wednesday"/>
    <s v="Morning"/>
    <x v="2"/>
    <n v="36"/>
    <n v="2"/>
    <x v="1"/>
    <x v="1"/>
    <s v="None"/>
    <n v="7.9"/>
    <x v="0"/>
    <x v="1"/>
  </r>
  <r>
    <s v="HC-03581"/>
    <s v="P-0443"/>
    <s v="Female"/>
    <n v="40"/>
    <x v="0"/>
    <s v="Follow-up"/>
    <d v="2026-04-15T00:00:00"/>
    <d v="2026-04-27T00:00:00"/>
    <s v="Monday"/>
    <s v="Morning"/>
    <x v="0"/>
    <n v="12"/>
    <n v="4"/>
    <x v="2"/>
    <x v="1"/>
    <s v="None"/>
    <n v="7.2"/>
    <x v="3"/>
    <x v="0"/>
  </r>
  <r>
    <s v="HC-03582"/>
    <s v="P-0752"/>
    <s v="Male"/>
    <n v="41"/>
    <x v="0"/>
    <s v="Follow-up"/>
    <d v="2026-02-17T00:00:00"/>
    <d v="2026-02-22T00:00:00"/>
    <s v="Sunday"/>
    <s v="Afternoon"/>
    <x v="1"/>
    <n v="5"/>
    <n v="2"/>
    <x v="0"/>
    <x v="0"/>
    <s v="Email"/>
    <n v="8.9"/>
    <x v="23"/>
    <x v="1"/>
  </r>
  <r>
    <s v="HC-03583"/>
    <s v="P-0889"/>
    <s v="Female"/>
    <n v="67"/>
    <x v="4"/>
    <s v="General Consultation"/>
    <d v="2025-04-08T00:00:00"/>
    <d v="2025-04-23T00:00:00"/>
    <s v="Wednesday"/>
    <s v="Afternoon"/>
    <x v="3"/>
    <n v="15"/>
    <n v="4"/>
    <x v="1"/>
    <x v="1"/>
    <s v="None"/>
    <n v="8.3000000000000007"/>
    <x v="18"/>
    <x v="0"/>
  </r>
  <r>
    <s v="HC-03584"/>
    <s v="P-1797"/>
    <s v="Male"/>
    <n v="38"/>
    <x v="0"/>
    <s v="Specialist Consultation"/>
    <d v="2025-06-14T00:00:00"/>
    <d v="2025-06-17T00:00:00"/>
    <s v="Tuesday"/>
    <s v="Afternoon"/>
    <x v="1"/>
    <n v="3"/>
    <n v="8"/>
    <x v="3"/>
    <x v="0"/>
    <s v="SMS"/>
    <n v="19.5"/>
    <x v="10"/>
    <x v="2"/>
  </r>
  <r>
    <s v="HC-03585"/>
    <s v="P-0099"/>
    <s v="Male"/>
    <n v="22"/>
    <x v="5"/>
    <s v="General Consultation"/>
    <d v="2026-02-04T00:00:00"/>
    <d v="2026-02-15T00:00:00"/>
    <s v="Sunday"/>
    <s v="Afternoon"/>
    <x v="0"/>
    <n v="11"/>
    <n v="4"/>
    <x v="1"/>
    <x v="0"/>
    <s v="WhatsApp"/>
    <n v="3.9"/>
    <x v="15"/>
    <x v="0"/>
  </r>
  <r>
    <s v="HC-03586"/>
    <s v="P-0911"/>
    <s v="Female"/>
    <n v="63"/>
    <x v="3"/>
    <s v="Diagnostic Test"/>
    <d v="2025-04-25T00:00:00"/>
    <d v="2025-04-29T00:00:00"/>
    <s v="Tuesday"/>
    <s v="Afternoon"/>
    <x v="1"/>
    <n v="4"/>
    <n v="3"/>
    <x v="3"/>
    <x v="0"/>
    <s v="SMS"/>
    <n v="15.2"/>
    <x v="21"/>
    <x v="1"/>
  </r>
  <r>
    <s v="HC-03587"/>
    <s v="P-0909"/>
    <s v="Male"/>
    <n v="59"/>
    <x v="3"/>
    <s v="Specialist Consultation"/>
    <d v="2025-07-21T00:00:00"/>
    <d v="2025-09-05T00:00:00"/>
    <s v="Friday"/>
    <s v="Morning"/>
    <x v="2"/>
    <n v="46"/>
    <n v="5"/>
    <x v="2"/>
    <x v="0"/>
    <s v="SMS"/>
    <n v="5.9"/>
    <x v="26"/>
    <x v="0"/>
  </r>
  <r>
    <s v="HC-03588"/>
    <s v="P-1183"/>
    <s v="Female"/>
    <n v="54"/>
    <x v="2"/>
    <s v="Follow-up"/>
    <d v="2025-12-08T00:00:00"/>
    <d v="2026-01-12T00:00:00"/>
    <s v="Monday"/>
    <s v="Morning"/>
    <x v="2"/>
    <n v="35"/>
    <n v="2"/>
    <x v="0"/>
    <x v="0"/>
    <s v="SMS"/>
    <n v="6.9"/>
    <x v="14"/>
    <x v="1"/>
  </r>
  <r>
    <s v="HC-03589"/>
    <s v="P-0694"/>
    <s v="Prefer not to say"/>
    <n v="27"/>
    <x v="1"/>
    <s v="Specialist Consultation"/>
    <d v="2025-11-21T00:00:00"/>
    <d v="2025-12-22T00:00:00"/>
    <s v="Monday"/>
    <s v="Afternoon"/>
    <x v="2"/>
    <n v="31"/>
    <n v="4"/>
    <x v="1"/>
    <x v="0"/>
    <s v="WhatsApp"/>
    <n v="11"/>
    <x v="25"/>
    <x v="0"/>
  </r>
  <r>
    <s v="HC-03590"/>
    <s v="P-0964"/>
    <s v="Female"/>
    <n v="57"/>
    <x v="3"/>
    <s v="Follow-up"/>
    <d v="2026-03-24T00:00:00"/>
    <d v="2026-05-12T00:00:00"/>
    <s v="Tuesday"/>
    <s v="Morning"/>
    <x v="2"/>
    <n v="49"/>
    <n v="3"/>
    <x v="0"/>
    <x v="0"/>
    <s v="Email"/>
    <n v="14.1"/>
    <x v="4"/>
    <x v="0"/>
  </r>
  <r>
    <s v="HC-03591"/>
    <s v="P-0110"/>
    <s v="Male"/>
    <n v="30"/>
    <x v="1"/>
    <s v="Follow-up"/>
    <d v="2025-02-05T00:00:00"/>
    <d v="2025-03-02T00:00:00"/>
    <s v="Sunday"/>
    <s v="Morning"/>
    <x v="3"/>
    <n v="25"/>
    <n v="3"/>
    <x v="1"/>
    <x v="1"/>
    <s v="None"/>
    <n v="8"/>
    <x v="18"/>
    <x v="1"/>
  </r>
  <r>
    <s v="HC-03592"/>
    <s v="P-1677"/>
    <s v="Male"/>
    <n v="52"/>
    <x v="2"/>
    <s v="General Consultation"/>
    <d v="2025-05-18T00:00:00"/>
    <d v="2025-06-11T00:00:00"/>
    <s v="Wednesday"/>
    <s v="Evening"/>
    <x v="3"/>
    <n v="24"/>
    <n v="4"/>
    <x v="2"/>
    <x v="1"/>
    <s v="None"/>
    <n v="3.7"/>
    <x v="52"/>
    <x v="1"/>
  </r>
  <r>
    <s v="HC-03593"/>
    <s v="P-1619"/>
    <s v="Male"/>
    <n v="49"/>
    <x v="2"/>
    <s v="Follow-up"/>
    <d v="2026-06-10T00:00:00"/>
    <d v="2026-06-22T00:00:00"/>
    <s v="Monday"/>
    <s v="Morning"/>
    <x v="0"/>
    <n v="12"/>
    <n v="3"/>
    <x v="1"/>
    <x v="0"/>
    <s v="Email"/>
    <n v="23.9"/>
    <x v="18"/>
    <x v="0"/>
  </r>
  <r>
    <s v="HC-03594"/>
    <s v="P-0232"/>
    <s v="Male"/>
    <n v="66"/>
    <x v="4"/>
    <s v="General Consultation"/>
    <d v="2025-10-11T00:00:00"/>
    <d v="2025-11-07T00:00:00"/>
    <s v="Friday"/>
    <s v="Morning"/>
    <x v="3"/>
    <n v="27"/>
    <n v="2"/>
    <x v="0"/>
    <x v="1"/>
    <s v="None"/>
    <n v="2.6"/>
    <x v="27"/>
    <x v="1"/>
  </r>
  <r>
    <s v="HC-03595"/>
    <s v="P-0332"/>
    <s v="Male"/>
    <n v="79"/>
    <x v="4"/>
    <s v="General Consultation"/>
    <d v="2025-05-06T00:00:00"/>
    <d v="2025-05-16T00:00:00"/>
    <s v="Friday"/>
    <s v="Evening"/>
    <x v="0"/>
    <n v="10"/>
    <n v="2"/>
    <x v="0"/>
    <x v="1"/>
    <s v="None"/>
    <n v="3.8"/>
    <x v="7"/>
    <x v="1"/>
  </r>
  <r>
    <s v="HC-03596"/>
    <s v="P-0100"/>
    <s v="Female"/>
    <n v="29"/>
    <x v="1"/>
    <s v="Specialist Consultation"/>
    <d v="2025-05-04T00:00:00"/>
    <d v="2025-06-08T00:00:00"/>
    <s v="Sunday"/>
    <s v="Morning"/>
    <x v="2"/>
    <n v="35"/>
    <n v="2"/>
    <x v="0"/>
    <x v="1"/>
    <s v="None"/>
    <n v="21"/>
    <x v="20"/>
    <x v="0"/>
  </r>
  <r>
    <s v="HC-03597"/>
    <s v="P-1154"/>
    <s v="Male"/>
    <n v="25"/>
    <x v="1"/>
    <s v="General Consultation"/>
    <d v="2025-05-06T00:00:00"/>
    <d v="2025-07-05T00:00:00"/>
    <s v="Saturday"/>
    <s v="Morning"/>
    <x v="2"/>
    <n v="60"/>
    <n v="1"/>
    <x v="0"/>
    <x v="1"/>
    <s v="None"/>
    <n v="17.7"/>
    <x v="37"/>
    <x v="0"/>
  </r>
  <r>
    <s v="HC-03598"/>
    <s v="P-0991"/>
    <s v="Female"/>
    <n v="53"/>
    <x v="2"/>
    <s v="Follow-up"/>
    <d v="2025-09-28T00:00:00"/>
    <d v="2025-10-30T00:00:00"/>
    <s v="Thursday"/>
    <s v="Morning"/>
    <x v="2"/>
    <n v="32"/>
    <n v="5"/>
    <x v="3"/>
    <x v="0"/>
    <s v="SMS"/>
    <n v="22.1"/>
    <x v="9"/>
    <x v="1"/>
  </r>
  <r>
    <s v="HC-03599"/>
    <s v="P-1094"/>
    <s v="Male"/>
    <n v="77"/>
    <x v="4"/>
    <s v="General Consultation"/>
    <d v="2025-05-18T00:00:00"/>
    <d v="2025-06-05T00:00:00"/>
    <s v="Thursday"/>
    <s v="Morning"/>
    <x v="3"/>
    <n v="18"/>
    <n v="4"/>
    <x v="0"/>
    <x v="1"/>
    <s v="None"/>
    <n v="5.9"/>
    <x v="39"/>
    <x v="1"/>
  </r>
  <r>
    <s v="HC-03600"/>
    <s v="P-1179"/>
    <s v="Male"/>
    <n v="27"/>
    <x v="1"/>
    <s v="Follow-up"/>
    <d v="2025-10-26T00:00:00"/>
    <d v="2025-12-06T00:00:00"/>
    <s v="Saturday"/>
    <s v="Evening"/>
    <x v="2"/>
    <n v="41"/>
    <n v="2"/>
    <x v="1"/>
    <x v="0"/>
    <s v="WhatsApp"/>
    <n v="4.7"/>
    <x v="36"/>
    <x v="0"/>
  </r>
  <r>
    <s v="HC-03601"/>
    <s v="P-0830"/>
    <s v="Female"/>
    <n v="48"/>
    <x v="2"/>
    <s v="Specialist Consultation"/>
    <d v="2025-07-13T00:00:00"/>
    <d v="2025-09-01T00:00:00"/>
    <s v="Monday"/>
    <s v="Afternoon"/>
    <x v="2"/>
    <n v="50"/>
    <n v="3"/>
    <x v="1"/>
    <x v="1"/>
    <s v="None"/>
    <n v="16.2"/>
    <x v="35"/>
    <x v="0"/>
  </r>
  <r>
    <s v="HC-03602"/>
    <s v="P-1509"/>
    <s v="Female"/>
    <n v="43"/>
    <x v="0"/>
    <s v="General Consultation"/>
    <d v="2025-11-02T00:00:00"/>
    <d v="2025-11-30T00:00:00"/>
    <s v="Sunday"/>
    <s v="Afternoon"/>
    <x v="3"/>
    <n v="28"/>
    <n v="1"/>
    <x v="1"/>
    <x v="0"/>
    <s v="SMS"/>
    <n v="3.6"/>
    <x v="5"/>
    <x v="1"/>
  </r>
  <r>
    <s v="HC-03603"/>
    <s v="P-0392"/>
    <s v="Female"/>
    <n v="38"/>
    <x v="0"/>
    <s v="Follow-up"/>
    <d v="2025-03-11T00:00:00"/>
    <d v="2025-03-26T00:00:00"/>
    <s v="Wednesday"/>
    <s v="Morning"/>
    <x v="3"/>
    <n v="15"/>
    <n v="3"/>
    <x v="0"/>
    <x v="0"/>
    <s v="SMS"/>
    <n v="4.8"/>
    <x v="28"/>
    <x v="0"/>
  </r>
  <r>
    <s v="HC-03604"/>
    <s v="P-0882"/>
    <s v="Female"/>
    <n v="59"/>
    <x v="3"/>
    <s v="Follow-up"/>
    <d v="2025-10-25T00:00:00"/>
    <d v="2025-12-07T00:00:00"/>
    <s v="Sunday"/>
    <s v="Morning"/>
    <x v="2"/>
    <n v="43"/>
    <n v="3"/>
    <x v="0"/>
    <x v="0"/>
    <s v="SMS"/>
    <n v="2.7"/>
    <x v="9"/>
    <x v="0"/>
  </r>
  <r>
    <s v="HC-03605"/>
    <s v="P-0455"/>
    <s v="Male"/>
    <n v="36"/>
    <x v="0"/>
    <s v="Specialist Consultation"/>
    <d v="2026-05-09T00:00:00"/>
    <d v="2026-05-20T00:00:00"/>
    <s v="Wednesday"/>
    <s v="Afternoon"/>
    <x v="0"/>
    <n v="11"/>
    <n v="2"/>
    <x v="0"/>
    <x v="0"/>
    <s v="WhatsApp"/>
    <n v="5.6"/>
    <x v="11"/>
    <x v="0"/>
  </r>
  <r>
    <s v="HC-03606"/>
    <s v="P-0303"/>
    <s v="Female"/>
    <n v="49"/>
    <x v="2"/>
    <s v="General Consultation"/>
    <d v="2025-01-14T00:00:00"/>
    <d v="2025-03-15T00:00:00"/>
    <s v="Saturday"/>
    <s v="Morning"/>
    <x v="2"/>
    <n v="60"/>
    <n v="1"/>
    <x v="0"/>
    <x v="0"/>
    <s v="SMS"/>
    <n v="4.3"/>
    <x v="31"/>
    <x v="0"/>
  </r>
  <r>
    <s v="HC-03607"/>
    <s v="P-0553"/>
    <s v="Male"/>
    <n v="71"/>
    <x v="4"/>
    <s v="Specialist Consultation"/>
    <d v="2025-06-09T00:00:00"/>
    <d v="2025-06-28T00:00:00"/>
    <s v="Saturday"/>
    <s v="Morning"/>
    <x v="3"/>
    <n v="19"/>
    <n v="2"/>
    <x v="0"/>
    <x v="0"/>
    <s v="SMS"/>
    <n v="3.2"/>
    <x v="35"/>
    <x v="1"/>
  </r>
  <r>
    <s v="HC-03608"/>
    <s v="P-0652"/>
    <s v="Female"/>
    <n v="41"/>
    <x v="0"/>
    <s v="Follow-up"/>
    <d v="2025-12-24T00:00:00"/>
    <d v="2026-01-14T00:00:00"/>
    <s v="Wednesday"/>
    <s v="Afternoon"/>
    <x v="3"/>
    <n v="21"/>
    <n v="5"/>
    <x v="1"/>
    <x v="0"/>
    <s v="Email"/>
    <n v="9.4"/>
    <x v="0"/>
    <x v="0"/>
  </r>
  <r>
    <s v="HC-03609"/>
    <s v="P-0064"/>
    <s v="Female"/>
    <n v="19"/>
    <x v="5"/>
    <s v="Follow-up"/>
    <d v="2025-10-21T00:00:00"/>
    <d v="2025-12-04T00:00:00"/>
    <s v="Thursday"/>
    <s v="Afternoon"/>
    <x v="2"/>
    <n v="44"/>
    <n v="2"/>
    <x v="1"/>
    <x v="0"/>
    <s v="SMS"/>
    <n v="6.7"/>
    <x v="4"/>
    <x v="0"/>
  </r>
  <r>
    <s v="HC-03610"/>
    <s v="P-1407"/>
    <s v="Female"/>
    <n v="73"/>
    <x v="4"/>
    <s v="General Consultation"/>
    <d v="2026-01-04T00:00:00"/>
    <d v="2026-01-04T00:00:00"/>
    <s v="Sunday"/>
    <s v="Evening"/>
    <x v="1"/>
    <n v="0"/>
    <n v="3"/>
    <x v="0"/>
    <x v="1"/>
    <s v="None"/>
    <n v="12"/>
    <x v="10"/>
    <x v="1"/>
  </r>
  <r>
    <s v="HC-03611"/>
    <s v="P-0122"/>
    <s v="Female"/>
    <n v="35"/>
    <x v="0"/>
    <s v="General Consultation"/>
    <d v="2025-10-21T00:00:00"/>
    <d v="2025-11-02T00:00:00"/>
    <s v="Sunday"/>
    <s v="Afternoon"/>
    <x v="0"/>
    <n v="12"/>
    <n v="5"/>
    <x v="1"/>
    <x v="1"/>
    <s v="None"/>
    <n v="3.8"/>
    <x v="47"/>
    <x v="1"/>
  </r>
  <r>
    <s v="HC-03612"/>
    <s v="P-0518"/>
    <s v="Male"/>
    <n v="66"/>
    <x v="4"/>
    <s v="Follow-up"/>
    <d v="2026-01-01T00:00:00"/>
    <d v="2026-01-08T00:00:00"/>
    <s v="Thursday"/>
    <s v="Afternoon"/>
    <x v="1"/>
    <n v="7"/>
    <n v="1"/>
    <x v="0"/>
    <x v="0"/>
    <s v="Email"/>
    <n v="5.5"/>
    <x v="20"/>
    <x v="1"/>
  </r>
  <r>
    <s v="HC-03613"/>
    <s v="P-0657"/>
    <s v="Female"/>
    <n v="66"/>
    <x v="4"/>
    <s v="General Consultation"/>
    <d v="2025-11-06T00:00:00"/>
    <d v="2025-11-29T00:00:00"/>
    <s v="Saturday"/>
    <s v="Afternoon"/>
    <x v="3"/>
    <n v="23"/>
    <n v="2"/>
    <x v="0"/>
    <x v="1"/>
    <s v="None"/>
    <n v="2.2999999999999998"/>
    <x v="12"/>
    <x v="1"/>
  </r>
  <r>
    <s v="HC-03614"/>
    <s v="P-1546"/>
    <s v="Male"/>
    <n v="51"/>
    <x v="2"/>
    <s v="Follow-up"/>
    <d v="2025-01-08T00:00:00"/>
    <d v="2025-02-10T00:00:00"/>
    <s v="Monday"/>
    <s v="Evening"/>
    <x v="2"/>
    <n v="33"/>
    <n v="1"/>
    <x v="0"/>
    <x v="0"/>
    <s v="SMS"/>
    <n v="6.5"/>
    <x v="47"/>
    <x v="1"/>
  </r>
  <r>
    <s v="HC-03615"/>
    <s v="P-1103"/>
    <s v="Male"/>
    <n v="23"/>
    <x v="5"/>
    <s v="Follow-up"/>
    <d v="2026-02-05T00:00:00"/>
    <d v="2026-02-15T00:00:00"/>
    <s v="Sunday"/>
    <s v="Morning"/>
    <x v="0"/>
    <n v="10"/>
    <n v="5"/>
    <x v="0"/>
    <x v="1"/>
    <s v="None"/>
    <n v="16.100000000000001"/>
    <x v="7"/>
    <x v="1"/>
  </r>
  <r>
    <s v="HC-03616"/>
    <s v="P-0216"/>
    <s v="Female"/>
    <n v="77"/>
    <x v="4"/>
    <s v="Follow-up"/>
    <d v="2025-08-12T00:00:00"/>
    <d v="2025-09-01T00:00:00"/>
    <s v="Monday"/>
    <s v="Morning"/>
    <x v="3"/>
    <n v="20"/>
    <n v="4"/>
    <x v="1"/>
    <x v="1"/>
    <s v="None"/>
    <n v="14.2"/>
    <x v="11"/>
    <x v="0"/>
  </r>
  <r>
    <s v="HC-03617"/>
    <s v="P-0978"/>
    <s v="Female"/>
    <n v="60"/>
    <x v="3"/>
    <s v="General Consultation"/>
    <d v="2024-12-13T00:00:00"/>
    <d v="2025-01-29T00:00:00"/>
    <s v="Wednesday"/>
    <s v="Morning"/>
    <x v="2"/>
    <n v="47"/>
    <n v="5"/>
    <x v="1"/>
    <x v="1"/>
    <s v="None"/>
    <n v="8.1999999999999993"/>
    <x v="5"/>
    <x v="0"/>
  </r>
  <r>
    <s v="HC-03618"/>
    <s v="P-0764"/>
    <s v="Female"/>
    <n v="44"/>
    <x v="0"/>
    <s v="General Consultation"/>
    <d v="2025-06-16T00:00:00"/>
    <d v="2025-08-12T00:00:00"/>
    <s v="Tuesday"/>
    <s v="Evening"/>
    <x v="2"/>
    <n v="57"/>
    <n v="8"/>
    <x v="1"/>
    <x v="0"/>
    <s v="SMS"/>
    <n v="28.7"/>
    <x v="37"/>
    <x v="2"/>
  </r>
  <r>
    <s v="HC-03619"/>
    <s v="P-0471"/>
    <s v="Female"/>
    <n v="71"/>
    <x v="4"/>
    <s v="Follow-up"/>
    <d v="2025-08-26T00:00:00"/>
    <d v="2025-08-26T00:00:00"/>
    <s v="Tuesday"/>
    <s v="Evening"/>
    <x v="1"/>
    <n v="0"/>
    <n v="4"/>
    <x v="0"/>
    <x v="1"/>
    <s v="None"/>
    <n v="2.5"/>
    <x v="18"/>
    <x v="1"/>
  </r>
  <r>
    <s v="HC-03620"/>
    <s v="P-1282"/>
    <s v="Male"/>
    <n v="67"/>
    <x v="4"/>
    <s v="Follow-up"/>
    <d v="2025-01-10T00:00:00"/>
    <d v="2025-02-17T00:00:00"/>
    <s v="Monday"/>
    <s v="Afternoon"/>
    <x v="2"/>
    <n v="38"/>
    <n v="1"/>
    <x v="0"/>
    <x v="1"/>
    <s v="None"/>
    <m/>
    <x v="22"/>
    <x v="0"/>
  </r>
  <r>
    <s v="HC-03621"/>
    <s v="P-0110"/>
    <s v="Female"/>
    <n v="65"/>
    <x v="4"/>
    <s v="Diagnostic Test"/>
    <d v="2026-06-27T00:00:00"/>
    <d v="2026-06-28T00:00:00"/>
    <s v="Sunday"/>
    <s v="Morning"/>
    <x v="1"/>
    <n v="1"/>
    <n v="3"/>
    <x v="0"/>
    <x v="0"/>
    <s v="SMS"/>
    <n v="4"/>
    <x v="48"/>
    <x v="1"/>
  </r>
  <r>
    <s v="HC-03622"/>
    <s v="P-0642"/>
    <s v="Female"/>
    <n v="28"/>
    <x v="1"/>
    <s v="Follow-up"/>
    <d v="2025-04-01T00:00:00"/>
    <d v="2025-05-02T00:00:00"/>
    <s v="Friday"/>
    <s v="Evening"/>
    <x v="2"/>
    <n v="31"/>
    <n v="1"/>
    <x v="0"/>
    <x v="0"/>
    <s v="WhatsApp"/>
    <n v="8.6"/>
    <x v="13"/>
    <x v="1"/>
  </r>
  <r>
    <s v="HC-03623"/>
    <s v="P-1493"/>
    <s v="Male"/>
    <n v="57"/>
    <x v="3"/>
    <s v="Follow-up"/>
    <d v="2025-05-08T00:00:00"/>
    <d v="2025-06-30T00:00:00"/>
    <s v="Monday"/>
    <s v="Morning"/>
    <x v="2"/>
    <n v="53"/>
    <n v="3"/>
    <x v="1"/>
    <x v="1"/>
    <s v="None"/>
    <n v="13"/>
    <x v="25"/>
    <x v="0"/>
  </r>
  <r>
    <s v="HC-03624"/>
    <s v="P-1194"/>
    <s v="Female"/>
    <n v="36"/>
    <x v="0"/>
    <s v="General Consultation"/>
    <d v="2025-07-12T00:00:00"/>
    <d v="2025-08-29T00:00:00"/>
    <s v="Friday"/>
    <s v="Morning"/>
    <x v="2"/>
    <n v="48"/>
    <n v="3"/>
    <x v="1"/>
    <x v="1"/>
    <s v="None"/>
    <n v="5.0999999999999996"/>
    <x v="17"/>
    <x v="0"/>
  </r>
  <r>
    <s v="HC-03625"/>
    <s v="P-0276"/>
    <s v="Male"/>
    <n v="22"/>
    <x v="5"/>
    <s v="Diagnostic Test"/>
    <d v="2026-03-17T00:00:00"/>
    <d v="2026-03-31T00:00:00"/>
    <s v="Tuesday"/>
    <s v="Afternoon"/>
    <x v="0"/>
    <n v="14"/>
    <n v="2"/>
    <x v="0"/>
    <x v="0"/>
    <s v="Email"/>
    <n v="5.8"/>
    <x v="2"/>
    <x v="0"/>
  </r>
  <r>
    <s v="HC-03626"/>
    <s v="P-1771"/>
    <s v="Male"/>
    <n v="39"/>
    <x v="0"/>
    <s v="General Consultation"/>
    <d v="2026-01-26T00:00:00"/>
    <d v="2026-02-10T00:00:00"/>
    <s v="Tuesday"/>
    <s v="Afternoon"/>
    <x v="3"/>
    <n v="15"/>
    <n v="5"/>
    <x v="0"/>
    <x v="0"/>
    <s v="SMS"/>
    <n v="17.5"/>
    <x v="25"/>
    <x v="1"/>
  </r>
  <r>
    <s v="HC-03627"/>
    <s v="P-1377"/>
    <s v="Male"/>
    <n v="24"/>
    <x v="5"/>
    <s v="General Consultation"/>
    <d v="2026-01-09T00:00:00"/>
    <d v="2026-02-25T00:00:00"/>
    <s v="Wednesday"/>
    <s v="Evening"/>
    <x v="2"/>
    <n v="47"/>
    <n v="4"/>
    <x v="0"/>
    <x v="0"/>
    <s v="SMS"/>
    <n v="9.3000000000000007"/>
    <x v="15"/>
    <x v="0"/>
  </r>
  <r>
    <s v="HC-03628"/>
    <s v="P-0078"/>
    <s v="Male"/>
    <n v="24"/>
    <x v="5"/>
    <s v="General Consultation"/>
    <d v="2025-03-21T00:00:00"/>
    <d v="2025-05-10T00:00:00"/>
    <s v="Saturday"/>
    <s v="Morning"/>
    <x v="2"/>
    <n v="50"/>
    <n v="5"/>
    <x v="1"/>
    <x v="0"/>
    <s v="Email"/>
    <n v="2.7"/>
    <x v="9"/>
    <x v="0"/>
  </r>
  <r>
    <s v="HC-03629"/>
    <s v="P-1579"/>
    <s v="Female"/>
    <n v="63"/>
    <x v="3"/>
    <s v="General Consultation"/>
    <d v="2026-03-21T00:00:00"/>
    <d v="2026-04-07T00:00:00"/>
    <s v="Tuesday"/>
    <s v="Morning"/>
    <x v="3"/>
    <n v="17"/>
    <n v="0"/>
    <x v="0"/>
    <x v="1"/>
    <s v="None"/>
    <n v="6.8"/>
    <x v="23"/>
    <x v="1"/>
  </r>
  <r>
    <s v="HC-03630"/>
    <s v="P-0059"/>
    <s v="Female"/>
    <n v="49"/>
    <x v="2"/>
    <s v="Specialist Consultation"/>
    <d v="2026-03-30T00:00:00"/>
    <d v="2026-03-30T00:00:00"/>
    <s v="Monday"/>
    <s v="Afternoon"/>
    <x v="1"/>
    <n v="0"/>
    <n v="2"/>
    <x v="1"/>
    <x v="0"/>
    <s v="SMS"/>
    <n v="5.3"/>
    <x v="15"/>
    <x v="2"/>
  </r>
  <r>
    <s v="HC-03631"/>
    <s v="P-0896"/>
    <s v="Male"/>
    <n v="43"/>
    <x v="0"/>
    <s v="General Consultation"/>
    <d v="2025-08-15T00:00:00"/>
    <d v="2025-09-11T00:00:00"/>
    <s v="Thursday"/>
    <s v="Morning"/>
    <x v="3"/>
    <n v="27"/>
    <n v="2"/>
    <x v="1"/>
    <x v="0"/>
    <s v="SMS"/>
    <n v="2.2000000000000002"/>
    <x v="5"/>
    <x v="1"/>
  </r>
  <r>
    <s v="HC-03632"/>
    <s v="P-1084"/>
    <s v="Female"/>
    <n v="30"/>
    <x v="1"/>
    <s v="General Consultation"/>
    <d v="2025-09-19T00:00:00"/>
    <d v="2025-10-26T00:00:00"/>
    <s v="Sunday"/>
    <s v="Afternoon"/>
    <x v="2"/>
    <n v="37"/>
    <n v="7"/>
    <x v="2"/>
    <x v="0"/>
    <s v="SMS"/>
    <n v="2.8"/>
    <x v="16"/>
    <x v="1"/>
  </r>
  <r>
    <s v="HC-03633"/>
    <s v="P-0499"/>
    <s v="Female"/>
    <n v="66"/>
    <x v="4"/>
    <s v="General Consultation"/>
    <d v="2024-12-25T00:00:00"/>
    <d v="2025-01-21T00:00:00"/>
    <s v="Tuesday"/>
    <s v="Morning"/>
    <x v="3"/>
    <n v="27"/>
    <n v="3"/>
    <x v="1"/>
    <x v="0"/>
    <s v="Email"/>
    <n v="10.8"/>
    <x v="45"/>
    <x v="0"/>
  </r>
  <r>
    <s v="HC-03634"/>
    <s v="P-1715"/>
    <s v="Male"/>
    <n v="57"/>
    <x v="3"/>
    <s v="Diagnostic Test"/>
    <d v="2025-12-25T00:00:00"/>
    <d v="2026-02-20T00:00:00"/>
    <s v="Friday"/>
    <s v="Morning"/>
    <x v="2"/>
    <n v="57"/>
    <n v="2"/>
    <x v="1"/>
    <x v="1"/>
    <s v="None"/>
    <m/>
    <x v="36"/>
    <x v="1"/>
  </r>
  <r>
    <s v="HC-03635"/>
    <s v="P-1418"/>
    <s v="Male"/>
    <n v="54"/>
    <x v="2"/>
    <s v="Specialist Consultation"/>
    <d v="2026-04-21T00:00:00"/>
    <d v="2026-06-09T00:00:00"/>
    <s v="Tuesday"/>
    <s v="Morning"/>
    <x v="2"/>
    <n v="49"/>
    <n v="4"/>
    <x v="2"/>
    <x v="0"/>
    <s v="SMS"/>
    <n v="30.2"/>
    <x v="4"/>
    <x v="2"/>
  </r>
  <r>
    <s v="HC-03636"/>
    <s v="P-0883"/>
    <s v="Male"/>
    <n v="29"/>
    <x v="1"/>
    <s v="Diagnostic Test"/>
    <d v="2025-07-30T00:00:00"/>
    <d v="2025-09-16T00:00:00"/>
    <s v="Tuesday"/>
    <s v="Afternoon"/>
    <x v="2"/>
    <n v="48"/>
    <n v="1"/>
    <x v="0"/>
    <x v="0"/>
    <s v="Email"/>
    <n v="11.3"/>
    <x v="29"/>
    <x v="1"/>
  </r>
  <r>
    <s v="HC-03637"/>
    <s v="P-0831"/>
    <s v="Female"/>
    <n v="25"/>
    <x v="1"/>
    <s v="Specialist Consultation"/>
    <d v="2025-10-22T00:00:00"/>
    <d v="2025-10-23T00:00:00"/>
    <s v="Thursday"/>
    <s v="Evening"/>
    <x v="1"/>
    <n v="1"/>
    <n v="4"/>
    <x v="0"/>
    <x v="0"/>
    <s v="SMS"/>
    <n v="16.3"/>
    <x v="26"/>
    <x v="1"/>
  </r>
  <r>
    <s v="HC-03638"/>
    <s v="P-0838"/>
    <s v="Male"/>
    <n v="25"/>
    <x v="1"/>
    <s v="Diagnostic Test"/>
    <d v="2025-08-09T00:00:00"/>
    <d v="2025-09-30T00:00:00"/>
    <s v="Tuesday"/>
    <s v="Morning"/>
    <x v="2"/>
    <n v="52"/>
    <n v="3"/>
    <x v="1"/>
    <x v="0"/>
    <s v="SMS"/>
    <n v="1.8"/>
    <x v="36"/>
    <x v="0"/>
  </r>
  <r>
    <s v="HC-03639"/>
    <s v="P-0807"/>
    <s v="Female"/>
    <n v="19"/>
    <x v="5"/>
    <s v="Follow-up"/>
    <d v="2024-12-31T00:00:00"/>
    <d v="2025-02-15T00:00:00"/>
    <s v="Saturday"/>
    <s v="Morning"/>
    <x v="2"/>
    <n v="46"/>
    <n v="3"/>
    <x v="0"/>
    <x v="0"/>
    <s v="WhatsApp"/>
    <n v="11.3"/>
    <x v="10"/>
    <x v="1"/>
  </r>
  <r>
    <s v="HC-03640"/>
    <s v="P-0407"/>
    <s v="Male"/>
    <n v="79"/>
    <x v="4"/>
    <s v="General Consultation"/>
    <d v="2025-11-11T00:00:00"/>
    <d v="2025-12-05T00:00:00"/>
    <s v="Friday"/>
    <s v="Evening"/>
    <x v="3"/>
    <n v="24"/>
    <n v="1"/>
    <x v="0"/>
    <x v="0"/>
    <s v="WhatsApp"/>
    <n v="9.6"/>
    <x v="0"/>
    <x v="1"/>
  </r>
  <r>
    <s v="HC-03641"/>
    <s v="P-1174"/>
    <s v="Female"/>
    <n v="41"/>
    <x v="0"/>
    <s v="General Consultation"/>
    <d v="2025-12-25T00:00:00"/>
    <d v="2026-01-29T00:00:00"/>
    <s v="Thursday"/>
    <s v="Afternoon"/>
    <x v="2"/>
    <n v="35"/>
    <n v="2"/>
    <x v="1"/>
    <x v="0"/>
    <s v="SMS"/>
    <m/>
    <x v="42"/>
    <x v="0"/>
  </r>
  <r>
    <s v="HC-03642"/>
    <s v="P-0658"/>
    <s v="Male"/>
    <n v="59"/>
    <x v="3"/>
    <s v="General Consultation"/>
    <d v="2026-04-02T00:00:00"/>
    <d v="2026-05-22T00:00:00"/>
    <s v="Friday"/>
    <s v="Morning"/>
    <x v="2"/>
    <n v="50"/>
    <n v="6"/>
    <x v="1"/>
    <x v="0"/>
    <s v="Email"/>
    <n v="0.9"/>
    <x v="32"/>
    <x v="0"/>
  </r>
  <r>
    <s v="HC-03643"/>
    <s v="P-1373"/>
    <s v="Male"/>
    <n v="79"/>
    <x v="4"/>
    <s v="Specialist Consultation"/>
    <d v="2026-03-29T00:00:00"/>
    <d v="2026-05-23T00:00:00"/>
    <s v="Saturday"/>
    <s v="Morning"/>
    <x v="2"/>
    <n v="55"/>
    <n v="4"/>
    <x v="1"/>
    <x v="0"/>
    <s v="SMS"/>
    <n v="25.1"/>
    <x v="26"/>
    <x v="1"/>
  </r>
  <r>
    <s v="HC-03644"/>
    <s v="P-0008"/>
    <s v="Female"/>
    <n v="76"/>
    <x v="4"/>
    <s v="General Consultation"/>
    <d v="2025-08-24T00:00:00"/>
    <d v="2025-09-26T00:00:00"/>
    <s v="Friday"/>
    <s v="Evening"/>
    <x v="2"/>
    <n v="33"/>
    <n v="4"/>
    <x v="0"/>
    <x v="1"/>
    <s v="None"/>
    <n v="8.1999999999999993"/>
    <x v="47"/>
    <x v="0"/>
  </r>
  <r>
    <s v="HC-03645"/>
    <s v="P-0316"/>
    <s v="Male"/>
    <n v="38"/>
    <x v="0"/>
    <s v="General Consultation"/>
    <d v="2026-06-06T00:00:00"/>
    <d v="2026-06-08T00:00:00"/>
    <s v="Monday"/>
    <s v="Afternoon"/>
    <x v="1"/>
    <n v="2"/>
    <n v="3"/>
    <x v="0"/>
    <x v="0"/>
    <s v="Email"/>
    <n v="8.1999999999999993"/>
    <x v="47"/>
    <x v="1"/>
  </r>
  <r>
    <s v="HC-03646"/>
    <s v="P-0945"/>
    <s v="Female"/>
    <n v="48"/>
    <x v="2"/>
    <s v="Follow-up"/>
    <d v="2025-09-09T00:00:00"/>
    <d v="2025-10-16T00:00:00"/>
    <s v="Thursday"/>
    <s v="Morning"/>
    <x v="2"/>
    <n v="37"/>
    <n v="3"/>
    <x v="1"/>
    <x v="0"/>
    <s v="WhatsApp"/>
    <n v="9.1999999999999993"/>
    <x v="25"/>
    <x v="1"/>
  </r>
  <r>
    <s v="HC-03647"/>
    <s v="P-0525"/>
    <s v="Female"/>
    <n v="47"/>
    <x v="2"/>
    <s v="General Consultation"/>
    <d v="2025-11-06T00:00:00"/>
    <d v="2025-12-17T00:00:00"/>
    <s v="Wednesday"/>
    <s v="Morning"/>
    <x v="2"/>
    <n v="41"/>
    <n v="0"/>
    <x v="0"/>
    <x v="0"/>
    <s v="SMS"/>
    <n v="4.8"/>
    <x v="31"/>
    <x v="1"/>
  </r>
  <r>
    <s v="HC-03648"/>
    <s v="P-1469"/>
    <s v="Female"/>
    <n v="20"/>
    <x v="5"/>
    <s v="General Consultation"/>
    <d v="2025-11-22T00:00:00"/>
    <d v="2025-11-25T00:00:00"/>
    <s v="Tuesday"/>
    <s v="Morning"/>
    <x v="1"/>
    <n v="3"/>
    <n v="4"/>
    <x v="0"/>
    <x v="0"/>
    <s v="WhatsApp"/>
    <n v="22.6"/>
    <x v="12"/>
    <x v="1"/>
  </r>
  <r>
    <s v="HC-03649"/>
    <s v="P-1162"/>
    <s v="Male"/>
    <n v="66"/>
    <x v="4"/>
    <s v="General Consultation"/>
    <d v="2026-05-12T00:00:00"/>
    <d v="2026-06-30T00:00:00"/>
    <s v="Tuesday"/>
    <s v="Morning"/>
    <x v="2"/>
    <n v="49"/>
    <n v="1"/>
    <x v="0"/>
    <x v="0"/>
    <s v="WhatsApp"/>
    <n v="1.4"/>
    <x v="8"/>
    <x v="1"/>
  </r>
  <r>
    <s v="HC-03650"/>
    <s v="P-1406"/>
    <s v="Female"/>
    <n v="54"/>
    <x v="2"/>
    <s v="Follow-up"/>
    <d v="2026-01-26T00:00:00"/>
    <d v="2026-02-07T00:00:00"/>
    <s v="Saturday"/>
    <s v="Morning"/>
    <x v="0"/>
    <n v="12"/>
    <n v="7"/>
    <x v="3"/>
    <x v="1"/>
    <s v="None"/>
    <n v="6.3"/>
    <x v="19"/>
    <x v="1"/>
  </r>
  <r>
    <s v="HC-03651"/>
    <s v="P-1353"/>
    <s v="Male"/>
    <n v="41"/>
    <x v="0"/>
    <s v="General Consultation"/>
    <d v="2025-01-12T00:00:00"/>
    <d v="2025-03-07T00:00:00"/>
    <s v="Friday"/>
    <s v="Morning"/>
    <x v="2"/>
    <n v="54"/>
    <n v="7"/>
    <x v="0"/>
    <x v="0"/>
    <s v="SMS"/>
    <n v="6.5"/>
    <x v="4"/>
    <x v="0"/>
  </r>
  <r>
    <s v="HC-03652"/>
    <s v="P-0793"/>
    <s v="Male"/>
    <n v="53"/>
    <x v="2"/>
    <s v="General Consultation"/>
    <d v="2025-01-07T00:00:00"/>
    <d v="2025-02-09T00:00:00"/>
    <s v="Sunday"/>
    <s v="Morning"/>
    <x v="2"/>
    <n v="33"/>
    <n v="4"/>
    <x v="0"/>
    <x v="0"/>
    <s v="SMS"/>
    <n v="4.9000000000000004"/>
    <x v="61"/>
    <x v="0"/>
  </r>
  <r>
    <s v="HC-03653"/>
    <s v="P-0162"/>
    <s v="Male"/>
    <n v="64"/>
    <x v="3"/>
    <s v="General Consultation"/>
    <d v="2025-07-24T00:00:00"/>
    <d v="2025-08-12T00:00:00"/>
    <s v="Tuesday"/>
    <s v="Morning"/>
    <x v="3"/>
    <n v="19"/>
    <n v="1"/>
    <x v="0"/>
    <x v="1"/>
    <s v="None"/>
    <n v="7.5"/>
    <x v="12"/>
    <x v="1"/>
  </r>
  <r>
    <s v="HC-03654"/>
    <s v="P-0788"/>
    <s v="Female"/>
    <n v="18"/>
    <x v="5"/>
    <s v="Specialist Consultation"/>
    <d v="2025-10-06T00:00:00"/>
    <d v="2025-10-09T00:00:00"/>
    <s v="Thursday"/>
    <s v="Afternoon"/>
    <x v="1"/>
    <n v="3"/>
    <n v="7"/>
    <x v="1"/>
    <x v="0"/>
    <s v="SMS"/>
    <n v="6.3"/>
    <x v="26"/>
    <x v="0"/>
  </r>
  <r>
    <s v="HC-03655"/>
    <s v="P-0436"/>
    <s v="Male"/>
    <n v="58"/>
    <x v="3"/>
    <s v="General Consultation"/>
    <d v="2025-12-31T00:00:00"/>
    <d v="2026-01-01T00:00:00"/>
    <s v="Thursday"/>
    <s v="Afternoon"/>
    <x v="1"/>
    <n v="1"/>
    <n v="0"/>
    <x v="0"/>
    <x v="0"/>
    <s v="SMS"/>
    <n v="4.2"/>
    <x v="50"/>
    <x v="1"/>
  </r>
  <r>
    <s v="HC-03656"/>
    <s v="P-1220"/>
    <s v="Female"/>
    <n v="72"/>
    <x v="4"/>
    <s v="General Consultation"/>
    <d v="2025-08-06T00:00:00"/>
    <d v="2025-09-20T00:00:00"/>
    <s v="Saturday"/>
    <s v="Afternoon"/>
    <x v="2"/>
    <n v="45"/>
    <n v="2"/>
    <x v="0"/>
    <x v="0"/>
    <s v="WhatsApp"/>
    <n v="8.5"/>
    <x v="6"/>
    <x v="1"/>
  </r>
  <r>
    <s v="HC-03657"/>
    <s v="P-1722"/>
    <s v="Female"/>
    <n v="63"/>
    <x v="3"/>
    <s v="Diagnostic Test"/>
    <d v="2025-09-15T00:00:00"/>
    <d v="2025-10-08T00:00:00"/>
    <s v="Wednesday"/>
    <s v="Morning"/>
    <x v="3"/>
    <n v="23"/>
    <n v="1"/>
    <x v="0"/>
    <x v="0"/>
    <s v="SMS"/>
    <n v="9.6999999999999993"/>
    <x v="46"/>
    <x v="0"/>
  </r>
  <r>
    <s v="HC-03658"/>
    <s v="P-1685"/>
    <s v="Male"/>
    <n v="57"/>
    <x v="3"/>
    <s v="Specialist Consultation"/>
    <d v="2026-03-29T00:00:00"/>
    <d v="2026-05-19T00:00:00"/>
    <s v="Tuesday"/>
    <s v="Evening"/>
    <x v="2"/>
    <n v="51"/>
    <n v="1"/>
    <x v="1"/>
    <x v="0"/>
    <s v="WhatsApp"/>
    <n v="32.799999999999997"/>
    <x v="50"/>
    <x v="0"/>
  </r>
  <r>
    <s v="HC-03659"/>
    <s v="P-1347"/>
    <s v="Prefer not to say"/>
    <n v="23"/>
    <x v="5"/>
    <s v="General Consultation"/>
    <d v="2025-06-18T00:00:00"/>
    <d v="2025-07-02T00:00:00"/>
    <s v="Wednesday"/>
    <s v="Evening"/>
    <x v="0"/>
    <n v="14"/>
    <n v="3"/>
    <x v="0"/>
    <x v="1"/>
    <s v="None"/>
    <n v="4.0999999999999996"/>
    <x v="25"/>
    <x v="0"/>
  </r>
  <r>
    <s v="HC-03660"/>
    <s v="P-1336"/>
    <s v="Female"/>
    <n v="64"/>
    <x v="3"/>
    <s v="General Consultation"/>
    <d v="2025-08-02T00:00:00"/>
    <d v="2025-09-27T00:00:00"/>
    <s v="Saturday"/>
    <s v="Evening"/>
    <x v="2"/>
    <n v="56"/>
    <n v="5"/>
    <x v="1"/>
    <x v="0"/>
    <s v="SMS"/>
    <n v="11.3"/>
    <x v="27"/>
    <x v="0"/>
  </r>
  <r>
    <s v="HC-03661"/>
    <s v="P-1738"/>
    <s v="Female"/>
    <n v="65"/>
    <x v="4"/>
    <s v="General Consultation"/>
    <d v="2025-09-05T00:00:00"/>
    <d v="2025-11-01T00:00:00"/>
    <s v="Saturday"/>
    <s v="Morning"/>
    <x v="2"/>
    <n v="57"/>
    <n v="3"/>
    <x v="2"/>
    <x v="0"/>
    <s v="WhatsApp"/>
    <n v="11.1"/>
    <x v="8"/>
    <x v="1"/>
  </r>
  <r>
    <s v="HC-03662"/>
    <s v="P-0898"/>
    <s v="Female"/>
    <n v="49"/>
    <x v="2"/>
    <s v="Specialist Consultation"/>
    <d v="2025-09-07T00:00:00"/>
    <d v="2025-09-13T00:00:00"/>
    <s v="Saturday"/>
    <s v="Morning"/>
    <x v="1"/>
    <n v="6"/>
    <n v="1"/>
    <x v="0"/>
    <x v="0"/>
    <s v="WhatsApp"/>
    <n v="15.5"/>
    <x v="11"/>
    <x v="2"/>
  </r>
  <r>
    <s v="HC-03663"/>
    <s v="P-0023"/>
    <s v="Female"/>
    <n v="54"/>
    <x v="2"/>
    <s v="General Consultation"/>
    <d v="2026-05-05T00:00:00"/>
    <d v="2026-06-13T00:00:00"/>
    <s v="Saturday"/>
    <s v="Afternoon"/>
    <x v="2"/>
    <n v="39"/>
    <n v="2"/>
    <x v="0"/>
    <x v="0"/>
    <s v="Email"/>
    <n v="14"/>
    <x v="15"/>
    <x v="1"/>
  </r>
  <r>
    <s v="HC-03664"/>
    <s v="P-1639"/>
    <s v="Female"/>
    <n v="56"/>
    <x v="3"/>
    <s v="Diagnostic Test"/>
    <d v="2026-04-14T00:00:00"/>
    <d v="2026-06-10T00:00:00"/>
    <s v="Wednesday"/>
    <s v="Morning"/>
    <x v="2"/>
    <n v="57"/>
    <n v="3"/>
    <x v="0"/>
    <x v="1"/>
    <s v="None"/>
    <n v="1.9"/>
    <x v="20"/>
    <x v="2"/>
  </r>
  <r>
    <s v="HC-03665"/>
    <s v="P-1011"/>
    <s v="Female"/>
    <n v="25"/>
    <x v="1"/>
    <s v="Specialist Consultation"/>
    <d v="2025-09-19T00:00:00"/>
    <d v="2025-10-08T00:00:00"/>
    <s v="Wednesday"/>
    <s v="Morning"/>
    <x v="3"/>
    <n v="19"/>
    <n v="7"/>
    <x v="3"/>
    <x v="0"/>
    <s v="SMS"/>
    <n v="7.3"/>
    <x v="18"/>
    <x v="0"/>
  </r>
  <r>
    <s v="HC-03666"/>
    <s v="P-1778"/>
    <s v="Female"/>
    <n v="34"/>
    <x v="1"/>
    <s v="Follow-up"/>
    <d v="2025-08-31T00:00:00"/>
    <d v="2025-09-04T00:00:00"/>
    <s v="Thursday"/>
    <s v="Morning"/>
    <x v="1"/>
    <n v="4"/>
    <n v="4"/>
    <x v="2"/>
    <x v="1"/>
    <s v="None"/>
    <n v="3.9"/>
    <x v="35"/>
    <x v="1"/>
  </r>
  <r>
    <s v="HC-03667"/>
    <s v="P-1466"/>
    <s v="Female"/>
    <n v="67"/>
    <x v="4"/>
    <s v="General Consultation"/>
    <d v="2025-09-26T00:00:00"/>
    <d v="2025-11-18T00:00:00"/>
    <s v="Tuesday"/>
    <s v="Afternoon"/>
    <x v="2"/>
    <n v="53"/>
    <n v="2"/>
    <x v="0"/>
    <x v="0"/>
    <s v="WhatsApp"/>
    <n v="4.4000000000000004"/>
    <x v="35"/>
    <x v="0"/>
  </r>
  <r>
    <s v="HC-03668"/>
    <s v="P-1291"/>
    <s v="Male"/>
    <n v="79"/>
    <x v="4"/>
    <s v="Diagnostic Test"/>
    <d v="2025-03-12T00:00:00"/>
    <d v="2025-04-09T00:00:00"/>
    <s v="Wednesday"/>
    <s v="Afternoon"/>
    <x v="3"/>
    <n v="28"/>
    <n v="3"/>
    <x v="1"/>
    <x v="1"/>
    <s v="None"/>
    <n v="2.8"/>
    <x v="1"/>
    <x v="0"/>
  </r>
  <r>
    <s v="HC-03669"/>
    <s v="P-0723"/>
    <s v="Male"/>
    <n v="35"/>
    <x v="0"/>
    <s v="Specialist Consultation"/>
    <d v="2025-08-20T00:00:00"/>
    <d v="2025-08-21T00:00:00"/>
    <s v="Thursday"/>
    <s v="Morning"/>
    <x v="1"/>
    <n v="1"/>
    <n v="0"/>
    <x v="0"/>
    <x v="0"/>
    <s v="WhatsApp"/>
    <n v="7.2"/>
    <x v="12"/>
    <x v="1"/>
  </r>
  <r>
    <s v="HC-03670"/>
    <s v="P-1627"/>
    <s v="Male"/>
    <n v="43"/>
    <x v="0"/>
    <s v="Specialist Consultation"/>
    <d v="2025-03-09T00:00:00"/>
    <d v="2025-04-29T00:00:00"/>
    <s v="Tuesday"/>
    <s v="Evening"/>
    <x v="2"/>
    <n v="51"/>
    <n v="1"/>
    <x v="0"/>
    <x v="0"/>
    <s v="WhatsApp"/>
    <n v="11.6"/>
    <x v="27"/>
    <x v="0"/>
  </r>
  <r>
    <s v="HC-03671"/>
    <s v="P-1649"/>
    <s v="Female"/>
    <n v="75"/>
    <x v="4"/>
    <s v="General Consultation"/>
    <d v="2025-02-07T00:00:00"/>
    <d v="2025-03-20T00:00:00"/>
    <s v="Thursday"/>
    <s v="Afternoon"/>
    <x v="2"/>
    <n v="41"/>
    <n v="7"/>
    <x v="3"/>
    <x v="1"/>
    <s v="None"/>
    <n v="20.7"/>
    <x v="27"/>
    <x v="1"/>
  </r>
  <r>
    <s v="HC-03672"/>
    <s v="P-1694"/>
    <s v="Male"/>
    <n v="28"/>
    <x v="1"/>
    <s v="Specialist Consultation"/>
    <d v="2025-02-17T00:00:00"/>
    <d v="2025-02-21T00:00:00"/>
    <s v="Friday"/>
    <s v="Morning"/>
    <x v="1"/>
    <n v="4"/>
    <n v="6"/>
    <x v="1"/>
    <x v="0"/>
    <s v="SMS"/>
    <n v="9.1"/>
    <x v="9"/>
    <x v="1"/>
  </r>
  <r>
    <s v="HC-03673"/>
    <s v="P-0971"/>
    <s v="Female"/>
    <n v="34"/>
    <x v="1"/>
    <s v="Specialist Consultation"/>
    <d v="2025-11-02T00:00:00"/>
    <d v="2025-11-17T00:00:00"/>
    <s v="Monday"/>
    <s v="Morning"/>
    <x v="3"/>
    <n v="15"/>
    <n v="3"/>
    <x v="0"/>
    <x v="1"/>
    <s v="None"/>
    <n v="4.5"/>
    <x v="19"/>
    <x v="1"/>
  </r>
  <r>
    <s v="HC-03674"/>
    <s v="P-1027"/>
    <s v="Male"/>
    <n v="21"/>
    <x v="5"/>
    <s v="Diagnostic Test"/>
    <d v="2024-12-31T00:00:00"/>
    <d v="2025-01-01T00:00:00"/>
    <s v="Wednesday"/>
    <s v="Morning"/>
    <x v="1"/>
    <n v="1"/>
    <n v="3"/>
    <x v="0"/>
    <x v="0"/>
    <s v="SMS"/>
    <n v="9.9"/>
    <x v="49"/>
    <x v="0"/>
  </r>
  <r>
    <s v="HC-03675"/>
    <s v="P-1244"/>
    <s v="Female"/>
    <n v="32"/>
    <x v="1"/>
    <s v="Follow-up"/>
    <d v="2025-10-22T00:00:00"/>
    <d v="2025-12-19T00:00:00"/>
    <s v="Friday"/>
    <s v="Evening"/>
    <x v="2"/>
    <n v="58"/>
    <n v="3"/>
    <x v="1"/>
    <x v="1"/>
    <s v="None"/>
    <n v="12.3"/>
    <x v="0"/>
    <x v="0"/>
  </r>
  <r>
    <s v="HC-03676"/>
    <s v="P-0530"/>
    <s v="Male"/>
    <n v="58"/>
    <x v="3"/>
    <s v="Follow-up"/>
    <d v="2025-08-23T00:00:00"/>
    <d v="2025-08-24T00:00:00"/>
    <s v="Sunday"/>
    <s v="Afternoon"/>
    <x v="1"/>
    <n v="1"/>
    <n v="2"/>
    <x v="1"/>
    <x v="0"/>
    <s v="SMS"/>
    <n v="18.8"/>
    <x v="42"/>
    <x v="0"/>
  </r>
  <r>
    <s v="HC-03677"/>
    <s v="P-0256"/>
    <s v="Female"/>
    <n v="39"/>
    <x v="0"/>
    <s v="Follow-up"/>
    <d v="2025-06-02T00:00:00"/>
    <d v="2025-07-20T00:00:00"/>
    <s v="Sunday"/>
    <s v="Afternoon"/>
    <x v="2"/>
    <n v="48"/>
    <n v="4"/>
    <x v="1"/>
    <x v="0"/>
    <s v="SMS"/>
    <n v="3.9"/>
    <x v="17"/>
    <x v="1"/>
  </r>
  <r>
    <s v="HC-03678"/>
    <s v="P-1320"/>
    <s v="Male"/>
    <n v="79"/>
    <x v="4"/>
    <s v="Specialist Consultation"/>
    <d v="2026-01-25T00:00:00"/>
    <d v="2026-02-25T00:00:00"/>
    <s v="Wednesday"/>
    <s v="Afternoon"/>
    <x v="2"/>
    <n v="31"/>
    <n v="2"/>
    <x v="1"/>
    <x v="1"/>
    <s v="None"/>
    <n v="2.7"/>
    <x v="0"/>
    <x v="1"/>
  </r>
  <r>
    <s v="HC-03679"/>
    <s v="P-0774"/>
    <s v="Female"/>
    <n v="74"/>
    <x v="4"/>
    <s v="Diagnostic Test"/>
    <d v="2025-09-17T00:00:00"/>
    <d v="2025-10-22T00:00:00"/>
    <s v="Wednesday"/>
    <s v="Morning"/>
    <x v="2"/>
    <n v="35"/>
    <n v="3"/>
    <x v="1"/>
    <x v="0"/>
    <s v="WhatsApp"/>
    <n v="10.4"/>
    <x v="21"/>
    <x v="1"/>
  </r>
  <r>
    <s v="HC-03680"/>
    <s v="P-0299"/>
    <s v="Male"/>
    <n v="74"/>
    <x v="4"/>
    <s v="Follow-up"/>
    <d v="2025-12-18T00:00:00"/>
    <d v="2026-02-05T00:00:00"/>
    <s v="Thursday"/>
    <s v="Evening"/>
    <x v="2"/>
    <n v="49"/>
    <n v="3"/>
    <x v="2"/>
    <x v="1"/>
    <s v="None"/>
    <n v="8.5"/>
    <x v="38"/>
    <x v="0"/>
  </r>
  <r>
    <s v="HC-03681"/>
    <s v="P-1697"/>
    <s v="Male"/>
    <n v="63"/>
    <x v="3"/>
    <s v="General Consultation"/>
    <d v="2025-11-30T00:00:00"/>
    <d v="2026-01-23T00:00:00"/>
    <s v="Friday"/>
    <s v="Evening"/>
    <x v="2"/>
    <n v="54"/>
    <n v="5"/>
    <x v="1"/>
    <x v="1"/>
    <s v="None"/>
    <n v="6.8"/>
    <x v="15"/>
    <x v="0"/>
  </r>
  <r>
    <s v="HC-03682"/>
    <s v="P-0602"/>
    <s v="Female"/>
    <n v="62"/>
    <x v="3"/>
    <s v="General Consultation"/>
    <d v="2025-01-11T00:00:00"/>
    <d v="2025-01-18T00:00:00"/>
    <s v="Saturday"/>
    <s v="Afternoon"/>
    <x v="1"/>
    <n v="7"/>
    <n v="2"/>
    <x v="0"/>
    <x v="0"/>
    <s v="SMS"/>
    <n v="8.1"/>
    <x v="8"/>
    <x v="1"/>
  </r>
  <r>
    <s v="HC-03683"/>
    <s v="P-1111"/>
    <s v="Male"/>
    <n v="50"/>
    <x v="2"/>
    <s v="Follow-up"/>
    <d v="2025-04-27T00:00:00"/>
    <d v="2025-04-28T00:00:00"/>
    <s v="Monday"/>
    <s v="Afternoon"/>
    <x v="1"/>
    <n v="1"/>
    <n v="5"/>
    <x v="2"/>
    <x v="0"/>
    <s v="SMS"/>
    <n v="4"/>
    <x v="46"/>
    <x v="2"/>
  </r>
  <r>
    <s v="HC-03684"/>
    <s v="P-0717"/>
    <s v="Female"/>
    <n v="80"/>
    <x v="4"/>
    <s v="Specialist Consultation"/>
    <d v="2025-11-01T00:00:00"/>
    <d v="2025-11-08T00:00:00"/>
    <s v="Saturday"/>
    <s v="Morning"/>
    <x v="1"/>
    <n v="7"/>
    <n v="2"/>
    <x v="0"/>
    <x v="1"/>
    <s v="None"/>
    <n v="1.6"/>
    <x v="43"/>
    <x v="1"/>
  </r>
  <r>
    <s v="HC-03685"/>
    <s v="P-0704"/>
    <s v="Male"/>
    <n v="24"/>
    <x v="5"/>
    <s v="General Consultation"/>
    <d v="2026-05-07T00:00:00"/>
    <d v="2026-06-17T00:00:00"/>
    <s v="Wednesday"/>
    <s v="Morning"/>
    <x v="2"/>
    <n v="41"/>
    <n v="6"/>
    <x v="1"/>
    <x v="0"/>
    <s v="WhatsApp"/>
    <n v="13.8"/>
    <x v="12"/>
    <x v="0"/>
  </r>
  <r>
    <s v="HC-03686"/>
    <s v="P-1526"/>
    <s v="Female"/>
    <n v="63"/>
    <x v="3"/>
    <s v="General Consultation"/>
    <d v="2025-02-20T00:00:00"/>
    <d v="2025-03-26T00:00:00"/>
    <s v="Wednesday"/>
    <s v="Morning"/>
    <x v="2"/>
    <n v="34"/>
    <n v="2"/>
    <x v="1"/>
    <x v="0"/>
    <s v="SMS"/>
    <n v="13.2"/>
    <x v="4"/>
    <x v="0"/>
  </r>
  <r>
    <s v="HC-03687"/>
    <s v="P-1489"/>
    <s v="Male"/>
    <n v="26"/>
    <x v="1"/>
    <s v="Diagnostic Test"/>
    <d v="2025-02-22T00:00:00"/>
    <d v="2025-02-27T00:00:00"/>
    <s v="Thursday"/>
    <s v="Afternoon"/>
    <x v="1"/>
    <n v="5"/>
    <n v="3"/>
    <x v="2"/>
    <x v="0"/>
    <s v="SMS"/>
    <n v="3"/>
    <x v="10"/>
    <x v="1"/>
  </r>
  <r>
    <s v="HC-03688"/>
    <s v="P-0781"/>
    <s v="Male"/>
    <n v="39"/>
    <x v="0"/>
    <s v="Follow-up"/>
    <d v="2026-05-15T00:00:00"/>
    <d v="2026-05-29T00:00:00"/>
    <s v="Friday"/>
    <s v="Afternoon"/>
    <x v="0"/>
    <n v="14"/>
    <n v="4"/>
    <x v="0"/>
    <x v="1"/>
    <s v="None"/>
    <n v="7.8"/>
    <x v="8"/>
    <x v="1"/>
  </r>
  <r>
    <s v="HC-03689"/>
    <s v="P-0907"/>
    <s v="Female"/>
    <n v="34"/>
    <x v="1"/>
    <s v="General Consultation"/>
    <d v="2026-05-11T00:00:00"/>
    <d v="2026-06-12T00:00:00"/>
    <s v="Friday"/>
    <s v="Evening"/>
    <x v="2"/>
    <n v="32"/>
    <n v="2"/>
    <x v="0"/>
    <x v="1"/>
    <s v="None"/>
    <n v="12.8"/>
    <x v="4"/>
    <x v="0"/>
  </r>
  <r>
    <s v="HC-03690"/>
    <s v="P-1121"/>
    <s v="Male"/>
    <n v="55"/>
    <x v="3"/>
    <s v="General Consultation"/>
    <d v="2025-02-17T00:00:00"/>
    <d v="2025-04-02T00:00:00"/>
    <s v="Wednesday"/>
    <s v="Morning"/>
    <x v="2"/>
    <n v="44"/>
    <n v="7"/>
    <x v="2"/>
    <x v="1"/>
    <s v="None"/>
    <n v="11.8"/>
    <x v="0"/>
    <x v="1"/>
  </r>
  <r>
    <s v="HC-03691"/>
    <s v="P-0200"/>
    <s v="Male"/>
    <n v="67"/>
    <x v="4"/>
    <s v="General Consultation"/>
    <d v="2025-07-19T00:00:00"/>
    <d v="2025-08-08T00:00:00"/>
    <s v="Friday"/>
    <s v="Morning"/>
    <x v="3"/>
    <n v="20"/>
    <n v="1"/>
    <x v="0"/>
    <x v="0"/>
    <s v="SMS"/>
    <n v="5"/>
    <x v="6"/>
    <x v="1"/>
  </r>
  <r>
    <s v="HC-03692"/>
    <s v="P-1556"/>
    <s v="Male"/>
    <n v="23"/>
    <x v="5"/>
    <s v="General Consultation"/>
    <d v="2025-10-13T00:00:00"/>
    <d v="2025-12-09T00:00:00"/>
    <s v="Tuesday"/>
    <s v="Morning"/>
    <x v="2"/>
    <n v="57"/>
    <n v="2"/>
    <x v="0"/>
    <x v="0"/>
    <s v="SMS"/>
    <n v="9.6999999999999993"/>
    <x v="28"/>
    <x v="0"/>
  </r>
  <r>
    <s v="HC-03693"/>
    <s v="P-1000"/>
    <s v="Female"/>
    <n v="55"/>
    <x v="3"/>
    <s v="Follow-up"/>
    <d v="2025-02-16T00:00:00"/>
    <d v="2025-04-17T00:00:00"/>
    <s v="Thursday"/>
    <s v="Evening"/>
    <x v="2"/>
    <n v="60"/>
    <n v="3"/>
    <x v="0"/>
    <x v="0"/>
    <s v="Email"/>
    <n v="3.6"/>
    <x v="18"/>
    <x v="1"/>
  </r>
  <r>
    <s v="HC-03694"/>
    <s v="P-0245"/>
    <s v="Female"/>
    <n v="31"/>
    <x v="1"/>
    <s v="Follow-up"/>
    <d v="2025-05-13T00:00:00"/>
    <d v="2025-06-28T00:00:00"/>
    <s v="Saturday"/>
    <s v="Afternoon"/>
    <x v="2"/>
    <n v="46"/>
    <n v="1"/>
    <x v="0"/>
    <x v="1"/>
    <s v="None"/>
    <n v="14.6"/>
    <x v="6"/>
    <x v="1"/>
  </r>
  <r>
    <s v="HC-03695"/>
    <s v="P-1218"/>
    <s v="Female"/>
    <n v="22"/>
    <x v="5"/>
    <s v="Follow-up"/>
    <d v="2025-07-08T00:00:00"/>
    <d v="2025-08-04T00:00:00"/>
    <s v="Monday"/>
    <s v="Afternoon"/>
    <x v="3"/>
    <n v="27"/>
    <n v="0"/>
    <x v="0"/>
    <x v="1"/>
    <s v="None"/>
    <n v="7.4"/>
    <x v="17"/>
    <x v="0"/>
  </r>
  <r>
    <s v="HC-03696"/>
    <s v="P-1219"/>
    <s v="Female"/>
    <n v="44"/>
    <x v="0"/>
    <s v="Follow-up"/>
    <d v="2025-10-25T00:00:00"/>
    <d v="2025-12-17T00:00:00"/>
    <s v="Wednesday"/>
    <s v="Afternoon"/>
    <x v="2"/>
    <n v="53"/>
    <n v="2"/>
    <x v="0"/>
    <x v="0"/>
    <s v="WhatsApp"/>
    <n v="9.9"/>
    <x v="12"/>
    <x v="1"/>
  </r>
  <r>
    <s v="HC-03697"/>
    <s v="P-1109"/>
    <s v="Female"/>
    <n v="54"/>
    <x v="2"/>
    <s v="General Consultation"/>
    <d v="2025-05-05T00:00:00"/>
    <d v="2025-06-18T00:00:00"/>
    <s v="Wednesday"/>
    <s v="Afternoon"/>
    <x v="2"/>
    <n v="44"/>
    <n v="1"/>
    <x v="0"/>
    <x v="0"/>
    <s v="WhatsApp"/>
    <n v="11.1"/>
    <x v="22"/>
    <x v="0"/>
  </r>
  <r>
    <s v="HC-03698"/>
    <s v="P-1217"/>
    <s v="Male"/>
    <n v="30"/>
    <x v="1"/>
    <s v="General Consultation"/>
    <d v="2025-07-14T00:00:00"/>
    <d v="2025-08-14T00:00:00"/>
    <s v="Thursday"/>
    <s v="Morning"/>
    <x v="2"/>
    <n v="31"/>
    <n v="4"/>
    <x v="0"/>
    <x v="1"/>
    <s v="None"/>
    <n v="7.5"/>
    <x v="15"/>
    <x v="0"/>
  </r>
  <r>
    <s v="HC-03699"/>
    <s v="P-1519"/>
    <s v="Male"/>
    <n v="42"/>
    <x v="0"/>
    <s v="General Consultation"/>
    <d v="2025-05-12T00:00:00"/>
    <d v="2025-06-08T00:00:00"/>
    <s v="Sunday"/>
    <s v="Morning"/>
    <x v="3"/>
    <n v="27"/>
    <n v="2"/>
    <x v="0"/>
    <x v="1"/>
    <s v="None"/>
    <n v="11.1"/>
    <x v="0"/>
    <x v="1"/>
  </r>
  <r>
    <s v="HC-03700"/>
    <s v="P-0991"/>
    <s v="Male"/>
    <n v="78"/>
    <x v="4"/>
    <s v="General Consultation"/>
    <d v="2025-12-31T00:00:00"/>
    <d v="2026-02-19T00:00:00"/>
    <s v="Thursday"/>
    <s v="Morning"/>
    <x v="2"/>
    <n v="50"/>
    <n v="2"/>
    <x v="0"/>
    <x v="1"/>
    <s v="None"/>
    <n v="14.9"/>
    <x v="25"/>
    <x v="2"/>
  </r>
  <r>
    <s v="HC-03701"/>
    <s v="P-0195"/>
    <s v="Female"/>
    <n v="39"/>
    <x v="0"/>
    <s v="Specialist Consultation"/>
    <d v="2025-02-20T00:00:00"/>
    <d v="2025-03-25T00:00:00"/>
    <s v="Tuesday"/>
    <s v="Morning"/>
    <x v="2"/>
    <n v="33"/>
    <n v="2"/>
    <x v="0"/>
    <x v="0"/>
    <s v="SMS"/>
    <n v="4"/>
    <x v="13"/>
    <x v="0"/>
  </r>
  <r>
    <s v="HC-03702"/>
    <s v="P-1633"/>
    <s v="Female"/>
    <n v="80"/>
    <x v="4"/>
    <s v="General Consultation"/>
    <d v="2025-04-25T00:00:00"/>
    <d v="2025-05-06T00:00:00"/>
    <s v="Tuesday"/>
    <s v="Afternoon"/>
    <x v="0"/>
    <n v="11"/>
    <n v="3"/>
    <x v="2"/>
    <x v="0"/>
    <s v="SMS"/>
    <n v="17.100000000000001"/>
    <x v="49"/>
    <x v="1"/>
  </r>
  <r>
    <s v="HC-03703"/>
    <s v="P-0799"/>
    <s v="Male"/>
    <n v="70"/>
    <x v="4"/>
    <s v="Follow-up"/>
    <d v="2025-03-18T00:00:00"/>
    <d v="2025-05-17T00:00:00"/>
    <s v="Saturday"/>
    <s v="Morning"/>
    <x v="2"/>
    <n v="60"/>
    <n v="1"/>
    <x v="0"/>
    <x v="0"/>
    <s v="SMS"/>
    <n v="6"/>
    <x v="22"/>
    <x v="0"/>
  </r>
  <r>
    <s v="HC-03704"/>
    <s v="P-0954"/>
    <s v="Male"/>
    <n v="41"/>
    <x v="0"/>
    <s v="General Consultation"/>
    <d v="2026-05-06T00:00:00"/>
    <d v="2026-05-10T00:00:00"/>
    <s v="Sunday"/>
    <s v="Afternoon"/>
    <x v="1"/>
    <n v="4"/>
    <n v="2"/>
    <x v="1"/>
    <x v="0"/>
    <s v="SMS"/>
    <n v="11.5"/>
    <x v="32"/>
    <x v="1"/>
  </r>
  <r>
    <s v="HC-03705"/>
    <s v="P-0520"/>
    <s v="Male"/>
    <n v="54"/>
    <x v="2"/>
    <s v="General Consultation"/>
    <d v="2026-04-19T00:00:00"/>
    <d v="2026-05-31T00:00:00"/>
    <s v="Sunday"/>
    <s v="Afternoon"/>
    <x v="2"/>
    <n v="42"/>
    <n v="6"/>
    <x v="1"/>
    <x v="1"/>
    <s v="None"/>
    <n v="7.3"/>
    <x v="7"/>
    <x v="1"/>
  </r>
  <r>
    <s v="HC-03706"/>
    <s v="P-0285"/>
    <s v="Male"/>
    <n v="62"/>
    <x v="3"/>
    <s v="General Consultation"/>
    <d v="2025-08-22T00:00:00"/>
    <d v="2025-10-01T00:00:00"/>
    <s v="Wednesday"/>
    <s v="Afternoon"/>
    <x v="2"/>
    <n v="40"/>
    <n v="8"/>
    <x v="5"/>
    <x v="0"/>
    <s v="Email"/>
    <n v="10.3"/>
    <x v="49"/>
    <x v="0"/>
  </r>
  <r>
    <s v="HC-03707"/>
    <s v="P-1661"/>
    <s v="Female"/>
    <n v="47"/>
    <x v="2"/>
    <s v="Follow-up"/>
    <d v="2025-02-20T00:00:00"/>
    <d v="2025-03-27T00:00:00"/>
    <s v="Thursday"/>
    <s v="Evening"/>
    <x v="2"/>
    <n v="35"/>
    <n v="7"/>
    <x v="1"/>
    <x v="0"/>
    <s v="SMS"/>
    <n v="16.399999999999999"/>
    <x v="49"/>
    <x v="0"/>
  </r>
  <r>
    <s v="HC-03708"/>
    <s v="P-1209"/>
    <s v="Male"/>
    <n v="43"/>
    <x v="0"/>
    <s v="Follow-up"/>
    <d v="2026-02-14T00:00:00"/>
    <d v="2026-02-17T00:00:00"/>
    <s v="Tuesday"/>
    <s v="Morning"/>
    <x v="1"/>
    <n v="3"/>
    <n v="4"/>
    <x v="2"/>
    <x v="1"/>
    <s v="None"/>
    <n v="8.5"/>
    <x v="26"/>
    <x v="1"/>
  </r>
  <r>
    <s v="HC-03709"/>
    <s v="P-0777"/>
    <s v="Male"/>
    <n v="38"/>
    <x v="0"/>
    <s v="Specialist Consultation"/>
    <d v="2025-08-27T00:00:00"/>
    <d v="2025-09-26T00:00:00"/>
    <s v="Friday"/>
    <s v="Afternoon"/>
    <x v="3"/>
    <n v="30"/>
    <n v="3"/>
    <x v="0"/>
    <x v="0"/>
    <s v="SMS"/>
    <n v="11"/>
    <x v="7"/>
    <x v="0"/>
  </r>
  <r>
    <s v="HC-03710"/>
    <s v="P-0751"/>
    <s v="Female"/>
    <n v="26"/>
    <x v="1"/>
    <s v="General Consultation"/>
    <d v="2026-02-14T00:00:00"/>
    <d v="2026-04-09T00:00:00"/>
    <s v="Thursday"/>
    <s v="Morning"/>
    <x v="2"/>
    <n v="54"/>
    <n v="5"/>
    <x v="1"/>
    <x v="0"/>
    <s v="SMS"/>
    <n v="19.399999999999999"/>
    <x v="4"/>
    <x v="0"/>
  </r>
  <r>
    <s v="HC-03711"/>
    <s v="P-0628"/>
    <s v="Male"/>
    <n v="19"/>
    <x v="5"/>
    <s v="Follow-up"/>
    <d v="2025-07-02T00:00:00"/>
    <d v="2025-07-16T00:00:00"/>
    <s v="Wednesday"/>
    <s v="Afternoon"/>
    <x v="0"/>
    <n v="14"/>
    <n v="6"/>
    <x v="0"/>
    <x v="1"/>
    <s v="None"/>
    <n v="6.2"/>
    <x v="5"/>
    <x v="1"/>
  </r>
  <r>
    <s v="HC-03712"/>
    <s v="P-1785"/>
    <s v="Female"/>
    <n v="39"/>
    <x v="0"/>
    <s v="Specialist Consultation"/>
    <d v="2026-05-19T00:00:00"/>
    <d v="2026-06-30T00:00:00"/>
    <s v="Tuesday"/>
    <s v="Afternoon"/>
    <x v="2"/>
    <n v="42"/>
    <n v="4"/>
    <x v="0"/>
    <x v="0"/>
    <s v="WhatsApp"/>
    <n v="4.5999999999999996"/>
    <x v="10"/>
    <x v="0"/>
  </r>
  <r>
    <s v="HC-03713"/>
    <s v="P-0509"/>
    <s v="Female"/>
    <n v="68"/>
    <x v="4"/>
    <s v="General Consultation"/>
    <d v="2026-01-24T00:00:00"/>
    <d v="2026-03-17T00:00:00"/>
    <s v="Tuesday"/>
    <s v="Morning"/>
    <x v="2"/>
    <n v="52"/>
    <n v="4"/>
    <x v="0"/>
    <x v="0"/>
    <s v="Email"/>
    <n v="15.6"/>
    <x v="23"/>
    <x v="1"/>
  </r>
  <r>
    <s v="HC-03714"/>
    <s v="P-1465"/>
    <s v="Female"/>
    <n v="32"/>
    <x v="1"/>
    <s v="General Consultation"/>
    <d v="2025-03-06T00:00:00"/>
    <d v="2025-05-03T00:00:00"/>
    <s v="Saturday"/>
    <s v="Morning"/>
    <x v="2"/>
    <n v="58"/>
    <n v="1"/>
    <x v="0"/>
    <x v="1"/>
    <s v="None"/>
    <n v="7.6"/>
    <x v="14"/>
    <x v="0"/>
  </r>
  <r>
    <s v="HC-03715"/>
    <s v="P-0012"/>
    <s v="Male"/>
    <n v="29"/>
    <x v="1"/>
    <s v="General Consultation"/>
    <d v="2026-01-01T00:00:00"/>
    <d v="2026-02-01T00:00:00"/>
    <s v="Sunday"/>
    <s v="Afternoon"/>
    <x v="2"/>
    <n v="31"/>
    <n v="1"/>
    <x v="0"/>
    <x v="0"/>
    <s v="SMS"/>
    <n v="6.9"/>
    <x v="5"/>
    <x v="0"/>
  </r>
  <r>
    <s v="HC-03716"/>
    <s v="P-0247"/>
    <s v="Male"/>
    <n v="38"/>
    <x v="0"/>
    <s v="General Consultation"/>
    <d v="2025-05-18T00:00:00"/>
    <d v="2025-06-06T00:00:00"/>
    <s v="Friday"/>
    <s v="Afternoon"/>
    <x v="3"/>
    <n v="19"/>
    <n v="1"/>
    <x v="0"/>
    <x v="0"/>
    <s v="Email"/>
    <n v="17.3"/>
    <x v="9"/>
    <x v="1"/>
  </r>
  <r>
    <s v="HC-03717"/>
    <s v="P-0418"/>
    <s v="Female"/>
    <n v="55"/>
    <x v="3"/>
    <s v="Diagnostic Test"/>
    <d v="2025-05-29T00:00:00"/>
    <d v="2025-07-10T00:00:00"/>
    <s v="Thursday"/>
    <s v="Afternoon"/>
    <x v="2"/>
    <n v="42"/>
    <n v="6"/>
    <x v="0"/>
    <x v="1"/>
    <s v="None"/>
    <n v="5"/>
    <x v="27"/>
    <x v="0"/>
  </r>
  <r>
    <s v="HC-03718"/>
    <s v="P-0672"/>
    <s v="Male"/>
    <n v="31"/>
    <x v="1"/>
    <s v="General Consultation"/>
    <d v="2025-04-18T00:00:00"/>
    <d v="2025-05-17T00:00:00"/>
    <s v="Saturday"/>
    <s v="Morning"/>
    <x v="3"/>
    <n v="29"/>
    <n v="4"/>
    <x v="0"/>
    <x v="0"/>
    <s v="SMS"/>
    <n v="11.6"/>
    <x v="9"/>
    <x v="0"/>
  </r>
  <r>
    <s v="HC-03719"/>
    <s v="P-0863"/>
    <s v="Male"/>
    <n v="31"/>
    <x v="1"/>
    <s v="Follow-up"/>
    <d v="2025-12-01T00:00:00"/>
    <d v="2026-01-08T00:00:00"/>
    <s v="Thursday"/>
    <s v="Afternoon"/>
    <x v="2"/>
    <n v="38"/>
    <n v="5"/>
    <x v="1"/>
    <x v="0"/>
    <s v="SMS"/>
    <n v="21.5"/>
    <x v="20"/>
    <x v="2"/>
  </r>
  <r>
    <s v="HC-03720"/>
    <s v="P-0283"/>
    <s v="Female"/>
    <n v="25"/>
    <x v="1"/>
    <s v="Specialist Consultation"/>
    <d v="2025-04-09T00:00:00"/>
    <d v="2025-05-24T00:00:00"/>
    <s v="Saturday"/>
    <s v="Afternoon"/>
    <x v="2"/>
    <n v="45"/>
    <n v="2"/>
    <x v="0"/>
    <x v="0"/>
    <s v="WhatsApp"/>
    <n v="3.7"/>
    <x v="13"/>
    <x v="1"/>
  </r>
  <r>
    <s v="HC-03721"/>
    <s v="P-0613"/>
    <s v="Female"/>
    <n v="38"/>
    <x v="0"/>
    <s v="General Consultation"/>
    <d v="2025-11-02T00:00:00"/>
    <d v="2025-12-15T00:00:00"/>
    <s v="Monday"/>
    <s v="Morning"/>
    <x v="2"/>
    <n v="43"/>
    <n v="3"/>
    <x v="0"/>
    <x v="1"/>
    <s v="None"/>
    <n v="21.8"/>
    <x v="12"/>
    <x v="1"/>
  </r>
  <r>
    <s v="HC-03722"/>
    <s v="P-1629"/>
    <s v="Female"/>
    <n v="31"/>
    <x v="1"/>
    <s v="Follow-up"/>
    <d v="2025-11-01T00:00:00"/>
    <d v="2025-11-15T00:00:00"/>
    <s v="Saturday"/>
    <s v="Afternoon"/>
    <x v="0"/>
    <n v="14"/>
    <n v="4"/>
    <x v="2"/>
    <x v="0"/>
    <s v="SMS"/>
    <n v="6.5"/>
    <x v="0"/>
    <x v="1"/>
  </r>
  <r>
    <s v="HC-03723"/>
    <s v="P-0449"/>
    <s v="Female"/>
    <n v="70"/>
    <x v="4"/>
    <s v="General Consultation"/>
    <d v="2025-12-30T00:00:00"/>
    <d v="2026-02-14T00:00:00"/>
    <s v="Saturday"/>
    <s v="Afternoon"/>
    <x v="2"/>
    <n v="46"/>
    <n v="4"/>
    <x v="0"/>
    <x v="0"/>
    <s v="WhatsApp"/>
    <n v="6.9"/>
    <x v="14"/>
    <x v="0"/>
  </r>
  <r>
    <s v="HC-03724"/>
    <s v="P-0056"/>
    <s v="Male"/>
    <n v="75"/>
    <x v="4"/>
    <s v="Follow-up"/>
    <d v="2026-05-25T00:00:00"/>
    <d v="2026-06-27T00:00:00"/>
    <s v="Saturday"/>
    <s v="Afternoon"/>
    <x v="2"/>
    <n v="33"/>
    <n v="4"/>
    <x v="1"/>
    <x v="1"/>
    <s v="None"/>
    <n v="2.6"/>
    <x v="23"/>
    <x v="1"/>
  </r>
  <r>
    <s v="HC-03725"/>
    <s v="P-0245"/>
    <s v="Male"/>
    <n v="41"/>
    <x v="0"/>
    <s v="General Consultation"/>
    <d v="2024-11-10T00:00:00"/>
    <d v="2025-01-05T00:00:00"/>
    <s v="Sunday"/>
    <s v="Morning"/>
    <x v="2"/>
    <n v="56"/>
    <n v="4"/>
    <x v="0"/>
    <x v="0"/>
    <s v="SMS"/>
    <n v="10.199999999999999"/>
    <x v="11"/>
    <x v="0"/>
  </r>
  <r>
    <s v="HC-03726"/>
    <s v="P-0726"/>
    <s v="Female"/>
    <n v="23"/>
    <x v="5"/>
    <s v="General Consultation"/>
    <d v="2026-05-16T00:00:00"/>
    <d v="2026-06-25T00:00:00"/>
    <s v="Thursday"/>
    <s v="Morning"/>
    <x v="2"/>
    <n v="40"/>
    <n v="4"/>
    <x v="1"/>
    <x v="0"/>
    <s v="WhatsApp"/>
    <n v="4"/>
    <x v="12"/>
    <x v="1"/>
  </r>
  <r>
    <s v="HC-03727"/>
    <s v="P-1646"/>
    <s v="Male"/>
    <n v="23"/>
    <x v="5"/>
    <s v="General Consultation"/>
    <d v="2025-01-06T00:00:00"/>
    <d v="2025-03-01T00:00:00"/>
    <s v="Saturday"/>
    <s v="Evening"/>
    <x v="2"/>
    <n v="54"/>
    <n v="1"/>
    <x v="0"/>
    <x v="1"/>
    <s v="None"/>
    <n v="11.9"/>
    <x v="22"/>
    <x v="1"/>
  </r>
  <r>
    <s v="HC-03728"/>
    <s v="P-0372"/>
    <s v="Female"/>
    <n v="38"/>
    <x v="0"/>
    <s v="Specialist Consultation"/>
    <d v="2025-08-17T00:00:00"/>
    <d v="2025-10-15T00:00:00"/>
    <s v="Wednesday"/>
    <s v="Evening"/>
    <x v="2"/>
    <n v="59"/>
    <n v="4"/>
    <x v="1"/>
    <x v="0"/>
    <s v="SMS"/>
    <n v="8"/>
    <x v="15"/>
    <x v="1"/>
  </r>
  <r>
    <s v="HC-03729"/>
    <s v="P-1055"/>
    <s v="Female"/>
    <n v="47"/>
    <x v="2"/>
    <s v="Follow-up"/>
    <d v="2025-05-07T00:00:00"/>
    <d v="2025-07-06T00:00:00"/>
    <s v="Sunday"/>
    <s v="Morning"/>
    <x v="2"/>
    <n v="60"/>
    <n v="4"/>
    <x v="1"/>
    <x v="1"/>
    <s v="None"/>
    <n v="10"/>
    <x v="8"/>
    <x v="0"/>
  </r>
  <r>
    <s v="HC-03730"/>
    <s v="P-0817"/>
    <s v="Female"/>
    <n v="51"/>
    <x v="2"/>
    <s v="Specialist Consultation"/>
    <d v="2025-10-31T00:00:00"/>
    <d v="2025-12-15T00:00:00"/>
    <s v="Monday"/>
    <s v="Evening"/>
    <x v="2"/>
    <n v="45"/>
    <n v="0"/>
    <x v="0"/>
    <x v="0"/>
    <s v="SMS"/>
    <n v="13"/>
    <x v="3"/>
    <x v="1"/>
  </r>
  <r>
    <s v="HC-03731"/>
    <s v="P-1171"/>
    <s v="Female"/>
    <n v="37"/>
    <x v="0"/>
    <s v="General Consultation"/>
    <d v="2025-12-25T00:00:00"/>
    <d v="2026-01-30T00:00:00"/>
    <s v="Friday"/>
    <s v="Morning"/>
    <x v="2"/>
    <n v="36"/>
    <n v="3"/>
    <x v="0"/>
    <x v="0"/>
    <s v="Email"/>
    <n v="25.2"/>
    <x v="13"/>
    <x v="0"/>
  </r>
  <r>
    <s v="HC-03732"/>
    <s v="P-1427"/>
    <s v="Female"/>
    <n v="40"/>
    <x v="0"/>
    <s v="Diagnostic Test"/>
    <d v="2026-04-08T00:00:00"/>
    <d v="2026-04-15T00:00:00"/>
    <s v="Wednesday"/>
    <s v="Afternoon"/>
    <x v="1"/>
    <n v="7"/>
    <n v="2"/>
    <x v="0"/>
    <x v="0"/>
    <s v="WhatsApp"/>
    <m/>
    <x v="43"/>
    <x v="0"/>
  </r>
  <r>
    <s v="HC-03733"/>
    <s v="P-0110"/>
    <s v="Female"/>
    <n v="35"/>
    <x v="0"/>
    <s v="General Consultation"/>
    <d v="2025-07-16T00:00:00"/>
    <d v="2025-08-08T00:00:00"/>
    <s v="Friday"/>
    <s v="Morning"/>
    <x v="3"/>
    <n v="23"/>
    <n v="3"/>
    <x v="1"/>
    <x v="1"/>
    <s v="None"/>
    <n v="12"/>
    <x v="46"/>
    <x v="2"/>
  </r>
  <r>
    <s v="HC-03734"/>
    <s v="P-0043"/>
    <s v="Female"/>
    <n v="50"/>
    <x v="2"/>
    <s v="Specialist Consultation"/>
    <d v="2026-04-27T00:00:00"/>
    <d v="2026-05-25T00:00:00"/>
    <s v="Monday"/>
    <s v="Morning"/>
    <x v="3"/>
    <n v="28"/>
    <n v="7"/>
    <x v="1"/>
    <x v="0"/>
    <s v="SMS"/>
    <n v="10.9"/>
    <x v="7"/>
    <x v="1"/>
  </r>
  <r>
    <s v="HC-03735"/>
    <s v="P-1569"/>
    <s v="Female"/>
    <n v="61"/>
    <x v="3"/>
    <s v="Specialist Consultation"/>
    <d v="2025-05-10T00:00:00"/>
    <d v="2025-06-26T00:00:00"/>
    <s v="Thursday"/>
    <s v="Evening"/>
    <x v="2"/>
    <n v="47"/>
    <n v="4"/>
    <x v="1"/>
    <x v="1"/>
    <s v="None"/>
    <n v="10"/>
    <x v="35"/>
    <x v="0"/>
  </r>
  <r>
    <s v="HC-03736"/>
    <s v="P-0474"/>
    <s v="Male"/>
    <n v="20"/>
    <x v="5"/>
    <s v="Follow-up"/>
    <d v="2025-03-18T00:00:00"/>
    <d v="2025-04-22T00:00:00"/>
    <s v="Tuesday"/>
    <s v="Morning"/>
    <x v="2"/>
    <n v="35"/>
    <n v="0"/>
    <x v="0"/>
    <x v="0"/>
    <s v="WhatsApp"/>
    <n v="3"/>
    <x v="4"/>
    <x v="0"/>
  </r>
  <r>
    <s v="HC-03737"/>
    <s v="P-0817"/>
    <s v="Female"/>
    <n v="48"/>
    <x v="2"/>
    <s v="Follow-up"/>
    <d v="2025-07-01T00:00:00"/>
    <d v="2025-07-27T00:00:00"/>
    <s v="Sunday"/>
    <s v="Afternoon"/>
    <x v="3"/>
    <n v="26"/>
    <n v="5"/>
    <x v="1"/>
    <x v="1"/>
    <s v="None"/>
    <n v="4.8"/>
    <x v="12"/>
    <x v="1"/>
  </r>
  <r>
    <s v="HC-03738"/>
    <s v="P-1507"/>
    <s v="Female"/>
    <n v="58"/>
    <x v="3"/>
    <s v="Specialist Consultation"/>
    <d v="2025-10-08T00:00:00"/>
    <d v="2025-10-16T00:00:00"/>
    <s v="Thursday"/>
    <s v="Afternoon"/>
    <x v="0"/>
    <n v="8"/>
    <n v="1"/>
    <x v="0"/>
    <x v="0"/>
    <s v="WhatsApp"/>
    <n v="3.2"/>
    <x v="36"/>
    <x v="1"/>
  </r>
  <r>
    <s v="HC-03739"/>
    <s v="P-1626"/>
    <s v="Female"/>
    <n v="60"/>
    <x v="3"/>
    <s v="Specialist Consultation"/>
    <d v="2025-11-18T00:00:00"/>
    <d v="2025-12-31T00:00:00"/>
    <s v="Wednesday"/>
    <s v="Morning"/>
    <x v="2"/>
    <n v="43"/>
    <n v="2"/>
    <x v="1"/>
    <x v="1"/>
    <s v="None"/>
    <n v="20.2"/>
    <x v="18"/>
    <x v="0"/>
  </r>
  <r>
    <s v="HC-03740"/>
    <s v="P-0527"/>
    <s v="Male"/>
    <n v="53"/>
    <x v="2"/>
    <s v="General Consultation"/>
    <d v="2026-03-05T00:00:00"/>
    <d v="2026-03-31T00:00:00"/>
    <s v="Tuesday"/>
    <s v="Evening"/>
    <x v="3"/>
    <n v="26"/>
    <n v="1"/>
    <x v="1"/>
    <x v="0"/>
    <s v="WhatsApp"/>
    <n v="20.399999999999999"/>
    <x v="26"/>
    <x v="1"/>
  </r>
  <r>
    <s v="HC-03741"/>
    <s v="P-1709"/>
    <s v="Female"/>
    <n v="51"/>
    <x v="2"/>
    <s v="Specialist Consultation"/>
    <d v="2025-05-01T00:00:00"/>
    <d v="2025-05-03T00:00:00"/>
    <s v="Saturday"/>
    <s v="Afternoon"/>
    <x v="1"/>
    <n v="2"/>
    <n v="3"/>
    <x v="0"/>
    <x v="0"/>
    <s v="SMS"/>
    <n v="13.1"/>
    <x v="8"/>
    <x v="1"/>
  </r>
  <r>
    <s v="HC-03742"/>
    <s v="P-0558"/>
    <s v="Male"/>
    <n v="60"/>
    <x v="3"/>
    <s v="General Consultation"/>
    <d v="2025-05-29T00:00:00"/>
    <d v="2025-06-15T00:00:00"/>
    <s v="Sunday"/>
    <s v="Evening"/>
    <x v="3"/>
    <n v="17"/>
    <n v="0"/>
    <x v="0"/>
    <x v="0"/>
    <s v="SMS"/>
    <n v="15.7"/>
    <x v="3"/>
    <x v="0"/>
  </r>
  <r>
    <s v="HC-03743"/>
    <s v="P-1092"/>
    <s v="Female"/>
    <n v="41"/>
    <x v="0"/>
    <s v="Follow-up"/>
    <d v="2026-04-05T00:00:00"/>
    <d v="2026-05-28T00:00:00"/>
    <s v="Thursday"/>
    <s v="Afternoon"/>
    <x v="2"/>
    <n v="53"/>
    <n v="6"/>
    <x v="2"/>
    <x v="0"/>
    <s v="WhatsApp"/>
    <n v="3.3"/>
    <x v="40"/>
    <x v="0"/>
  </r>
  <r>
    <s v="HC-03744"/>
    <s v="P-0510"/>
    <s v="Female"/>
    <n v="53"/>
    <x v="2"/>
    <s v="Follow-up"/>
    <d v="2025-08-22T00:00:00"/>
    <d v="2025-08-29T00:00:00"/>
    <s v="Friday"/>
    <s v="Morning"/>
    <x v="1"/>
    <n v="7"/>
    <n v="6"/>
    <x v="0"/>
    <x v="0"/>
    <s v="SMS"/>
    <n v="12"/>
    <x v="36"/>
    <x v="1"/>
  </r>
  <r>
    <s v="HC-03745"/>
    <s v="P-0586"/>
    <s v="Male"/>
    <n v="38"/>
    <x v="0"/>
    <s v="Specialist Consultation"/>
    <d v="2025-04-18T00:00:00"/>
    <d v="2025-05-12T00:00:00"/>
    <s v="Monday"/>
    <s v="Morning"/>
    <x v="3"/>
    <n v="24"/>
    <n v="1"/>
    <x v="0"/>
    <x v="0"/>
    <s v="SMS"/>
    <n v="5.5"/>
    <x v="6"/>
    <x v="1"/>
  </r>
  <r>
    <s v="HC-03746"/>
    <s v="P-1229"/>
    <s v="Male"/>
    <n v="45"/>
    <x v="2"/>
    <s v="Follow-up"/>
    <d v="2026-05-23T00:00:00"/>
    <d v="2026-06-23T00:00:00"/>
    <s v="Tuesday"/>
    <s v="Morning"/>
    <x v="2"/>
    <n v="31"/>
    <n v="4"/>
    <x v="0"/>
    <x v="1"/>
    <s v="None"/>
    <n v="4"/>
    <x v="26"/>
    <x v="0"/>
  </r>
  <r>
    <s v="HC-03747"/>
    <s v="P-1550"/>
    <s v="Male"/>
    <n v="25"/>
    <x v="1"/>
    <s v="General Consultation"/>
    <d v="2025-08-29T00:00:00"/>
    <d v="2025-09-03T00:00:00"/>
    <s v="Wednesday"/>
    <s v="Afternoon"/>
    <x v="1"/>
    <n v="5"/>
    <n v="0"/>
    <x v="0"/>
    <x v="1"/>
    <s v="None"/>
    <n v="15.7"/>
    <x v="13"/>
    <x v="1"/>
  </r>
  <r>
    <s v="HC-03748"/>
    <s v="P-1595"/>
    <s v="Female"/>
    <n v="40"/>
    <x v="0"/>
    <s v="Follow-up"/>
    <d v="2026-06-12T00:00:00"/>
    <d v="2026-06-22T00:00:00"/>
    <s v="Monday"/>
    <s v="Morning"/>
    <x v="0"/>
    <n v="10"/>
    <n v="2"/>
    <x v="1"/>
    <x v="1"/>
    <s v="None"/>
    <n v="11.9"/>
    <x v="24"/>
    <x v="1"/>
  </r>
  <r>
    <s v="HC-03749"/>
    <s v="P-1068"/>
    <s v="Female"/>
    <n v="26"/>
    <x v="1"/>
    <s v="General Consultation"/>
    <d v="2026-03-21T00:00:00"/>
    <d v="2026-05-17T00:00:00"/>
    <s v="Sunday"/>
    <s v="Morning"/>
    <x v="2"/>
    <n v="57"/>
    <n v="2"/>
    <x v="0"/>
    <x v="0"/>
    <s v="WhatsApp"/>
    <n v="3.5"/>
    <x v="49"/>
    <x v="1"/>
  </r>
  <r>
    <s v="HC-03750"/>
    <s v="P-0677"/>
    <s v="Male"/>
    <n v="32"/>
    <x v="1"/>
    <s v="Follow-up"/>
    <d v="2026-04-04T00:00:00"/>
    <d v="2026-05-10T00:00:00"/>
    <s v="Sunday"/>
    <s v="Afternoon"/>
    <x v="2"/>
    <n v="36"/>
    <n v="3"/>
    <x v="1"/>
    <x v="0"/>
    <s v="Email"/>
    <n v="19"/>
    <x v="15"/>
    <x v="0"/>
  </r>
  <r>
    <s v="HC-03751"/>
    <s v="P-0847"/>
    <s v="Female"/>
    <n v="44"/>
    <x v="0"/>
    <s v="Follow-up"/>
    <d v="2025-11-02T00:00:00"/>
    <d v="2025-11-14T00:00:00"/>
    <s v="Friday"/>
    <s v="Morning"/>
    <x v="0"/>
    <n v="12"/>
    <n v="5"/>
    <x v="1"/>
    <x v="0"/>
    <s v="SMS"/>
    <n v="8.1"/>
    <x v="46"/>
    <x v="1"/>
  </r>
  <r>
    <s v="HC-03752"/>
    <s v="P-1750"/>
    <s v="Female"/>
    <n v="49"/>
    <x v="2"/>
    <s v="Specialist Consultation"/>
    <d v="2026-03-02T00:00:00"/>
    <d v="2026-03-12T00:00:00"/>
    <s v="Thursday"/>
    <s v="Afternoon"/>
    <x v="0"/>
    <n v="10"/>
    <n v="3"/>
    <x v="0"/>
    <x v="1"/>
    <s v="None"/>
    <n v="13.5"/>
    <x v="19"/>
    <x v="1"/>
  </r>
  <r>
    <s v="HC-03753"/>
    <s v="P-0174"/>
    <s v="Male"/>
    <n v="77"/>
    <x v="4"/>
    <s v="General Consultation"/>
    <d v="2026-05-15T00:00:00"/>
    <d v="2026-06-09T00:00:00"/>
    <s v="Tuesday"/>
    <s v="Afternoon"/>
    <x v="3"/>
    <n v="25"/>
    <n v="6"/>
    <x v="1"/>
    <x v="1"/>
    <s v="None"/>
    <n v="6.1"/>
    <x v="19"/>
    <x v="1"/>
  </r>
  <r>
    <s v="HC-03754"/>
    <s v="P-0276"/>
    <s v="Female"/>
    <n v="19"/>
    <x v="5"/>
    <s v="General Consultation"/>
    <d v="2025-04-13T00:00:00"/>
    <d v="2025-05-27T00:00:00"/>
    <s v="Tuesday"/>
    <s v="Morning"/>
    <x v="2"/>
    <n v="44"/>
    <n v="3"/>
    <x v="1"/>
    <x v="0"/>
    <s v="SMS"/>
    <n v="10.199999999999999"/>
    <x v="27"/>
    <x v="0"/>
  </r>
  <r>
    <s v="HC-03755"/>
    <s v="P-1318"/>
    <s v="Male"/>
    <n v="74"/>
    <x v="4"/>
    <s v="Follow-up"/>
    <d v="2024-12-08T00:00:00"/>
    <d v="2025-01-21T00:00:00"/>
    <s v="Tuesday"/>
    <s v="Morning"/>
    <x v="2"/>
    <n v="44"/>
    <n v="2"/>
    <x v="1"/>
    <x v="0"/>
    <s v="SMS"/>
    <n v="14.1"/>
    <x v="3"/>
    <x v="1"/>
  </r>
  <r>
    <s v="HC-03756"/>
    <s v="P-1569"/>
    <s v="Female"/>
    <n v="38"/>
    <x v="0"/>
    <s v="General Consultation"/>
    <d v="2025-06-14T00:00:00"/>
    <d v="2025-06-25T00:00:00"/>
    <s v="Wednesday"/>
    <s v="Morning"/>
    <x v="0"/>
    <n v="11"/>
    <n v="3"/>
    <x v="1"/>
    <x v="0"/>
    <s v="Email"/>
    <n v="3.8"/>
    <x v="23"/>
    <x v="1"/>
  </r>
  <r>
    <s v="HC-03757"/>
    <s v="P-0533"/>
    <s v="Female"/>
    <n v="63"/>
    <x v="3"/>
    <s v="General Consultation"/>
    <d v="2025-10-31T00:00:00"/>
    <d v="2025-12-14T00:00:00"/>
    <s v="Sunday"/>
    <s v="Afternoon"/>
    <x v="2"/>
    <n v="44"/>
    <n v="4"/>
    <x v="0"/>
    <x v="0"/>
    <s v="WhatsApp"/>
    <n v="22.3"/>
    <x v="19"/>
    <x v="0"/>
  </r>
  <r>
    <s v="HC-03758"/>
    <s v="P-0638"/>
    <s v="Prefer not to say"/>
    <n v="60"/>
    <x v="3"/>
    <s v="General Consultation"/>
    <d v="2025-09-02T00:00:00"/>
    <d v="2025-10-26T00:00:00"/>
    <s v="Sunday"/>
    <s v="Morning"/>
    <x v="2"/>
    <n v="54"/>
    <n v="4"/>
    <x v="0"/>
    <x v="1"/>
    <s v="None"/>
    <n v="13.2"/>
    <x v="23"/>
    <x v="1"/>
  </r>
  <r>
    <s v="HC-03759"/>
    <s v="P-0521"/>
    <s v="Female"/>
    <n v="79"/>
    <x v="4"/>
    <s v="Follow-up"/>
    <d v="2025-01-31T00:00:00"/>
    <d v="2025-02-13T00:00:00"/>
    <s v="Thursday"/>
    <s v="Afternoon"/>
    <x v="0"/>
    <n v="13"/>
    <n v="5"/>
    <x v="1"/>
    <x v="0"/>
    <s v="Email"/>
    <n v="10.9"/>
    <x v="12"/>
    <x v="0"/>
  </r>
  <r>
    <s v="HC-03760"/>
    <s v="P-0305"/>
    <s v="Female"/>
    <n v="24"/>
    <x v="5"/>
    <s v="General Consultation"/>
    <d v="2025-11-02T00:00:00"/>
    <d v="2025-11-03T00:00:00"/>
    <s v="Monday"/>
    <s v="Afternoon"/>
    <x v="1"/>
    <n v="1"/>
    <n v="2"/>
    <x v="0"/>
    <x v="0"/>
    <s v="WhatsApp"/>
    <n v="1.2"/>
    <x v="35"/>
    <x v="1"/>
  </r>
  <r>
    <s v="HC-03761"/>
    <s v="P-0892"/>
    <s v="Female"/>
    <n v="78"/>
    <x v="4"/>
    <s v="Follow-up"/>
    <d v="2025-02-07T00:00:00"/>
    <d v="2025-04-06T00:00:00"/>
    <s v="Sunday"/>
    <s v="Morning"/>
    <x v="2"/>
    <n v="58"/>
    <n v="4"/>
    <x v="0"/>
    <x v="0"/>
    <s v="SMS"/>
    <n v="8.6"/>
    <x v="14"/>
    <x v="0"/>
  </r>
  <r>
    <s v="HC-03762"/>
    <s v="P-1223"/>
    <s v="Female"/>
    <n v="21"/>
    <x v="5"/>
    <s v="Specialist Consultation"/>
    <d v="2025-09-03T00:00:00"/>
    <d v="2025-10-04T00:00:00"/>
    <s v="Saturday"/>
    <s v="Evening"/>
    <x v="2"/>
    <n v="31"/>
    <n v="3"/>
    <x v="0"/>
    <x v="0"/>
    <s v="SMS"/>
    <n v="15.9"/>
    <x v="52"/>
    <x v="0"/>
  </r>
  <r>
    <s v="HC-03763"/>
    <s v="P-0851"/>
    <s v="Female"/>
    <n v="73"/>
    <x v="4"/>
    <s v="Follow-up"/>
    <d v="2025-09-25T00:00:00"/>
    <d v="2025-11-11T00:00:00"/>
    <s v="Tuesday"/>
    <s v="Evening"/>
    <x v="2"/>
    <n v="47"/>
    <n v="0"/>
    <x v="0"/>
    <x v="0"/>
    <s v="SMS"/>
    <n v="1.5"/>
    <x v="13"/>
    <x v="1"/>
  </r>
  <r>
    <s v="HC-03764"/>
    <s v="P-0454"/>
    <s v="Female"/>
    <n v="59"/>
    <x v="3"/>
    <s v="General Consultation"/>
    <d v="2025-11-25T00:00:00"/>
    <d v="2025-12-14T00:00:00"/>
    <s v="Sunday"/>
    <s v="Morning"/>
    <x v="3"/>
    <n v="19"/>
    <n v="4"/>
    <x v="2"/>
    <x v="1"/>
    <s v="None"/>
    <n v="20.3"/>
    <x v="18"/>
    <x v="0"/>
  </r>
  <r>
    <s v="HC-03765"/>
    <s v="P-0875"/>
    <s v="Female"/>
    <n v="48"/>
    <x v="2"/>
    <s v="General Consultation"/>
    <d v="2025-07-27T00:00:00"/>
    <d v="2025-08-14T00:00:00"/>
    <s v="Thursday"/>
    <s v="Evening"/>
    <x v="3"/>
    <n v="18"/>
    <n v="0"/>
    <x v="0"/>
    <x v="0"/>
    <s v="WhatsApp"/>
    <n v="2.5"/>
    <x v="12"/>
    <x v="1"/>
  </r>
  <r>
    <s v="HC-03766"/>
    <s v="P-0252"/>
    <s v="Female"/>
    <n v="43"/>
    <x v="0"/>
    <s v="General Consultation"/>
    <d v="2025-07-29T00:00:00"/>
    <d v="2025-08-11T00:00:00"/>
    <s v="Monday"/>
    <s v="Morning"/>
    <x v="0"/>
    <n v="13"/>
    <n v="3"/>
    <x v="1"/>
    <x v="0"/>
    <s v="SMS"/>
    <n v="10.1"/>
    <x v="19"/>
    <x v="0"/>
  </r>
  <r>
    <s v="HC-03767"/>
    <s v="P-0788"/>
    <s v="Male"/>
    <n v="23"/>
    <x v="5"/>
    <s v="Follow-up"/>
    <d v="2025-12-24T00:00:00"/>
    <d v="2026-01-06T00:00:00"/>
    <s v="Tuesday"/>
    <s v="Afternoon"/>
    <x v="0"/>
    <n v="13"/>
    <n v="6"/>
    <x v="1"/>
    <x v="0"/>
    <s v="Email"/>
    <n v="23"/>
    <x v="3"/>
    <x v="0"/>
  </r>
  <r>
    <s v="HC-03768"/>
    <s v="P-0883"/>
    <s v="Female"/>
    <n v="68"/>
    <x v="4"/>
    <s v="Follow-up"/>
    <d v="2026-01-17T00:00:00"/>
    <d v="2026-02-14T00:00:00"/>
    <s v="Saturday"/>
    <s v="Morning"/>
    <x v="3"/>
    <n v="28"/>
    <n v="1"/>
    <x v="0"/>
    <x v="0"/>
    <s v="Email"/>
    <n v="11.2"/>
    <x v="31"/>
    <x v="0"/>
  </r>
  <r>
    <s v="HC-03769"/>
    <s v="P-0843"/>
    <s v="Male"/>
    <n v="63"/>
    <x v="3"/>
    <s v="General Consultation"/>
    <d v="2026-03-12T00:00:00"/>
    <d v="2026-03-18T00:00:00"/>
    <s v="Wednesday"/>
    <s v="Afternoon"/>
    <x v="1"/>
    <n v="6"/>
    <n v="4"/>
    <x v="0"/>
    <x v="0"/>
    <s v="SMS"/>
    <n v="14.6"/>
    <x v="4"/>
    <x v="2"/>
  </r>
  <r>
    <s v="HC-03770"/>
    <s v="P-0319"/>
    <s v="Female"/>
    <n v="77"/>
    <x v="4"/>
    <s v="General Consultation"/>
    <d v="2025-05-12T00:00:00"/>
    <d v="2025-07-02T00:00:00"/>
    <s v="Wednesday"/>
    <s v="Afternoon"/>
    <x v="2"/>
    <n v="51"/>
    <n v="2"/>
    <x v="0"/>
    <x v="0"/>
    <s v="SMS"/>
    <n v="15.7"/>
    <x v="6"/>
    <x v="0"/>
  </r>
  <r>
    <s v="HC-03771"/>
    <s v="P-0463"/>
    <s v="Female"/>
    <n v="64"/>
    <x v="3"/>
    <s v="General Consultation"/>
    <d v="2025-07-20T00:00:00"/>
    <d v="2025-08-20T00:00:00"/>
    <s v="Wednesday"/>
    <s v="Evening"/>
    <x v="2"/>
    <n v="31"/>
    <n v="2"/>
    <x v="0"/>
    <x v="1"/>
    <s v="None"/>
    <n v="12.4"/>
    <x v="12"/>
    <x v="1"/>
  </r>
  <r>
    <s v="HC-03772"/>
    <s v="P-0939"/>
    <s v="Male"/>
    <n v="78"/>
    <x v="4"/>
    <s v="General Consultation"/>
    <d v="2025-05-06T00:00:00"/>
    <d v="2025-06-30T00:00:00"/>
    <s v="Monday"/>
    <s v="Evening"/>
    <x v="2"/>
    <n v="55"/>
    <n v="5"/>
    <x v="1"/>
    <x v="0"/>
    <s v="SMS"/>
    <n v="4.5999999999999996"/>
    <x v="26"/>
    <x v="0"/>
  </r>
  <r>
    <s v="HC-03773"/>
    <s v="P-1523"/>
    <s v="Male"/>
    <n v="73"/>
    <x v="4"/>
    <s v="Diagnostic Test"/>
    <d v="2025-09-16T00:00:00"/>
    <d v="2025-10-16T00:00:00"/>
    <s v="Thursday"/>
    <s v="Morning"/>
    <x v="3"/>
    <n v="30"/>
    <n v="1"/>
    <x v="0"/>
    <x v="1"/>
    <s v="None"/>
    <n v="7.3"/>
    <x v="14"/>
    <x v="0"/>
  </r>
  <r>
    <s v="HC-03774"/>
    <s v="P-1683"/>
    <s v="Female"/>
    <n v="44"/>
    <x v="0"/>
    <s v="General Consultation"/>
    <d v="2025-02-21T00:00:00"/>
    <d v="2025-03-11T00:00:00"/>
    <s v="Tuesday"/>
    <s v="Afternoon"/>
    <x v="3"/>
    <n v="18"/>
    <n v="2"/>
    <x v="0"/>
    <x v="0"/>
    <s v="SMS"/>
    <n v="4.5999999999999996"/>
    <x v="20"/>
    <x v="1"/>
  </r>
  <r>
    <s v="HC-03775"/>
    <s v="P-0408"/>
    <s v="Female"/>
    <n v="62"/>
    <x v="3"/>
    <s v="General Consultation"/>
    <d v="2025-07-23T00:00:00"/>
    <d v="2025-08-23T00:00:00"/>
    <s v="Saturday"/>
    <s v="Morning"/>
    <x v="2"/>
    <n v="31"/>
    <n v="5"/>
    <x v="0"/>
    <x v="0"/>
    <s v="SMS"/>
    <n v="21.6"/>
    <x v="3"/>
    <x v="1"/>
  </r>
  <r>
    <s v="HC-03776"/>
    <s v="P-0008"/>
    <s v="Male"/>
    <n v="34"/>
    <x v="1"/>
    <s v="General Consultation"/>
    <d v="2025-04-05T00:00:00"/>
    <d v="2025-04-14T00:00:00"/>
    <s v="Monday"/>
    <s v="Morning"/>
    <x v="0"/>
    <n v="9"/>
    <n v="1"/>
    <x v="1"/>
    <x v="1"/>
    <s v="None"/>
    <n v="7.4"/>
    <x v="19"/>
    <x v="1"/>
  </r>
  <r>
    <s v="HC-03777"/>
    <s v="P-0607"/>
    <s v="Female"/>
    <n v="68"/>
    <x v="4"/>
    <s v="General Consultation"/>
    <d v="2025-08-29T00:00:00"/>
    <d v="2025-10-18T00:00:00"/>
    <s v="Saturday"/>
    <s v="Morning"/>
    <x v="2"/>
    <n v="50"/>
    <n v="2"/>
    <x v="0"/>
    <x v="0"/>
    <s v="SMS"/>
    <n v="16.7"/>
    <x v="17"/>
    <x v="2"/>
  </r>
  <r>
    <s v="HC-03778"/>
    <s v="P-0661"/>
    <s v="Female"/>
    <n v="56"/>
    <x v="3"/>
    <s v="General Consultation"/>
    <d v="2026-02-26T00:00:00"/>
    <d v="2026-04-10T00:00:00"/>
    <s v="Friday"/>
    <s v="Evening"/>
    <x v="2"/>
    <n v="43"/>
    <n v="4"/>
    <x v="0"/>
    <x v="1"/>
    <s v="None"/>
    <n v="13.5"/>
    <x v="7"/>
    <x v="0"/>
  </r>
  <r>
    <s v="HC-03779"/>
    <s v="P-0784"/>
    <s v="Male"/>
    <n v="45"/>
    <x v="2"/>
    <s v="General Consultation"/>
    <d v="2026-06-15T00:00:00"/>
    <d v="2026-06-23T00:00:00"/>
    <s v="Tuesday"/>
    <s v="Afternoon"/>
    <x v="0"/>
    <n v="8"/>
    <n v="2"/>
    <x v="0"/>
    <x v="0"/>
    <s v="SMS"/>
    <n v="9.9"/>
    <x v="7"/>
    <x v="0"/>
  </r>
  <r>
    <s v="HC-03780"/>
    <s v="P-1111"/>
    <s v="Male"/>
    <n v="57"/>
    <x v="3"/>
    <s v="General Consultation"/>
    <d v="2025-07-28T00:00:00"/>
    <d v="2025-09-01T00:00:00"/>
    <s v="Monday"/>
    <s v="Morning"/>
    <x v="2"/>
    <n v="35"/>
    <n v="4"/>
    <x v="0"/>
    <x v="0"/>
    <s v="SMS"/>
    <n v="4.5"/>
    <x v="0"/>
    <x v="1"/>
  </r>
  <r>
    <s v="HC-03781"/>
    <s v="P-0454"/>
    <s v="Male"/>
    <n v="35"/>
    <x v="0"/>
    <s v="General Consultation"/>
    <d v="2024-12-30T00:00:00"/>
    <d v="2025-01-31T00:00:00"/>
    <s v="Friday"/>
    <s v="Evening"/>
    <x v="2"/>
    <n v="32"/>
    <n v="2"/>
    <x v="1"/>
    <x v="1"/>
    <s v="None"/>
    <n v="5.3"/>
    <x v="23"/>
    <x v="0"/>
  </r>
  <r>
    <s v="HC-03782"/>
    <s v="P-0880"/>
    <s v="Female"/>
    <n v="57"/>
    <x v="3"/>
    <s v="Follow-up"/>
    <d v="2025-04-23T00:00:00"/>
    <d v="2025-05-05T00:00:00"/>
    <s v="Monday"/>
    <s v="Afternoon"/>
    <x v="0"/>
    <n v="12"/>
    <n v="1"/>
    <x v="0"/>
    <x v="0"/>
    <s v="SMS"/>
    <n v="5.8"/>
    <x v="5"/>
    <x v="1"/>
  </r>
  <r>
    <s v="HC-03783"/>
    <s v="P-0083"/>
    <s v="Male"/>
    <n v="47"/>
    <x v="2"/>
    <s v="Follow-up"/>
    <d v="2025-02-20T00:00:00"/>
    <d v="2025-02-27T00:00:00"/>
    <s v="Thursday"/>
    <s v="Morning"/>
    <x v="1"/>
    <n v="7"/>
    <n v="1"/>
    <x v="1"/>
    <x v="0"/>
    <s v="Email"/>
    <n v="3.4"/>
    <x v="7"/>
    <x v="1"/>
  </r>
  <r>
    <s v="HC-03784"/>
    <s v="P-1062"/>
    <s v="Female"/>
    <n v="38"/>
    <x v="0"/>
    <s v="General Consultation"/>
    <d v="2026-01-04T00:00:00"/>
    <d v="2026-02-19T00:00:00"/>
    <s v="Thursday"/>
    <s v="Afternoon"/>
    <x v="2"/>
    <n v="46"/>
    <n v="0"/>
    <x v="0"/>
    <x v="1"/>
    <s v="None"/>
    <n v="26.7"/>
    <x v="38"/>
    <x v="0"/>
  </r>
  <r>
    <s v="HC-03785"/>
    <s v="P-0755"/>
    <s v="Male"/>
    <n v="79"/>
    <x v="4"/>
    <s v="Specialist Consultation"/>
    <d v="2026-06-06T00:00:00"/>
    <d v="2026-06-22T00:00:00"/>
    <s v="Monday"/>
    <s v="Afternoon"/>
    <x v="3"/>
    <n v="16"/>
    <n v="2"/>
    <x v="0"/>
    <x v="0"/>
    <s v="SMS"/>
    <n v="12.9"/>
    <x v="20"/>
    <x v="1"/>
  </r>
  <r>
    <s v="HC-03786"/>
    <s v="P-0043"/>
    <s v="Female"/>
    <n v="22"/>
    <x v="5"/>
    <s v="General Consultation"/>
    <d v="2025-09-29T00:00:00"/>
    <d v="2025-10-30T00:00:00"/>
    <s v="Thursday"/>
    <s v="Afternoon"/>
    <x v="2"/>
    <n v="31"/>
    <n v="1"/>
    <x v="0"/>
    <x v="1"/>
    <s v="None"/>
    <n v="9.8000000000000007"/>
    <x v="6"/>
    <x v="0"/>
  </r>
  <r>
    <s v="HC-03787"/>
    <s v="P-1628"/>
    <s v="Male"/>
    <n v="65"/>
    <x v="4"/>
    <s v="Diagnostic Test"/>
    <d v="2025-03-23T00:00:00"/>
    <d v="2025-04-07T00:00:00"/>
    <s v="Monday"/>
    <s v="Afternoon"/>
    <x v="3"/>
    <n v="15"/>
    <n v="1"/>
    <x v="0"/>
    <x v="0"/>
    <s v="SMS"/>
    <n v="1.9"/>
    <x v="3"/>
    <x v="1"/>
  </r>
  <r>
    <s v="HC-03788"/>
    <s v="P-0961"/>
    <s v="Male"/>
    <n v="31"/>
    <x v="1"/>
    <s v="Diagnostic Test"/>
    <d v="2024-12-04T00:00:00"/>
    <d v="2025-01-12T00:00:00"/>
    <s v="Sunday"/>
    <s v="Afternoon"/>
    <x v="2"/>
    <n v="39"/>
    <n v="2"/>
    <x v="0"/>
    <x v="1"/>
    <s v="None"/>
    <n v="7.8"/>
    <x v="31"/>
    <x v="1"/>
  </r>
  <r>
    <s v="HC-03789"/>
    <s v="P-0326"/>
    <s v="Female"/>
    <n v="32"/>
    <x v="1"/>
    <s v="Follow-up"/>
    <d v="2026-06-15T00:00:00"/>
    <d v="2026-06-17T00:00:00"/>
    <s v="Wednesday"/>
    <s v="Morning"/>
    <x v="1"/>
    <n v="2"/>
    <n v="5"/>
    <x v="0"/>
    <x v="0"/>
    <s v="Email"/>
    <n v="8.1999999999999993"/>
    <x v="13"/>
    <x v="1"/>
  </r>
  <r>
    <s v="HC-03790"/>
    <s v="P-1189"/>
    <s v="Male"/>
    <n v="27"/>
    <x v="1"/>
    <s v="General Consultation"/>
    <d v="2025-06-01T00:00:00"/>
    <d v="2025-06-22T00:00:00"/>
    <s v="Sunday"/>
    <s v="Afternoon"/>
    <x v="3"/>
    <n v="21"/>
    <n v="2"/>
    <x v="0"/>
    <x v="0"/>
    <s v="Email"/>
    <n v="9.3000000000000007"/>
    <x v="33"/>
    <x v="1"/>
  </r>
  <r>
    <s v="HC-03791"/>
    <s v="P-1488"/>
    <s v="Male"/>
    <n v="24"/>
    <x v="5"/>
    <s v="Specialist Consultation"/>
    <d v="2025-01-29T00:00:00"/>
    <d v="2025-03-03T00:00:00"/>
    <s v="Monday"/>
    <s v="Morning"/>
    <x v="2"/>
    <n v="33"/>
    <n v="4"/>
    <x v="1"/>
    <x v="1"/>
    <s v="None"/>
    <n v="9.5"/>
    <x v="20"/>
    <x v="1"/>
  </r>
  <r>
    <s v="HC-03792"/>
    <s v="P-1078"/>
    <s v="Female"/>
    <n v="25"/>
    <x v="1"/>
    <s v="General Consultation"/>
    <d v="2025-03-12T00:00:00"/>
    <d v="2025-04-07T00:00:00"/>
    <s v="Monday"/>
    <s v="Morning"/>
    <x v="3"/>
    <n v="26"/>
    <n v="7"/>
    <x v="2"/>
    <x v="1"/>
    <s v="None"/>
    <n v="12.4"/>
    <x v="37"/>
    <x v="1"/>
  </r>
  <r>
    <s v="HC-03793"/>
    <s v="P-0718"/>
    <s v="Female"/>
    <n v="70"/>
    <x v="4"/>
    <s v="General Consultation"/>
    <d v="2025-04-13T00:00:00"/>
    <d v="2025-05-20T00:00:00"/>
    <s v="Tuesday"/>
    <s v="Morning"/>
    <x v="2"/>
    <n v="37"/>
    <n v="5"/>
    <x v="1"/>
    <x v="1"/>
    <s v="None"/>
    <n v="3.2"/>
    <x v="20"/>
    <x v="0"/>
  </r>
  <r>
    <s v="HC-03794"/>
    <s v="P-0077"/>
    <s v="Female"/>
    <n v="76"/>
    <x v="4"/>
    <s v="Follow-up"/>
    <d v="2025-12-14T00:00:00"/>
    <d v="2025-12-25T00:00:00"/>
    <s v="Thursday"/>
    <s v="Afternoon"/>
    <x v="0"/>
    <n v="11"/>
    <n v="6"/>
    <x v="1"/>
    <x v="0"/>
    <s v="WhatsApp"/>
    <n v="6.2"/>
    <x v="9"/>
    <x v="0"/>
  </r>
  <r>
    <s v="HC-03795"/>
    <s v="P-1378"/>
    <s v="Male"/>
    <n v="54"/>
    <x v="2"/>
    <s v="Follow-up"/>
    <d v="2026-04-06T00:00:00"/>
    <d v="2026-05-02T00:00:00"/>
    <s v="Saturday"/>
    <s v="Morning"/>
    <x v="3"/>
    <n v="26"/>
    <n v="3"/>
    <x v="1"/>
    <x v="0"/>
    <s v="SMS"/>
    <n v="11.8"/>
    <x v="0"/>
    <x v="1"/>
  </r>
  <r>
    <s v="HC-03796"/>
    <s v="P-0190"/>
    <s v="Male"/>
    <n v="18"/>
    <x v="5"/>
    <s v="Specialist Consultation"/>
    <d v="2025-04-15T00:00:00"/>
    <d v="2025-05-31T00:00:00"/>
    <s v="Saturday"/>
    <s v="Morning"/>
    <x v="2"/>
    <n v="46"/>
    <n v="2"/>
    <x v="0"/>
    <x v="0"/>
    <s v="SMS"/>
    <n v="12"/>
    <x v="16"/>
    <x v="1"/>
  </r>
  <r>
    <s v="HC-03797"/>
    <s v="P-0877"/>
    <s v="Female"/>
    <n v="72"/>
    <x v="4"/>
    <s v="Specialist Consultation"/>
    <d v="2025-12-22T00:00:00"/>
    <d v="2026-01-11T00:00:00"/>
    <s v="Sunday"/>
    <s v="Morning"/>
    <x v="3"/>
    <n v="20"/>
    <n v="2"/>
    <x v="0"/>
    <x v="0"/>
    <s v="SMS"/>
    <n v="10.1"/>
    <x v="8"/>
    <x v="0"/>
  </r>
  <r>
    <s v="HC-03798"/>
    <s v="P-1240"/>
    <s v="Female"/>
    <n v="55"/>
    <x v="3"/>
    <s v="Specialist Consultation"/>
    <d v="2025-01-27T00:00:00"/>
    <d v="2025-02-05T00:00:00"/>
    <s v="Wednesday"/>
    <s v="Evening"/>
    <x v="0"/>
    <n v="9"/>
    <n v="3"/>
    <x v="2"/>
    <x v="0"/>
    <s v="Email"/>
    <n v="14.9"/>
    <x v="10"/>
    <x v="2"/>
  </r>
  <r>
    <s v="HC-03799"/>
    <s v="P-0317"/>
    <s v="Male"/>
    <n v="50"/>
    <x v="2"/>
    <s v="Specialist Consultation"/>
    <d v="2024-11-16T00:00:00"/>
    <d v="2025-01-06T00:00:00"/>
    <s v="Monday"/>
    <s v="Morning"/>
    <x v="2"/>
    <n v="51"/>
    <n v="0"/>
    <x v="0"/>
    <x v="0"/>
    <s v="SMS"/>
    <n v="7.3"/>
    <x v="17"/>
    <x v="0"/>
  </r>
  <r>
    <s v="HC-03800"/>
    <s v="P-0262"/>
    <s v="Female"/>
    <n v="77"/>
    <x v="4"/>
    <s v="Follow-up"/>
    <d v="2024-12-14T00:00:00"/>
    <d v="2025-01-30T00:00:00"/>
    <s v="Thursday"/>
    <s v="Morning"/>
    <x v="2"/>
    <n v="47"/>
    <n v="1"/>
    <x v="0"/>
    <x v="0"/>
    <s v="Email"/>
    <n v="8.6999999999999993"/>
    <x v="19"/>
    <x v="1"/>
  </r>
  <r>
    <s v="HC-03801"/>
    <s v="P-1212"/>
    <s v="Female"/>
    <n v="43"/>
    <x v="0"/>
    <s v="Follow-up"/>
    <d v="2026-04-09T00:00:00"/>
    <d v="2026-05-20T00:00:00"/>
    <s v="Wednesday"/>
    <s v="Morning"/>
    <x v="2"/>
    <n v="41"/>
    <n v="2"/>
    <x v="0"/>
    <x v="1"/>
    <s v="None"/>
    <n v="15"/>
    <x v="0"/>
    <x v="0"/>
  </r>
  <r>
    <s v="HC-03802"/>
    <s v="P-0558"/>
    <s v="Female"/>
    <n v="40"/>
    <x v="0"/>
    <s v="Diagnostic Test"/>
    <d v="2025-09-27T00:00:00"/>
    <d v="2025-11-14T00:00:00"/>
    <s v="Friday"/>
    <s v="Afternoon"/>
    <x v="2"/>
    <n v="48"/>
    <n v="4"/>
    <x v="1"/>
    <x v="0"/>
    <s v="SMS"/>
    <n v="3.4"/>
    <x v="11"/>
    <x v="0"/>
  </r>
  <r>
    <s v="HC-03803"/>
    <s v="P-0390"/>
    <s v="Male"/>
    <n v="67"/>
    <x v="4"/>
    <s v="Diagnostic Test"/>
    <d v="2026-01-28T00:00:00"/>
    <d v="2026-03-16T00:00:00"/>
    <s v="Monday"/>
    <s v="Morning"/>
    <x v="2"/>
    <n v="47"/>
    <n v="3"/>
    <x v="1"/>
    <x v="0"/>
    <s v="Email"/>
    <n v="21.9"/>
    <x v="17"/>
    <x v="0"/>
  </r>
  <r>
    <s v="HC-03804"/>
    <s v="P-0802"/>
    <s v="Male"/>
    <n v="51"/>
    <x v="2"/>
    <s v="Specialist Consultation"/>
    <d v="2024-11-28T00:00:00"/>
    <d v="2025-01-12T00:00:00"/>
    <s v="Sunday"/>
    <s v="Morning"/>
    <x v="2"/>
    <n v="45"/>
    <n v="4"/>
    <x v="0"/>
    <x v="0"/>
    <s v="WhatsApp"/>
    <n v="13.9"/>
    <x v="18"/>
    <x v="1"/>
  </r>
  <r>
    <s v="HC-03805"/>
    <s v="P-1605"/>
    <s v="Male"/>
    <n v="63"/>
    <x v="3"/>
    <s v="Specialist Consultation"/>
    <d v="2024-12-13T00:00:00"/>
    <d v="2025-01-13T00:00:00"/>
    <s v="Monday"/>
    <s v="Evening"/>
    <x v="2"/>
    <n v="31"/>
    <n v="1"/>
    <x v="0"/>
    <x v="0"/>
    <s v="WhatsApp"/>
    <n v="5.8"/>
    <x v="10"/>
    <x v="0"/>
  </r>
  <r>
    <s v="HC-03806"/>
    <s v="P-0793"/>
    <s v="Female"/>
    <n v="61"/>
    <x v="3"/>
    <s v="Follow-up"/>
    <d v="2026-04-08T00:00:00"/>
    <d v="2026-04-09T00:00:00"/>
    <s v="Thursday"/>
    <s v="Afternoon"/>
    <x v="1"/>
    <n v="1"/>
    <n v="3"/>
    <x v="0"/>
    <x v="0"/>
    <s v="SMS"/>
    <n v="15.4"/>
    <x v="36"/>
    <x v="2"/>
  </r>
  <r>
    <s v="HC-03807"/>
    <s v="P-0266"/>
    <s v="Male"/>
    <n v="70"/>
    <x v="4"/>
    <s v="General Consultation"/>
    <d v="2025-01-21T00:00:00"/>
    <d v="2025-02-26T00:00:00"/>
    <s v="Wednesday"/>
    <s v="Afternoon"/>
    <x v="2"/>
    <n v="36"/>
    <n v="4"/>
    <x v="1"/>
    <x v="0"/>
    <s v="SMS"/>
    <n v="3.8"/>
    <x v="44"/>
    <x v="0"/>
  </r>
  <r>
    <s v="HC-03808"/>
    <s v="P-0100"/>
    <s v="Female"/>
    <n v="37"/>
    <x v="0"/>
    <s v="Specialist Consultation"/>
    <d v="2025-03-10T00:00:00"/>
    <d v="2025-03-26T00:00:00"/>
    <s v="Wednesday"/>
    <s v="Afternoon"/>
    <x v="3"/>
    <n v="16"/>
    <n v="3"/>
    <x v="0"/>
    <x v="0"/>
    <s v="WhatsApp"/>
    <n v="19.899999999999999"/>
    <x v="23"/>
    <x v="0"/>
  </r>
  <r>
    <s v="HC-03809"/>
    <s v="P-0983"/>
    <s v="Male"/>
    <n v="22"/>
    <x v="5"/>
    <s v="General Consultation"/>
    <d v="2025-08-25T00:00:00"/>
    <d v="2025-10-11T00:00:00"/>
    <s v="Saturday"/>
    <s v="Evening"/>
    <x v="2"/>
    <n v="47"/>
    <n v="5"/>
    <x v="0"/>
    <x v="1"/>
    <s v="None"/>
    <n v="2"/>
    <x v="48"/>
    <x v="0"/>
  </r>
  <r>
    <s v="HC-03810"/>
    <s v="P-0813"/>
    <s v="Female"/>
    <n v="48"/>
    <x v="2"/>
    <s v="General Consultation"/>
    <d v="2025-10-31T00:00:00"/>
    <d v="2025-11-28T00:00:00"/>
    <s v="Friday"/>
    <s v="Evening"/>
    <x v="3"/>
    <n v="28"/>
    <n v="5"/>
    <x v="0"/>
    <x v="0"/>
    <s v="Email"/>
    <n v="3.1"/>
    <x v="22"/>
    <x v="0"/>
  </r>
  <r>
    <s v="HC-03811"/>
    <s v="P-0397"/>
    <s v="Male"/>
    <n v="58"/>
    <x v="3"/>
    <s v="General Consultation"/>
    <d v="2025-03-11T00:00:00"/>
    <d v="2025-05-05T00:00:00"/>
    <s v="Monday"/>
    <s v="Afternoon"/>
    <x v="2"/>
    <n v="55"/>
    <n v="1"/>
    <x v="0"/>
    <x v="0"/>
    <s v="SMS"/>
    <n v="4.9000000000000004"/>
    <x v="27"/>
    <x v="0"/>
  </r>
  <r>
    <s v="HC-03812"/>
    <s v="P-0760"/>
    <s v="Male"/>
    <n v="69"/>
    <x v="4"/>
    <s v="Follow-up"/>
    <d v="2025-07-26T00:00:00"/>
    <d v="2025-08-31T00:00:00"/>
    <s v="Sunday"/>
    <s v="Afternoon"/>
    <x v="2"/>
    <n v="36"/>
    <n v="1"/>
    <x v="1"/>
    <x v="0"/>
    <s v="WhatsApp"/>
    <n v="5.2"/>
    <x v="1"/>
    <x v="0"/>
  </r>
  <r>
    <s v="HC-03813"/>
    <s v="P-1178"/>
    <s v="Male"/>
    <n v="34"/>
    <x v="1"/>
    <s v="Follow-up"/>
    <d v="2025-12-02T00:00:00"/>
    <d v="2026-01-04T00:00:00"/>
    <s v="Sunday"/>
    <s v="Evening"/>
    <x v="2"/>
    <n v="33"/>
    <n v="4"/>
    <x v="1"/>
    <x v="0"/>
    <s v="WhatsApp"/>
    <n v="10.7"/>
    <x v="19"/>
    <x v="0"/>
  </r>
  <r>
    <s v="HC-03814"/>
    <s v="P-0507"/>
    <s v="Female"/>
    <n v="64"/>
    <x v="3"/>
    <s v="General Consultation"/>
    <d v="2025-07-05T00:00:00"/>
    <d v="2025-08-30T00:00:00"/>
    <s v="Saturday"/>
    <s v="Evening"/>
    <x v="2"/>
    <n v="56"/>
    <n v="5"/>
    <x v="0"/>
    <x v="0"/>
    <s v="WhatsApp"/>
    <n v="14.6"/>
    <x v="16"/>
    <x v="2"/>
  </r>
  <r>
    <s v="HC-03815"/>
    <s v="P-0130"/>
    <s v="Male"/>
    <n v="70"/>
    <x v="4"/>
    <s v="General Consultation"/>
    <d v="2025-06-30T00:00:00"/>
    <d v="2025-07-28T00:00:00"/>
    <s v="Monday"/>
    <s v="Morning"/>
    <x v="3"/>
    <n v="28"/>
    <n v="6"/>
    <x v="2"/>
    <x v="0"/>
    <s v="Email"/>
    <n v="2.4"/>
    <x v="6"/>
    <x v="0"/>
  </r>
  <r>
    <s v="HC-03816"/>
    <s v="P-0932"/>
    <s v="Male"/>
    <n v="68"/>
    <x v="4"/>
    <s v="General Consultation"/>
    <d v="2025-01-18T00:00:00"/>
    <d v="2025-02-09T00:00:00"/>
    <s v="Sunday"/>
    <s v="Evening"/>
    <x v="3"/>
    <n v="22"/>
    <n v="7"/>
    <x v="3"/>
    <x v="0"/>
    <s v="SMS"/>
    <n v="20.7"/>
    <x v="50"/>
    <x v="1"/>
  </r>
  <r>
    <s v="HC-03817"/>
    <s v="P-0607"/>
    <s v="Female"/>
    <n v="68"/>
    <x v="4"/>
    <s v="General Consultation"/>
    <d v="2025-08-13T00:00:00"/>
    <d v="2025-09-04T00:00:00"/>
    <s v="Thursday"/>
    <s v="Afternoon"/>
    <x v="3"/>
    <n v="22"/>
    <n v="7"/>
    <x v="0"/>
    <x v="0"/>
    <s v="SMS"/>
    <n v="12"/>
    <x v="12"/>
    <x v="1"/>
  </r>
  <r>
    <s v="HC-03818"/>
    <s v="P-1316"/>
    <s v="Female"/>
    <n v="80"/>
    <x v="4"/>
    <s v="General Consultation"/>
    <d v="2026-01-21T00:00:00"/>
    <d v="2026-03-15T00:00:00"/>
    <s v="Sunday"/>
    <s v="Afternoon"/>
    <x v="2"/>
    <n v="53"/>
    <n v="4"/>
    <x v="0"/>
    <x v="0"/>
    <s v="WhatsApp"/>
    <n v="26.4"/>
    <x v="1"/>
    <x v="0"/>
  </r>
  <r>
    <s v="HC-03819"/>
    <s v="P-1707"/>
    <s v="Male"/>
    <n v="59"/>
    <x v="3"/>
    <s v="Follow-up"/>
    <d v="2025-10-24T00:00:00"/>
    <d v="2025-12-09T00:00:00"/>
    <s v="Tuesday"/>
    <s v="Morning"/>
    <x v="2"/>
    <n v="46"/>
    <n v="2"/>
    <x v="1"/>
    <x v="0"/>
    <s v="WhatsApp"/>
    <n v="8.4"/>
    <x v="8"/>
    <x v="0"/>
  </r>
  <r>
    <s v="HC-03820"/>
    <s v="P-1786"/>
    <s v="Male"/>
    <n v="41"/>
    <x v="0"/>
    <s v="General Consultation"/>
    <d v="2026-04-24T00:00:00"/>
    <d v="2026-05-03T00:00:00"/>
    <s v="Sunday"/>
    <s v="Morning"/>
    <x v="0"/>
    <n v="9"/>
    <n v="3"/>
    <x v="0"/>
    <x v="1"/>
    <s v="None"/>
    <n v="22.1"/>
    <x v="2"/>
    <x v="0"/>
  </r>
  <r>
    <s v="HC-03821"/>
    <s v="P-1771"/>
    <s v="Male"/>
    <n v="45"/>
    <x v="2"/>
    <s v="General Consultation"/>
    <d v="2025-02-08T00:00:00"/>
    <d v="2025-03-10T00:00:00"/>
    <s v="Monday"/>
    <s v="Afternoon"/>
    <x v="3"/>
    <n v="30"/>
    <n v="2"/>
    <x v="0"/>
    <x v="0"/>
    <s v="SMS"/>
    <n v="27.8"/>
    <x v="39"/>
    <x v="1"/>
  </r>
  <r>
    <s v="HC-03822"/>
    <s v="P-1745"/>
    <s v="Female"/>
    <n v="65"/>
    <x v="4"/>
    <s v="General Consultation"/>
    <d v="2024-12-16T00:00:00"/>
    <d v="2025-01-07T00:00:00"/>
    <s v="Tuesday"/>
    <s v="Afternoon"/>
    <x v="3"/>
    <n v="22"/>
    <n v="3"/>
    <x v="0"/>
    <x v="0"/>
    <s v="Email"/>
    <n v="5.2"/>
    <x v="11"/>
    <x v="1"/>
  </r>
  <r>
    <s v="HC-03823"/>
    <s v="P-0062"/>
    <s v="Male"/>
    <n v="32"/>
    <x v="1"/>
    <s v="Follow-up"/>
    <d v="2025-09-18T00:00:00"/>
    <d v="2025-10-27T00:00:00"/>
    <s v="Monday"/>
    <s v="Morning"/>
    <x v="2"/>
    <n v="39"/>
    <n v="6"/>
    <x v="2"/>
    <x v="1"/>
    <s v="None"/>
    <n v="4.8"/>
    <x v="23"/>
    <x v="0"/>
  </r>
  <r>
    <s v="HC-03824"/>
    <s v="P-1238"/>
    <s v="Female"/>
    <n v="55"/>
    <x v="3"/>
    <s v="Specialist Consultation"/>
    <d v="2025-04-05T00:00:00"/>
    <d v="2025-04-08T00:00:00"/>
    <s v="Tuesday"/>
    <s v="Afternoon"/>
    <x v="1"/>
    <n v="3"/>
    <n v="2"/>
    <x v="0"/>
    <x v="0"/>
    <s v="Email"/>
    <n v="7"/>
    <x v="3"/>
    <x v="1"/>
  </r>
  <r>
    <s v="HC-03825"/>
    <s v="P-0680"/>
    <s v="Female"/>
    <n v="54"/>
    <x v="2"/>
    <s v="General Consultation"/>
    <d v="2025-10-09T00:00:00"/>
    <d v="2025-11-21T00:00:00"/>
    <s v="Friday"/>
    <s v="Morning"/>
    <x v="2"/>
    <n v="43"/>
    <n v="2"/>
    <x v="0"/>
    <x v="0"/>
    <s v="WhatsApp"/>
    <n v="6.7"/>
    <x v="20"/>
    <x v="1"/>
  </r>
  <r>
    <s v="HC-03826"/>
    <s v="P-0424"/>
    <s v="Male"/>
    <n v="59"/>
    <x v="3"/>
    <s v="General Consultation"/>
    <d v="2026-03-25T00:00:00"/>
    <d v="2026-05-09T00:00:00"/>
    <s v="Saturday"/>
    <s v="Afternoon"/>
    <x v="2"/>
    <n v="45"/>
    <n v="2"/>
    <x v="1"/>
    <x v="1"/>
    <s v="None"/>
    <n v="10.5"/>
    <x v="19"/>
    <x v="0"/>
  </r>
  <r>
    <s v="HC-03827"/>
    <s v="P-1756"/>
    <s v="Male"/>
    <n v="44"/>
    <x v="0"/>
    <s v="Follow-up"/>
    <d v="2025-06-21T00:00:00"/>
    <d v="2025-07-04T00:00:00"/>
    <s v="Friday"/>
    <s v="Afternoon"/>
    <x v="0"/>
    <n v="13"/>
    <n v="4"/>
    <x v="2"/>
    <x v="0"/>
    <s v="SMS"/>
    <n v="6.8"/>
    <x v="7"/>
    <x v="0"/>
  </r>
  <r>
    <s v="HC-03828"/>
    <s v="P-1494"/>
    <s v="Male"/>
    <n v="64"/>
    <x v="3"/>
    <s v="General Consultation"/>
    <d v="2025-10-19T00:00:00"/>
    <d v="2025-10-28T00:00:00"/>
    <s v="Tuesday"/>
    <s v="Afternoon"/>
    <x v="0"/>
    <n v="9"/>
    <n v="1"/>
    <x v="0"/>
    <x v="0"/>
    <s v="WhatsApp"/>
    <n v="15.3"/>
    <x v="17"/>
    <x v="1"/>
  </r>
  <r>
    <s v="HC-03829"/>
    <s v="P-1765"/>
    <s v="Female"/>
    <n v="22"/>
    <x v="5"/>
    <s v="Specialist Consultation"/>
    <d v="2025-12-01T00:00:00"/>
    <d v="2026-01-08T00:00:00"/>
    <s v="Thursday"/>
    <s v="Morning"/>
    <x v="2"/>
    <n v="38"/>
    <n v="5"/>
    <x v="0"/>
    <x v="0"/>
    <s v="SMS"/>
    <n v="12.8"/>
    <x v="26"/>
    <x v="1"/>
  </r>
  <r>
    <s v="HC-03830"/>
    <s v="P-0601"/>
    <s v="Female"/>
    <n v="65"/>
    <x v="4"/>
    <s v="Diagnostic Test"/>
    <d v="2025-03-08T00:00:00"/>
    <d v="2025-03-23T00:00:00"/>
    <s v="Sunday"/>
    <s v="Morning"/>
    <x v="3"/>
    <n v="15"/>
    <n v="3"/>
    <x v="1"/>
    <x v="0"/>
    <s v="WhatsApp"/>
    <n v="4.9000000000000004"/>
    <x v="0"/>
    <x v="1"/>
  </r>
  <r>
    <s v="HC-03831"/>
    <s v="P-0012"/>
    <s v="Male"/>
    <n v="69"/>
    <x v="4"/>
    <s v="Follow-up"/>
    <d v="2026-03-09T00:00:00"/>
    <d v="2026-05-05T00:00:00"/>
    <s v="Tuesday"/>
    <s v="Morning"/>
    <x v="2"/>
    <n v="57"/>
    <n v="4"/>
    <x v="0"/>
    <x v="0"/>
    <s v="SMS"/>
    <m/>
    <x v="12"/>
    <x v="1"/>
  </r>
  <r>
    <s v="HC-03832"/>
    <s v="P-0347"/>
    <s v="Female"/>
    <n v="73"/>
    <x v="4"/>
    <s v="Diagnostic Test"/>
    <d v="2025-03-05T00:00:00"/>
    <d v="2025-04-21T00:00:00"/>
    <s v="Monday"/>
    <s v="Afternoon"/>
    <x v="2"/>
    <n v="47"/>
    <n v="0"/>
    <x v="0"/>
    <x v="1"/>
    <s v="None"/>
    <n v="15.9"/>
    <x v="6"/>
    <x v="2"/>
  </r>
  <r>
    <s v="HC-03833"/>
    <s v="P-0445"/>
    <s v="Male"/>
    <n v="76"/>
    <x v="4"/>
    <s v="General Consultation"/>
    <d v="2026-01-19T00:00:00"/>
    <d v="2026-03-18T00:00:00"/>
    <s v="Wednesday"/>
    <s v="Evening"/>
    <x v="2"/>
    <n v="58"/>
    <n v="2"/>
    <x v="0"/>
    <x v="0"/>
    <s v="SMS"/>
    <n v="11.3"/>
    <x v="0"/>
    <x v="1"/>
  </r>
  <r>
    <s v="HC-03834"/>
    <s v="P-0586"/>
    <s v="Male"/>
    <n v="40"/>
    <x v="0"/>
    <s v="General Consultation"/>
    <d v="2025-11-25T00:00:00"/>
    <d v="2025-12-27T00:00:00"/>
    <s v="Saturday"/>
    <s v="Afternoon"/>
    <x v="2"/>
    <n v="32"/>
    <n v="5"/>
    <x v="2"/>
    <x v="1"/>
    <s v="None"/>
    <n v="13.3"/>
    <x v="25"/>
    <x v="0"/>
  </r>
  <r>
    <s v="HC-03835"/>
    <s v="P-1507"/>
    <s v="Male"/>
    <n v="20"/>
    <x v="5"/>
    <s v="General Consultation"/>
    <d v="2025-01-20T00:00:00"/>
    <d v="2025-03-18T00:00:00"/>
    <s v="Tuesday"/>
    <s v="Afternoon"/>
    <x v="2"/>
    <n v="57"/>
    <n v="2"/>
    <x v="0"/>
    <x v="0"/>
    <s v="WhatsApp"/>
    <n v="4.8"/>
    <x v="7"/>
    <x v="0"/>
  </r>
  <r>
    <s v="HC-03836"/>
    <s v="P-0102"/>
    <s v="Male"/>
    <n v="59"/>
    <x v="3"/>
    <s v="General Consultation"/>
    <d v="2026-01-31T00:00:00"/>
    <d v="2026-01-31T00:00:00"/>
    <s v="Saturday"/>
    <s v="Morning"/>
    <x v="1"/>
    <n v="0"/>
    <n v="7"/>
    <x v="1"/>
    <x v="0"/>
    <s v="Email"/>
    <n v="9.1"/>
    <x v="8"/>
    <x v="1"/>
  </r>
  <r>
    <s v="HC-03837"/>
    <s v="P-0522"/>
    <s v="Male"/>
    <n v="23"/>
    <x v="5"/>
    <s v="General Consultation"/>
    <d v="2025-04-01T00:00:00"/>
    <d v="2025-04-18T00:00:00"/>
    <s v="Friday"/>
    <s v="Morning"/>
    <x v="3"/>
    <n v="17"/>
    <n v="2"/>
    <x v="0"/>
    <x v="0"/>
    <s v="SMS"/>
    <n v="3.6"/>
    <x v="25"/>
    <x v="1"/>
  </r>
  <r>
    <s v="HC-03838"/>
    <s v="P-0712"/>
    <s v="Female"/>
    <n v="35"/>
    <x v="0"/>
    <s v="Follow-up"/>
    <d v="2025-11-24T00:00:00"/>
    <d v="2025-11-24T00:00:00"/>
    <s v="Monday"/>
    <s v="Evening"/>
    <x v="1"/>
    <n v="0"/>
    <n v="2"/>
    <x v="0"/>
    <x v="0"/>
    <s v="SMS"/>
    <n v="9.8000000000000007"/>
    <x v="2"/>
    <x v="2"/>
  </r>
  <r>
    <s v="HC-03839"/>
    <s v="P-0192"/>
    <s v="Male"/>
    <n v="62"/>
    <x v="3"/>
    <s v="Follow-up"/>
    <d v="2026-04-28T00:00:00"/>
    <d v="2026-06-08T00:00:00"/>
    <s v="Monday"/>
    <s v="Afternoon"/>
    <x v="2"/>
    <n v="41"/>
    <n v="0"/>
    <x v="0"/>
    <x v="0"/>
    <s v="WhatsApp"/>
    <n v="8"/>
    <x v="41"/>
    <x v="1"/>
  </r>
  <r>
    <s v="HC-03840"/>
    <s v="P-1443"/>
    <s v="Female"/>
    <n v="55"/>
    <x v="3"/>
    <s v="General Consultation"/>
    <d v="2026-05-05T00:00:00"/>
    <d v="2026-06-05T00:00:00"/>
    <s v="Friday"/>
    <s v="Morning"/>
    <x v="2"/>
    <n v="31"/>
    <n v="4"/>
    <x v="1"/>
    <x v="0"/>
    <s v="SMS"/>
    <n v="10.3"/>
    <x v="27"/>
    <x v="1"/>
  </r>
  <r>
    <s v="HC-03841"/>
    <s v="P-0513"/>
    <s v="Male"/>
    <n v="56"/>
    <x v="3"/>
    <s v="Follow-up"/>
    <d v="2026-04-04T00:00:00"/>
    <d v="2026-04-21T00:00:00"/>
    <s v="Tuesday"/>
    <s v="Afternoon"/>
    <x v="3"/>
    <n v="17"/>
    <n v="2"/>
    <x v="1"/>
    <x v="1"/>
    <s v="None"/>
    <n v="4.5"/>
    <x v="23"/>
    <x v="1"/>
  </r>
  <r>
    <s v="HC-03842"/>
    <s v="P-0015"/>
    <s v="Female"/>
    <n v="65"/>
    <x v="4"/>
    <s v="General Consultation"/>
    <d v="2025-09-09T00:00:00"/>
    <d v="2025-09-27T00:00:00"/>
    <s v="Saturday"/>
    <s v="Afternoon"/>
    <x v="3"/>
    <n v="18"/>
    <n v="1"/>
    <x v="0"/>
    <x v="1"/>
    <s v="None"/>
    <n v="12"/>
    <x v="6"/>
    <x v="2"/>
  </r>
  <r>
    <s v="HC-03843"/>
    <s v="P-0434"/>
    <s v="Male"/>
    <n v="28"/>
    <x v="1"/>
    <s v="General Consultation"/>
    <d v="2025-09-24T00:00:00"/>
    <d v="2025-11-02T00:00:00"/>
    <s v="Sunday"/>
    <s v="Morning"/>
    <x v="2"/>
    <n v="39"/>
    <n v="5"/>
    <x v="1"/>
    <x v="0"/>
    <s v="SMS"/>
    <n v="16.2"/>
    <x v="18"/>
    <x v="1"/>
  </r>
  <r>
    <s v="HC-03844"/>
    <s v="P-0001"/>
    <s v="Male"/>
    <n v="67"/>
    <x v="4"/>
    <s v="General Consultation"/>
    <d v="2025-06-03T00:00:00"/>
    <d v="2025-06-13T00:00:00"/>
    <s v="Friday"/>
    <s v="Morning"/>
    <x v="0"/>
    <n v="10"/>
    <n v="3"/>
    <x v="1"/>
    <x v="0"/>
    <s v="SMS"/>
    <n v="1.3"/>
    <x v="10"/>
    <x v="1"/>
  </r>
  <r>
    <s v="HC-03845"/>
    <s v="P-0130"/>
    <s v="Male"/>
    <n v="54"/>
    <x v="2"/>
    <s v="Follow-up"/>
    <d v="2026-04-17T00:00:00"/>
    <d v="2026-05-18T00:00:00"/>
    <s v="Monday"/>
    <s v="Afternoon"/>
    <x v="2"/>
    <n v="31"/>
    <n v="4"/>
    <x v="0"/>
    <x v="1"/>
    <s v="None"/>
    <n v="2.9"/>
    <x v="17"/>
    <x v="2"/>
  </r>
  <r>
    <s v="HC-03846"/>
    <s v="P-0317"/>
    <s v="Female"/>
    <n v="44"/>
    <x v="0"/>
    <s v="Follow-up"/>
    <d v="2025-08-12T00:00:00"/>
    <d v="2025-09-18T00:00:00"/>
    <s v="Thursday"/>
    <s v="Morning"/>
    <x v="2"/>
    <n v="37"/>
    <n v="3"/>
    <x v="1"/>
    <x v="0"/>
    <s v="SMS"/>
    <n v="5.2"/>
    <x v="14"/>
    <x v="1"/>
  </r>
  <r>
    <s v="HC-03847"/>
    <s v="P-1000"/>
    <s v="Male"/>
    <n v="47"/>
    <x v="2"/>
    <s v="Specialist Consultation"/>
    <d v="2026-02-12T00:00:00"/>
    <d v="2026-02-26T00:00:00"/>
    <s v="Thursday"/>
    <s v="Morning"/>
    <x v="0"/>
    <n v="14"/>
    <n v="4"/>
    <x v="1"/>
    <x v="1"/>
    <s v="None"/>
    <n v="7"/>
    <x v="51"/>
    <x v="0"/>
  </r>
  <r>
    <s v="HC-03848"/>
    <s v="P-0354"/>
    <s v="Male"/>
    <n v="50"/>
    <x v="2"/>
    <s v="General Consultation"/>
    <d v="2025-07-03T00:00:00"/>
    <d v="2025-07-16T00:00:00"/>
    <s v="Wednesday"/>
    <s v="Afternoon"/>
    <x v="0"/>
    <n v="13"/>
    <n v="3"/>
    <x v="0"/>
    <x v="0"/>
    <s v="SMS"/>
    <n v="5.9"/>
    <x v="2"/>
    <x v="1"/>
  </r>
  <r>
    <s v="HC-03849"/>
    <s v="P-0389"/>
    <s v="Female"/>
    <n v="52"/>
    <x v="2"/>
    <s v="Follow-up"/>
    <d v="2026-01-19T00:00:00"/>
    <d v="2026-02-09T00:00:00"/>
    <s v="Monday"/>
    <s v="Evening"/>
    <x v="3"/>
    <n v="21"/>
    <n v="3"/>
    <x v="1"/>
    <x v="0"/>
    <s v="SMS"/>
    <n v="3.4"/>
    <x v="47"/>
    <x v="2"/>
  </r>
  <r>
    <s v="HC-03850"/>
    <s v="P-1160"/>
    <s v="Female"/>
    <n v="39"/>
    <x v="0"/>
    <s v="Diagnostic Test"/>
    <d v="2025-03-28T00:00:00"/>
    <d v="2025-05-03T00:00:00"/>
    <s v="Saturday"/>
    <s v="Morning"/>
    <x v="2"/>
    <n v="36"/>
    <n v="3"/>
    <x v="2"/>
    <x v="0"/>
    <s v="WhatsApp"/>
    <n v="10.3"/>
    <x v="9"/>
    <x v="1"/>
  </r>
  <r>
    <s v="HC-03851"/>
    <s v="P-0658"/>
    <s v="Female"/>
    <n v="32"/>
    <x v="1"/>
    <s v="General Consultation"/>
    <d v="2026-01-21T00:00:00"/>
    <d v="2026-02-05T00:00:00"/>
    <s v="Thursday"/>
    <s v="Morning"/>
    <x v="3"/>
    <n v="15"/>
    <n v="3"/>
    <x v="0"/>
    <x v="0"/>
    <s v="SMS"/>
    <n v="10"/>
    <x v="20"/>
    <x v="1"/>
  </r>
  <r>
    <s v="HC-03852"/>
    <s v="P-0289"/>
    <s v="Male"/>
    <n v="28"/>
    <x v="1"/>
    <s v="General Consultation"/>
    <d v="2025-01-03T00:00:00"/>
    <d v="2025-01-26T00:00:00"/>
    <s v="Sunday"/>
    <s v="Afternoon"/>
    <x v="3"/>
    <n v="23"/>
    <n v="2"/>
    <x v="0"/>
    <x v="1"/>
    <s v="None"/>
    <n v="5.9"/>
    <x v="18"/>
    <x v="1"/>
  </r>
  <r>
    <s v="HC-03853"/>
    <s v="P-1739"/>
    <s v="Male"/>
    <n v="39"/>
    <x v="0"/>
    <s v="General Consultation"/>
    <d v="2025-01-25T00:00:00"/>
    <d v="2025-02-27T00:00:00"/>
    <s v="Thursday"/>
    <s v="Morning"/>
    <x v="2"/>
    <n v="33"/>
    <n v="3"/>
    <x v="0"/>
    <x v="0"/>
    <s v="SMS"/>
    <n v="11.4"/>
    <x v="14"/>
    <x v="0"/>
  </r>
  <r>
    <s v="HC-03854"/>
    <s v="P-0718"/>
    <s v="Male"/>
    <n v="34"/>
    <x v="1"/>
    <s v="General Consultation"/>
    <d v="2025-07-01T00:00:00"/>
    <d v="2025-07-12T00:00:00"/>
    <s v="Saturday"/>
    <s v="Evening"/>
    <x v="0"/>
    <n v="11"/>
    <n v="1"/>
    <x v="0"/>
    <x v="1"/>
    <s v="None"/>
    <n v="7.8"/>
    <x v="10"/>
    <x v="1"/>
  </r>
  <r>
    <s v="HC-03855"/>
    <s v="P-0954"/>
    <s v="Female"/>
    <n v="50"/>
    <x v="2"/>
    <s v="Follow-up"/>
    <d v="2025-08-18T00:00:00"/>
    <d v="2025-09-21T00:00:00"/>
    <s v="Sunday"/>
    <s v="Afternoon"/>
    <x v="2"/>
    <n v="34"/>
    <n v="1"/>
    <x v="0"/>
    <x v="0"/>
    <s v="SMS"/>
    <n v="22.7"/>
    <x v="2"/>
    <x v="1"/>
  </r>
  <r>
    <s v="HC-03856"/>
    <s v="P-1149"/>
    <s v="Female"/>
    <n v="75"/>
    <x v="4"/>
    <s v="General Consultation"/>
    <d v="2026-01-16T00:00:00"/>
    <d v="2026-01-24T00:00:00"/>
    <s v="Saturday"/>
    <s v="Morning"/>
    <x v="0"/>
    <n v="8"/>
    <n v="3"/>
    <x v="0"/>
    <x v="0"/>
    <s v="WhatsApp"/>
    <n v="2.5"/>
    <x v="13"/>
    <x v="1"/>
  </r>
  <r>
    <s v="HC-03857"/>
    <s v="P-0107"/>
    <s v="Male"/>
    <n v="24"/>
    <x v="5"/>
    <s v="Follow-up"/>
    <d v="2025-07-08T00:00:00"/>
    <d v="2025-07-16T00:00:00"/>
    <s v="Wednesday"/>
    <s v="Afternoon"/>
    <x v="0"/>
    <n v="8"/>
    <n v="3"/>
    <x v="0"/>
    <x v="0"/>
    <s v="SMS"/>
    <n v="4.5999999999999996"/>
    <x v="17"/>
    <x v="0"/>
  </r>
  <r>
    <s v="HC-03858"/>
    <s v="P-0438"/>
    <s v="Male"/>
    <n v="37"/>
    <x v="0"/>
    <s v="Diagnostic Test"/>
    <d v="2024-12-28T00:00:00"/>
    <d v="2025-01-11T00:00:00"/>
    <s v="Saturday"/>
    <s v="Morning"/>
    <x v="0"/>
    <n v="14"/>
    <n v="2"/>
    <x v="1"/>
    <x v="0"/>
    <s v="SMS"/>
    <n v="7.3"/>
    <x v="9"/>
    <x v="0"/>
  </r>
  <r>
    <s v="HC-03859"/>
    <s v="P-1462"/>
    <s v="Female"/>
    <n v="21"/>
    <x v="5"/>
    <s v="General Consultation"/>
    <d v="2025-06-10T00:00:00"/>
    <d v="2025-06-27T00:00:00"/>
    <s v="Friday"/>
    <s v="Afternoon"/>
    <x v="3"/>
    <n v="17"/>
    <n v="1"/>
    <x v="0"/>
    <x v="1"/>
    <s v="None"/>
    <n v="16.7"/>
    <x v="7"/>
    <x v="0"/>
  </r>
  <r>
    <s v="HC-03860"/>
    <s v="P-0306"/>
    <s v="Female"/>
    <n v="79"/>
    <x v="4"/>
    <s v="General Consultation"/>
    <d v="2025-08-27T00:00:00"/>
    <d v="2025-08-28T00:00:00"/>
    <s v="Thursday"/>
    <s v="Evening"/>
    <x v="1"/>
    <n v="1"/>
    <n v="0"/>
    <x v="0"/>
    <x v="0"/>
    <s v="SMS"/>
    <n v="13.9"/>
    <x v="35"/>
    <x v="1"/>
  </r>
  <r>
    <s v="HC-03861"/>
    <s v="P-0398"/>
    <s v="Female"/>
    <n v="62"/>
    <x v="3"/>
    <s v="Specialist Consultation"/>
    <d v="2025-08-27T00:00:00"/>
    <d v="2025-10-24T00:00:00"/>
    <s v="Friday"/>
    <s v="Morning"/>
    <x v="2"/>
    <n v="58"/>
    <n v="2"/>
    <x v="0"/>
    <x v="0"/>
    <s v="WhatsApp"/>
    <n v="12"/>
    <x v="16"/>
    <x v="2"/>
  </r>
  <r>
    <s v="HC-03862"/>
    <s v="P-1597"/>
    <s v="Male"/>
    <n v="33"/>
    <x v="1"/>
    <s v="Follow-up"/>
    <d v="2025-11-30T00:00:00"/>
    <d v="2025-12-18T00:00:00"/>
    <s v="Thursday"/>
    <s v="Morning"/>
    <x v="3"/>
    <n v="18"/>
    <n v="4"/>
    <x v="0"/>
    <x v="0"/>
    <s v="SMS"/>
    <n v="3"/>
    <x v="2"/>
    <x v="1"/>
  </r>
  <r>
    <s v="HC-03863"/>
    <s v="P-0370"/>
    <s v="Male"/>
    <n v="44"/>
    <x v="0"/>
    <s v="Diagnostic Test"/>
    <d v="2025-03-28T00:00:00"/>
    <d v="2025-05-16T00:00:00"/>
    <s v="Friday"/>
    <s v="Evening"/>
    <x v="2"/>
    <n v="49"/>
    <n v="2"/>
    <x v="0"/>
    <x v="0"/>
    <s v="WhatsApp"/>
    <n v="5.4"/>
    <x v="26"/>
    <x v="1"/>
  </r>
  <r>
    <s v="HC-03864"/>
    <s v="P-0395"/>
    <s v="Male"/>
    <n v="63"/>
    <x v="3"/>
    <s v="General Consultation"/>
    <d v="2025-10-06T00:00:00"/>
    <d v="2025-11-30T00:00:00"/>
    <s v="Sunday"/>
    <s v="Afternoon"/>
    <x v="2"/>
    <n v="55"/>
    <n v="3"/>
    <x v="1"/>
    <x v="0"/>
    <s v="Email"/>
    <n v="7.8"/>
    <x v="8"/>
    <x v="0"/>
  </r>
  <r>
    <s v="HC-03865"/>
    <s v="P-1778"/>
    <s v="Male"/>
    <n v="78"/>
    <x v="4"/>
    <s v="Follow-up"/>
    <d v="2025-10-24T00:00:00"/>
    <d v="2025-12-11T00:00:00"/>
    <s v="Thursday"/>
    <s v="Morning"/>
    <x v="2"/>
    <n v="48"/>
    <n v="2"/>
    <x v="0"/>
    <x v="0"/>
    <s v="SMS"/>
    <n v="15.3"/>
    <x v="26"/>
    <x v="0"/>
  </r>
  <r>
    <s v="HC-03866"/>
    <s v="P-1608"/>
    <s v="Male"/>
    <n v="54"/>
    <x v="2"/>
    <s v="Diagnostic Test"/>
    <d v="2026-01-10T00:00:00"/>
    <d v="2026-03-01T00:00:00"/>
    <s v="Sunday"/>
    <s v="Morning"/>
    <x v="2"/>
    <n v="50"/>
    <n v="4"/>
    <x v="1"/>
    <x v="1"/>
    <s v="None"/>
    <n v="8.1999999999999993"/>
    <x v="19"/>
    <x v="1"/>
  </r>
  <r>
    <s v="HC-03867"/>
    <s v="P-0620"/>
    <s v="Female"/>
    <n v="35"/>
    <x v="0"/>
    <s v="General Consultation"/>
    <d v="2025-10-07T00:00:00"/>
    <d v="2025-10-13T00:00:00"/>
    <s v="Monday"/>
    <s v="Morning"/>
    <x v="1"/>
    <n v="6"/>
    <n v="1"/>
    <x v="0"/>
    <x v="1"/>
    <s v="None"/>
    <n v="12.7"/>
    <x v="23"/>
    <x v="1"/>
  </r>
  <r>
    <s v="HC-03868"/>
    <s v="P-1705"/>
    <s v="Female"/>
    <n v="61"/>
    <x v="3"/>
    <s v="Specialist Consultation"/>
    <d v="2026-02-25T00:00:00"/>
    <d v="2026-03-19T00:00:00"/>
    <s v="Thursday"/>
    <s v="Afternoon"/>
    <x v="3"/>
    <n v="22"/>
    <n v="2"/>
    <x v="0"/>
    <x v="1"/>
    <s v="None"/>
    <n v="11.6"/>
    <x v="7"/>
    <x v="0"/>
  </r>
  <r>
    <s v="HC-03869"/>
    <s v="P-1193"/>
    <s v="Female"/>
    <n v="61"/>
    <x v="3"/>
    <s v="Follow-up"/>
    <d v="2025-03-17T00:00:00"/>
    <d v="2025-05-01T00:00:00"/>
    <s v="Thursday"/>
    <s v="Morning"/>
    <x v="2"/>
    <n v="45"/>
    <n v="4"/>
    <x v="0"/>
    <x v="0"/>
    <s v="SMS"/>
    <n v="12.7"/>
    <x v="27"/>
    <x v="0"/>
  </r>
  <r>
    <s v="HC-03870"/>
    <s v="P-1670"/>
    <s v="Prefer not to say"/>
    <n v="58"/>
    <x v="3"/>
    <s v="Specialist Consultation"/>
    <d v="2025-12-20T00:00:00"/>
    <d v="2026-01-24T00:00:00"/>
    <s v="Saturday"/>
    <s v="Morning"/>
    <x v="2"/>
    <n v="35"/>
    <n v="3"/>
    <x v="0"/>
    <x v="0"/>
    <s v="SMS"/>
    <n v="5.0999999999999996"/>
    <x v="49"/>
    <x v="1"/>
  </r>
  <r>
    <s v="HC-03871"/>
    <s v="P-0438"/>
    <s v="Male"/>
    <n v="20"/>
    <x v="5"/>
    <s v="General Consultation"/>
    <d v="2025-01-26T00:00:00"/>
    <d v="2025-01-26T00:00:00"/>
    <s v="Sunday"/>
    <s v="Morning"/>
    <x v="1"/>
    <n v="0"/>
    <n v="3"/>
    <x v="0"/>
    <x v="1"/>
    <s v="None"/>
    <n v="14.2"/>
    <x v="17"/>
    <x v="1"/>
  </r>
  <r>
    <s v="HC-03872"/>
    <s v="P-0869"/>
    <s v="Male"/>
    <n v="62"/>
    <x v="3"/>
    <s v="Follow-up"/>
    <d v="2025-01-23T00:00:00"/>
    <d v="2025-02-26T00:00:00"/>
    <s v="Wednesday"/>
    <s v="Afternoon"/>
    <x v="2"/>
    <n v="34"/>
    <n v="7"/>
    <x v="0"/>
    <x v="0"/>
    <s v="SMS"/>
    <n v="12.2"/>
    <x v="0"/>
    <x v="0"/>
  </r>
  <r>
    <s v="HC-03873"/>
    <s v="P-0486"/>
    <s v="Male"/>
    <n v="19"/>
    <x v="5"/>
    <s v="General Consultation"/>
    <d v="2026-02-28T00:00:00"/>
    <d v="2026-04-18T00:00:00"/>
    <s v="Saturday"/>
    <s v="Evening"/>
    <x v="2"/>
    <n v="49"/>
    <n v="1"/>
    <x v="0"/>
    <x v="1"/>
    <s v="None"/>
    <n v="21.7"/>
    <x v="27"/>
    <x v="0"/>
  </r>
  <r>
    <s v="HC-03874"/>
    <s v="P-1299"/>
    <s v="Female"/>
    <n v="75"/>
    <x v="4"/>
    <s v="Diagnostic Test"/>
    <d v="2025-07-29T00:00:00"/>
    <d v="2025-09-17T00:00:00"/>
    <s v="Wednesday"/>
    <s v="Afternoon"/>
    <x v="2"/>
    <n v="50"/>
    <n v="2"/>
    <x v="0"/>
    <x v="0"/>
    <s v="WhatsApp"/>
    <n v="6.6"/>
    <x v="36"/>
    <x v="1"/>
  </r>
  <r>
    <s v="HC-03875"/>
    <s v="P-1318"/>
    <s v="Female"/>
    <n v="73"/>
    <x v="4"/>
    <s v="General Consultation"/>
    <d v="2025-11-12T00:00:00"/>
    <d v="2025-12-05T00:00:00"/>
    <s v="Friday"/>
    <s v="Afternoon"/>
    <x v="3"/>
    <n v="23"/>
    <n v="1"/>
    <x v="0"/>
    <x v="0"/>
    <s v="SMS"/>
    <n v="9.9"/>
    <x v="4"/>
    <x v="1"/>
  </r>
  <r>
    <s v="HC-03876"/>
    <s v="P-0445"/>
    <s v="Male"/>
    <n v="53"/>
    <x v="2"/>
    <s v="General Consultation"/>
    <d v="2025-11-12T00:00:00"/>
    <d v="2025-11-26T00:00:00"/>
    <s v="Wednesday"/>
    <s v="Afternoon"/>
    <x v="0"/>
    <n v="14"/>
    <n v="1"/>
    <x v="0"/>
    <x v="0"/>
    <s v="WhatsApp"/>
    <n v="3.4"/>
    <x v="39"/>
    <x v="0"/>
  </r>
  <r>
    <s v="HC-03877"/>
    <s v="P-1457"/>
    <s v="Prefer not to say"/>
    <n v="58"/>
    <x v="3"/>
    <s v="Diagnostic Test"/>
    <d v="2025-12-28T00:00:00"/>
    <d v="2026-01-15T00:00:00"/>
    <s v="Thursday"/>
    <s v="Morning"/>
    <x v="3"/>
    <n v="18"/>
    <n v="1"/>
    <x v="1"/>
    <x v="0"/>
    <s v="WhatsApp"/>
    <n v="2.4"/>
    <x v="0"/>
    <x v="1"/>
  </r>
  <r>
    <s v="HC-03878"/>
    <s v="P-0116"/>
    <s v="Female"/>
    <n v="22"/>
    <x v="5"/>
    <s v="General Consultation"/>
    <d v="2025-04-27T00:00:00"/>
    <d v="2025-05-15T00:00:00"/>
    <s v="Thursday"/>
    <s v="Morning"/>
    <x v="3"/>
    <n v="18"/>
    <n v="3"/>
    <x v="1"/>
    <x v="0"/>
    <s v="SMS"/>
    <n v="23.7"/>
    <x v="6"/>
    <x v="0"/>
  </r>
  <r>
    <s v="HC-03879"/>
    <s v="P-0395"/>
    <s v="Female"/>
    <n v="73"/>
    <x v="4"/>
    <s v="Follow-up"/>
    <d v="2025-03-18T00:00:00"/>
    <d v="2025-04-08T00:00:00"/>
    <s v="Tuesday"/>
    <s v="Morning"/>
    <x v="3"/>
    <n v="21"/>
    <n v="4"/>
    <x v="2"/>
    <x v="1"/>
    <s v="None"/>
    <n v="11.2"/>
    <x v="15"/>
    <x v="0"/>
  </r>
  <r>
    <s v="HC-03880"/>
    <s v="P-0936"/>
    <s v="Male"/>
    <n v="35"/>
    <x v="0"/>
    <s v="General Consultation"/>
    <d v="2025-01-06T00:00:00"/>
    <d v="2025-01-24T00:00:00"/>
    <s v="Friday"/>
    <s v="Morning"/>
    <x v="3"/>
    <n v="18"/>
    <n v="2"/>
    <x v="0"/>
    <x v="0"/>
    <s v="SMS"/>
    <n v="2.2999999999999998"/>
    <x v="20"/>
    <x v="1"/>
  </r>
  <r>
    <s v="HC-03881"/>
    <s v="P-0539"/>
    <s v="Male"/>
    <n v="34"/>
    <x v="1"/>
    <s v="Follow-up"/>
    <d v="2026-03-22T00:00:00"/>
    <d v="2026-04-18T00:00:00"/>
    <s v="Saturday"/>
    <s v="Evening"/>
    <x v="3"/>
    <n v="27"/>
    <n v="2"/>
    <x v="2"/>
    <x v="0"/>
    <s v="SMS"/>
    <n v="12.1"/>
    <x v="12"/>
    <x v="1"/>
  </r>
  <r>
    <s v="HC-03882"/>
    <s v="P-0184"/>
    <s v="Male"/>
    <n v="62"/>
    <x v="3"/>
    <s v="General Consultation"/>
    <d v="2025-05-01T00:00:00"/>
    <d v="2025-05-03T00:00:00"/>
    <s v="Saturday"/>
    <s v="Morning"/>
    <x v="1"/>
    <n v="2"/>
    <n v="6"/>
    <x v="0"/>
    <x v="1"/>
    <s v="None"/>
    <n v="6.5"/>
    <x v="4"/>
    <x v="1"/>
  </r>
  <r>
    <s v="HC-03883"/>
    <s v="P-1091"/>
    <s v="Female"/>
    <n v="77"/>
    <x v="4"/>
    <s v="Follow-up"/>
    <d v="2025-10-26T00:00:00"/>
    <d v="2025-11-11T00:00:00"/>
    <s v="Tuesday"/>
    <s v="Afternoon"/>
    <x v="3"/>
    <n v="16"/>
    <n v="4"/>
    <x v="1"/>
    <x v="1"/>
    <s v="None"/>
    <n v="12.6"/>
    <x v="35"/>
    <x v="0"/>
  </r>
  <r>
    <s v="HC-03884"/>
    <s v="P-1403"/>
    <s v="Female"/>
    <n v="49"/>
    <x v="2"/>
    <s v="Follow-up"/>
    <d v="2025-08-18T00:00:00"/>
    <d v="2025-09-06T00:00:00"/>
    <s v="Saturday"/>
    <s v="Morning"/>
    <x v="3"/>
    <n v="19"/>
    <n v="5"/>
    <x v="1"/>
    <x v="0"/>
    <s v="SMS"/>
    <n v="14.6"/>
    <x v="8"/>
    <x v="1"/>
  </r>
  <r>
    <s v="HC-03885"/>
    <s v="P-1383"/>
    <s v="Female"/>
    <n v="49"/>
    <x v="2"/>
    <s v="General Consultation"/>
    <d v="2025-03-21T00:00:00"/>
    <d v="2025-03-30T00:00:00"/>
    <s v="Sunday"/>
    <s v="Afternoon"/>
    <x v="0"/>
    <n v="9"/>
    <n v="5"/>
    <x v="1"/>
    <x v="0"/>
    <s v="SMS"/>
    <n v="10.6"/>
    <x v="20"/>
    <x v="0"/>
  </r>
  <r>
    <s v="HC-03886"/>
    <s v="P-0913"/>
    <s v="Female"/>
    <n v="52"/>
    <x v="2"/>
    <s v="General Consultation"/>
    <d v="2025-06-23T00:00:00"/>
    <d v="2025-08-15T00:00:00"/>
    <s v="Friday"/>
    <s v="Morning"/>
    <x v="2"/>
    <n v="53"/>
    <n v="3"/>
    <x v="0"/>
    <x v="0"/>
    <s v="SMS"/>
    <n v="7.1"/>
    <x v="8"/>
    <x v="1"/>
  </r>
  <r>
    <s v="HC-03887"/>
    <s v="P-0865"/>
    <s v="Male"/>
    <n v="36"/>
    <x v="0"/>
    <s v="General Consultation"/>
    <d v="2025-01-05T00:00:00"/>
    <d v="2025-02-15T00:00:00"/>
    <s v="Saturday"/>
    <s v="Morning"/>
    <x v="2"/>
    <n v="41"/>
    <n v="5"/>
    <x v="1"/>
    <x v="1"/>
    <s v="None"/>
    <n v="8.9"/>
    <x v="7"/>
    <x v="0"/>
  </r>
  <r>
    <s v="HC-03888"/>
    <s v="P-0115"/>
    <s v="Male"/>
    <n v="55"/>
    <x v="3"/>
    <s v="Specialist Consultation"/>
    <d v="2025-02-11T00:00:00"/>
    <d v="2025-04-07T00:00:00"/>
    <s v="Monday"/>
    <s v="Morning"/>
    <x v="2"/>
    <n v="55"/>
    <n v="2"/>
    <x v="2"/>
    <x v="0"/>
    <s v="WhatsApp"/>
    <n v="12.9"/>
    <x v="5"/>
    <x v="0"/>
  </r>
  <r>
    <s v="HC-03889"/>
    <s v="P-1582"/>
    <s v="Male"/>
    <n v="78"/>
    <x v="4"/>
    <s v="General Consultation"/>
    <d v="2025-02-12T00:00:00"/>
    <d v="2025-03-18T00:00:00"/>
    <s v="Tuesday"/>
    <s v="Afternoon"/>
    <x v="2"/>
    <n v="34"/>
    <n v="1"/>
    <x v="0"/>
    <x v="0"/>
    <s v="Email"/>
    <n v="14.1"/>
    <x v="0"/>
    <x v="1"/>
  </r>
  <r>
    <s v="HC-03890"/>
    <s v="P-1296"/>
    <s v="Female"/>
    <n v="42"/>
    <x v="0"/>
    <s v="General Consultation"/>
    <d v="2026-03-21T00:00:00"/>
    <d v="2026-03-27T00:00:00"/>
    <s v="Friday"/>
    <s v="Afternoon"/>
    <x v="1"/>
    <n v="6"/>
    <n v="7"/>
    <x v="0"/>
    <x v="0"/>
    <s v="SMS"/>
    <n v="4.9000000000000004"/>
    <x v="4"/>
    <x v="1"/>
  </r>
  <r>
    <s v="HC-03891"/>
    <s v="P-0631"/>
    <s v="Female"/>
    <n v="66"/>
    <x v="4"/>
    <s v="General Consultation"/>
    <d v="2025-09-12T00:00:00"/>
    <d v="2025-11-06T00:00:00"/>
    <s v="Thursday"/>
    <s v="Afternoon"/>
    <x v="2"/>
    <n v="55"/>
    <n v="5"/>
    <x v="0"/>
    <x v="0"/>
    <s v="WhatsApp"/>
    <n v="2.9"/>
    <x v="19"/>
    <x v="0"/>
  </r>
  <r>
    <s v="HC-03892"/>
    <s v="P-0875"/>
    <s v="Male"/>
    <n v="66"/>
    <x v="4"/>
    <s v="Follow-up"/>
    <d v="2026-04-24T00:00:00"/>
    <d v="2026-05-21T00:00:00"/>
    <s v="Thursday"/>
    <s v="Evening"/>
    <x v="3"/>
    <n v="27"/>
    <n v="3"/>
    <x v="0"/>
    <x v="0"/>
    <s v="WhatsApp"/>
    <n v="3.6"/>
    <x v="36"/>
    <x v="0"/>
  </r>
  <r>
    <s v="HC-03893"/>
    <s v="P-0967"/>
    <s v="Female"/>
    <n v="71"/>
    <x v="4"/>
    <s v="Specialist Consultation"/>
    <d v="2025-07-17T00:00:00"/>
    <d v="2025-08-27T00:00:00"/>
    <s v="Wednesday"/>
    <s v="Afternoon"/>
    <x v="2"/>
    <n v="41"/>
    <n v="2"/>
    <x v="1"/>
    <x v="1"/>
    <s v="None"/>
    <n v="7.4"/>
    <x v="18"/>
    <x v="1"/>
  </r>
  <r>
    <s v="HC-03894"/>
    <s v="P-0834"/>
    <s v="Female"/>
    <n v="63"/>
    <x v="3"/>
    <s v="Follow-up"/>
    <d v="2025-03-28T00:00:00"/>
    <d v="2025-04-20T00:00:00"/>
    <s v="Sunday"/>
    <s v="Evening"/>
    <x v="3"/>
    <n v="23"/>
    <n v="3"/>
    <x v="0"/>
    <x v="1"/>
    <s v="None"/>
    <n v="13.8"/>
    <x v="9"/>
    <x v="1"/>
  </r>
  <r>
    <s v="HC-03895"/>
    <s v="P-0490"/>
    <s v="Female"/>
    <n v="76"/>
    <x v="4"/>
    <s v="Specialist Consultation"/>
    <d v="2025-10-30T00:00:00"/>
    <d v="2025-11-29T00:00:00"/>
    <s v="Saturday"/>
    <s v="Morning"/>
    <x v="3"/>
    <n v="30"/>
    <n v="2"/>
    <x v="0"/>
    <x v="1"/>
    <s v="None"/>
    <n v="7.7"/>
    <x v="47"/>
    <x v="2"/>
  </r>
  <r>
    <s v="HC-03896"/>
    <s v="P-1014"/>
    <s v="Female"/>
    <n v="63"/>
    <x v="3"/>
    <s v="Follow-up"/>
    <d v="2026-04-24T00:00:00"/>
    <d v="2026-05-23T00:00:00"/>
    <s v="Saturday"/>
    <s v="Morning"/>
    <x v="3"/>
    <n v="29"/>
    <n v="5"/>
    <x v="2"/>
    <x v="0"/>
    <s v="WhatsApp"/>
    <n v="3.3"/>
    <x v="20"/>
    <x v="0"/>
  </r>
  <r>
    <s v="HC-03897"/>
    <s v="P-0408"/>
    <s v="Female"/>
    <n v="79"/>
    <x v="4"/>
    <s v="Specialist Consultation"/>
    <d v="2025-10-01T00:00:00"/>
    <d v="2025-10-18T00:00:00"/>
    <s v="Saturday"/>
    <s v="Morning"/>
    <x v="3"/>
    <n v="17"/>
    <n v="4"/>
    <x v="0"/>
    <x v="0"/>
    <s v="SMS"/>
    <n v="10.4"/>
    <x v="10"/>
    <x v="1"/>
  </r>
  <r>
    <s v="HC-03898"/>
    <s v="P-1420"/>
    <s v="Female"/>
    <n v="63"/>
    <x v="3"/>
    <s v="Specialist Consultation"/>
    <d v="2024-12-08T00:00:00"/>
    <d v="2025-01-10T00:00:00"/>
    <s v="Friday"/>
    <s v="Afternoon"/>
    <x v="2"/>
    <n v="33"/>
    <n v="5"/>
    <x v="2"/>
    <x v="0"/>
    <s v="Email"/>
    <n v="8.3000000000000007"/>
    <x v="13"/>
    <x v="0"/>
  </r>
  <r>
    <s v="HC-03899"/>
    <s v="P-1678"/>
    <s v="Male"/>
    <n v="70"/>
    <x v="4"/>
    <s v="General Consultation"/>
    <d v="2025-05-02T00:00:00"/>
    <d v="2025-06-15T00:00:00"/>
    <s v="Sunday"/>
    <s v="Afternoon"/>
    <x v="2"/>
    <n v="44"/>
    <n v="6"/>
    <x v="2"/>
    <x v="1"/>
    <s v="None"/>
    <n v="14.4"/>
    <x v="5"/>
    <x v="0"/>
  </r>
  <r>
    <s v="HC-03900"/>
    <s v="P-0254"/>
    <s v="Female"/>
    <n v="74"/>
    <x v="4"/>
    <s v="Diagnostic Test"/>
    <d v="2026-05-20T00:00:00"/>
    <d v="2026-05-21T00:00:00"/>
    <s v="Thursday"/>
    <s v="Afternoon"/>
    <x v="1"/>
    <n v="1"/>
    <n v="4"/>
    <x v="1"/>
    <x v="0"/>
    <s v="SMS"/>
    <n v="4.2"/>
    <x v="9"/>
    <x v="0"/>
  </r>
  <r>
    <s v="HC-03901"/>
    <s v="P-0063"/>
    <s v="Male"/>
    <n v="79"/>
    <x v="4"/>
    <s v="Specialist Consultation"/>
    <d v="2025-10-04T00:00:00"/>
    <d v="2025-10-11T00:00:00"/>
    <s v="Saturday"/>
    <s v="Evening"/>
    <x v="1"/>
    <n v="7"/>
    <n v="5"/>
    <x v="3"/>
    <x v="0"/>
    <s v="WhatsApp"/>
    <n v="11"/>
    <x v="10"/>
    <x v="1"/>
  </r>
  <r>
    <s v="HC-03902"/>
    <s v="P-0205"/>
    <s v="Male"/>
    <n v="55"/>
    <x v="3"/>
    <s v="Follow-up"/>
    <d v="2026-04-14T00:00:00"/>
    <d v="2026-06-04T00:00:00"/>
    <s v="Thursday"/>
    <s v="Morning"/>
    <x v="2"/>
    <n v="51"/>
    <n v="3"/>
    <x v="1"/>
    <x v="0"/>
    <s v="Email"/>
    <n v="10.199999999999999"/>
    <x v="25"/>
    <x v="0"/>
  </r>
  <r>
    <s v="HC-03903"/>
    <s v="P-0724"/>
    <s v="Male"/>
    <n v="62"/>
    <x v="3"/>
    <s v="General Consultation"/>
    <d v="2025-09-02T00:00:00"/>
    <d v="2025-10-06T00:00:00"/>
    <s v="Monday"/>
    <s v="Afternoon"/>
    <x v="2"/>
    <n v="34"/>
    <n v="2"/>
    <x v="0"/>
    <x v="0"/>
    <s v="Email"/>
    <n v="12.4"/>
    <x v="32"/>
    <x v="1"/>
  </r>
  <r>
    <s v="HC-03904"/>
    <s v="P-0309"/>
    <s v="Female"/>
    <n v="78"/>
    <x v="4"/>
    <s v="General Consultation"/>
    <d v="2024-11-09T00:00:00"/>
    <d v="2025-01-07T00:00:00"/>
    <s v="Tuesday"/>
    <s v="Afternoon"/>
    <x v="2"/>
    <n v="59"/>
    <n v="2"/>
    <x v="0"/>
    <x v="0"/>
    <s v="SMS"/>
    <n v="15.7"/>
    <x v="24"/>
    <x v="0"/>
  </r>
  <r>
    <s v="HC-03905"/>
    <s v="P-1118"/>
    <s v="Female"/>
    <n v="41"/>
    <x v="0"/>
    <s v="Follow-up"/>
    <d v="2026-03-17T00:00:00"/>
    <d v="2026-04-22T00:00:00"/>
    <s v="Wednesday"/>
    <s v="Afternoon"/>
    <x v="2"/>
    <n v="36"/>
    <n v="2"/>
    <x v="1"/>
    <x v="0"/>
    <s v="SMS"/>
    <n v="1.7"/>
    <x v="26"/>
    <x v="0"/>
  </r>
  <r>
    <s v="HC-03906"/>
    <s v="P-0550"/>
    <s v="Female"/>
    <n v="25"/>
    <x v="1"/>
    <s v="General Consultation"/>
    <d v="2026-01-13T00:00:00"/>
    <d v="2026-02-21T00:00:00"/>
    <s v="Saturday"/>
    <s v="Morning"/>
    <x v="2"/>
    <n v="39"/>
    <n v="3"/>
    <x v="1"/>
    <x v="0"/>
    <s v="SMS"/>
    <n v="5.5"/>
    <x v="26"/>
    <x v="0"/>
  </r>
  <r>
    <s v="HC-03907"/>
    <s v="P-1773"/>
    <s v="Male"/>
    <n v="73"/>
    <x v="4"/>
    <s v="Follow-up"/>
    <d v="2025-12-03T00:00:00"/>
    <d v="2026-01-26T00:00:00"/>
    <s v="Monday"/>
    <s v="Morning"/>
    <x v="2"/>
    <n v="54"/>
    <n v="4"/>
    <x v="0"/>
    <x v="0"/>
    <s v="WhatsApp"/>
    <n v="7.9"/>
    <x v="38"/>
    <x v="0"/>
  </r>
  <r>
    <s v="HC-03908"/>
    <s v="P-1351"/>
    <s v="Male"/>
    <n v="57"/>
    <x v="3"/>
    <s v="General Consultation"/>
    <d v="2026-05-05T00:00:00"/>
    <d v="2026-06-14T00:00:00"/>
    <s v="Sunday"/>
    <s v="Morning"/>
    <x v="2"/>
    <n v="40"/>
    <n v="3"/>
    <x v="1"/>
    <x v="0"/>
    <s v="SMS"/>
    <n v="5.4"/>
    <x v="17"/>
    <x v="0"/>
  </r>
  <r>
    <s v="HC-03909"/>
    <s v="P-0725"/>
    <s v="Female"/>
    <n v="44"/>
    <x v="0"/>
    <s v="Follow-up"/>
    <d v="2025-03-29T00:00:00"/>
    <d v="2025-04-18T00:00:00"/>
    <s v="Friday"/>
    <s v="Afternoon"/>
    <x v="3"/>
    <n v="20"/>
    <n v="2"/>
    <x v="0"/>
    <x v="0"/>
    <s v="SMS"/>
    <n v="9.6"/>
    <x v="14"/>
    <x v="1"/>
  </r>
  <r>
    <s v="HC-03910"/>
    <s v="P-1069"/>
    <s v="Female"/>
    <n v="63"/>
    <x v="3"/>
    <s v="General Consultation"/>
    <d v="2026-04-08T00:00:00"/>
    <d v="2026-05-10T00:00:00"/>
    <s v="Sunday"/>
    <s v="Afternoon"/>
    <x v="2"/>
    <n v="32"/>
    <n v="6"/>
    <x v="1"/>
    <x v="0"/>
    <s v="SMS"/>
    <n v="8"/>
    <x v="10"/>
    <x v="1"/>
  </r>
  <r>
    <s v="HC-03911"/>
    <s v="P-1062"/>
    <s v="Prefer not to say"/>
    <n v="20"/>
    <x v="5"/>
    <s v="General Consultation"/>
    <d v="2025-04-24T00:00:00"/>
    <d v="2025-05-08T00:00:00"/>
    <s v="Thursday"/>
    <s v="Morning"/>
    <x v="0"/>
    <n v="14"/>
    <n v="5"/>
    <x v="0"/>
    <x v="0"/>
    <s v="SMS"/>
    <n v="3.3"/>
    <x v="45"/>
    <x v="1"/>
  </r>
  <r>
    <s v="HC-03912"/>
    <s v="P-0113"/>
    <s v="Male"/>
    <n v="48"/>
    <x v="2"/>
    <s v="General Consultation"/>
    <d v="2026-05-26T00:00:00"/>
    <d v="2026-06-15T00:00:00"/>
    <s v="Monday"/>
    <s v="Afternoon"/>
    <x v="3"/>
    <n v="20"/>
    <n v="3"/>
    <x v="1"/>
    <x v="0"/>
    <s v="SMS"/>
    <n v="12.7"/>
    <x v="4"/>
    <x v="1"/>
  </r>
  <r>
    <s v="HC-03913"/>
    <s v="P-0904"/>
    <s v="Male"/>
    <n v="34"/>
    <x v="1"/>
    <s v="Specialist Consultation"/>
    <d v="2025-03-05T00:00:00"/>
    <d v="2025-04-15T00:00:00"/>
    <s v="Tuesday"/>
    <s v="Afternoon"/>
    <x v="2"/>
    <n v="41"/>
    <n v="2"/>
    <x v="1"/>
    <x v="0"/>
    <s v="WhatsApp"/>
    <n v="4"/>
    <x v="4"/>
    <x v="1"/>
  </r>
  <r>
    <s v="HC-03914"/>
    <s v="P-1478"/>
    <s v="Female"/>
    <n v="36"/>
    <x v="0"/>
    <s v="Follow-up"/>
    <d v="2025-10-19T00:00:00"/>
    <d v="2025-10-28T00:00:00"/>
    <s v="Tuesday"/>
    <s v="Evening"/>
    <x v="0"/>
    <n v="9"/>
    <n v="3"/>
    <x v="2"/>
    <x v="0"/>
    <s v="WhatsApp"/>
    <n v="9.6999999999999993"/>
    <x v="27"/>
    <x v="0"/>
  </r>
  <r>
    <s v="HC-03915"/>
    <s v="P-0211"/>
    <s v="Male"/>
    <n v="79"/>
    <x v="4"/>
    <s v="Diagnostic Test"/>
    <d v="2026-01-26T00:00:00"/>
    <d v="2026-03-07T00:00:00"/>
    <s v="Saturday"/>
    <s v="Afternoon"/>
    <x v="2"/>
    <n v="40"/>
    <n v="3"/>
    <x v="1"/>
    <x v="0"/>
    <s v="SMS"/>
    <n v="3.6"/>
    <x v="18"/>
    <x v="1"/>
  </r>
  <r>
    <s v="HC-03916"/>
    <s v="P-0082"/>
    <s v="Male"/>
    <n v="52"/>
    <x v="2"/>
    <s v="Specialist Consultation"/>
    <d v="2025-01-08T00:00:00"/>
    <d v="2025-02-12T00:00:00"/>
    <s v="Wednesday"/>
    <s v="Afternoon"/>
    <x v="2"/>
    <n v="35"/>
    <n v="0"/>
    <x v="0"/>
    <x v="0"/>
    <s v="SMS"/>
    <n v="9.6999999999999993"/>
    <x v="20"/>
    <x v="2"/>
  </r>
  <r>
    <s v="HC-03917"/>
    <s v="P-0443"/>
    <s v="Male"/>
    <n v="26"/>
    <x v="1"/>
    <s v="Specialist Consultation"/>
    <d v="2025-01-19T00:00:00"/>
    <d v="2025-02-06T00:00:00"/>
    <s v="Thursday"/>
    <s v="Afternoon"/>
    <x v="3"/>
    <n v="18"/>
    <n v="5"/>
    <x v="1"/>
    <x v="0"/>
    <s v="WhatsApp"/>
    <n v="7.9"/>
    <x v="18"/>
    <x v="0"/>
  </r>
  <r>
    <s v="HC-03918"/>
    <s v="P-0373"/>
    <s v="Male"/>
    <n v="40"/>
    <x v="0"/>
    <s v="Follow-up"/>
    <d v="2026-04-07T00:00:00"/>
    <d v="2026-04-09T00:00:00"/>
    <s v="Thursday"/>
    <s v="Afternoon"/>
    <x v="1"/>
    <n v="2"/>
    <n v="4"/>
    <x v="0"/>
    <x v="0"/>
    <s v="SMS"/>
    <n v="8.6999999999999993"/>
    <x v="4"/>
    <x v="1"/>
  </r>
  <r>
    <s v="HC-03919"/>
    <s v="P-0737"/>
    <s v="Female"/>
    <n v="33"/>
    <x v="1"/>
    <s v="Specialist Consultation"/>
    <d v="2024-12-22T00:00:00"/>
    <d v="2025-02-02T00:00:00"/>
    <s v="Sunday"/>
    <s v="Morning"/>
    <x v="2"/>
    <n v="42"/>
    <n v="3"/>
    <x v="0"/>
    <x v="0"/>
    <s v="Email"/>
    <n v="10.1"/>
    <x v="5"/>
    <x v="0"/>
  </r>
  <r>
    <s v="HC-03920"/>
    <s v="P-1599"/>
    <s v="Male"/>
    <n v="75"/>
    <x v="4"/>
    <s v="Diagnostic Test"/>
    <d v="2025-10-13T00:00:00"/>
    <d v="2025-12-02T00:00:00"/>
    <s v="Tuesday"/>
    <s v="Morning"/>
    <x v="2"/>
    <n v="50"/>
    <n v="6"/>
    <x v="2"/>
    <x v="0"/>
    <s v="SMS"/>
    <n v="14.8"/>
    <x v="31"/>
    <x v="0"/>
  </r>
  <r>
    <s v="HC-03921"/>
    <s v="P-1006"/>
    <s v="Prefer not to say"/>
    <n v="36"/>
    <x v="0"/>
    <s v="Specialist Consultation"/>
    <d v="2026-04-14T00:00:00"/>
    <d v="2026-05-28T00:00:00"/>
    <s v="Thursday"/>
    <s v="Evening"/>
    <x v="2"/>
    <n v="44"/>
    <n v="2"/>
    <x v="0"/>
    <x v="0"/>
    <s v="SMS"/>
    <n v="6.3"/>
    <x v="26"/>
    <x v="1"/>
  </r>
  <r>
    <s v="HC-03922"/>
    <s v="P-0630"/>
    <s v="Male"/>
    <n v="40"/>
    <x v="0"/>
    <s v="General Consultation"/>
    <d v="2025-11-07T00:00:00"/>
    <d v="2025-12-02T00:00:00"/>
    <s v="Tuesday"/>
    <s v="Afternoon"/>
    <x v="3"/>
    <n v="25"/>
    <n v="4"/>
    <x v="1"/>
    <x v="1"/>
    <s v="None"/>
    <n v="3.1"/>
    <x v="47"/>
    <x v="0"/>
  </r>
  <r>
    <s v="HC-03923"/>
    <s v="P-1128"/>
    <s v="Female"/>
    <n v="39"/>
    <x v="0"/>
    <s v="Follow-up"/>
    <d v="2025-08-12T00:00:00"/>
    <d v="2025-09-20T00:00:00"/>
    <s v="Saturday"/>
    <s v="Afternoon"/>
    <x v="2"/>
    <n v="39"/>
    <n v="2"/>
    <x v="1"/>
    <x v="0"/>
    <s v="SMS"/>
    <m/>
    <x v="47"/>
    <x v="0"/>
  </r>
  <r>
    <s v="HC-03924"/>
    <s v="P-0614"/>
    <s v="Male"/>
    <n v="29"/>
    <x v="1"/>
    <s v="General Consultation"/>
    <d v="2025-07-22T00:00:00"/>
    <d v="2025-08-16T00:00:00"/>
    <s v="Saturday"/>
    <s v="Afternoon"/>
    <x v="3"/>
    <n v="25"/>
    <n v="2"/>
    <x v="1"/>
    <x v="0"/>
    <s v="SMS"/>
    <n v="15"/>
    <x v="2"/>
    <x v="0"/>
  </r>
  <r>
    <s v="HC-03925"/>
    <s v="P-1387"/>
    <s v="Female"/>
    <n v="67"/>
    <x v="4"/>
    <s v="General Consultation"/>
    <d v="2025-11-24T00:00:00"/>
    <d v="2025-12-15T00:00:00"/>
    <s v="Monday"/>
    <s v="Afternoon"/>
    <x v="3"/>
    <n v="21"/>
    <n v="2"/>
    <x v="0"/>
    <x v="0"/>
    <s v="SMS"/>
    <m/>
    <x v="36"/>
    <x v="1"/>
  </r>
  <r>
    <s v="HC-03926"/>
    <s v="P-0341"/>
    <s v="Male"/>
    <n v="54"/>
    <x v="2"/>
    <s v="Follow-up"/>
    <d v="2025-10-21T00:00:00"/>
    <d v="2025-11-09T00:00:00"/>
    <s v="Sunday"/>
    <s v="Morning"/>
    <x v="3"/>
    <n v="19"/>
    <n v="3"/>
    <x v="0"/>
    <x v="0"/>
    <s v="SMS"/>
    <n v="3.1"/>
    <x v="16"/>
    <x v="0"/>
  </r>
  <r>
    <s v="HC-03927"/>
    <s v="P-0825"/>
    <s v="Female"/>
    <n v="45"/>
    <x v="2"/>
    <s v="Specialist Consultation"/>
    <d v="2025-09-19T00:00:00"/>
    <d v="2025-10-01T00:00:00"/>
    <s v="Wednesday"/>
    <s v="Morning"/>
    <x v="0"/>
    <n v="12"/>
    <n v="0"/>
    <x v="0"/>
    <x v="1"/>
    <s v="None"/>
    <n v="7.7"/>
    <x v="13"/>
    <x v="1"/>
  </r>
  <r>
    <s v="HC-03928"/>
    <s v="P-0322"/>
    <s v="Male"/>
    <n v="42"/>
    <x v="0"/>
    <s v="General Consultation"/>
    <d v="2025-01-25T00:00:00"/>
    <d v="2025-03-25T00:00:00"/>
    <s v="Tuesday"/>
    <s v="Morning"/>
    <x v="2"/>
    <n v="59"/>
    <n v="2"/>
    <x v="0"/>
    <x v="1"/>
    <s v="None"/>
    <n v="16"/>
    <x v="11"/>
    <x v="0"/>
  </r>
  <r>
    <s v="HC-03929"/>
    <s v="P-1743"/>
    <s v="Male"/>
    <n v="60"/>
    <x v="3"/>
    <s v="General Consultation"/>
    <d v="2025-11-18T00:00:00"/>
    <d v="2025-12-28T00:00:00"/>
    <s v="Sunday"/>
    <s v="Morning"/>
    <x v="2"/>
    <n v="40"/>
    <n v="0"/>
    <x v="0"/>
    <x v="0"/>
    <s v="SMS"/>
    <n v="5.7"/>
    <x v="27"/>
    <x v="0"/>
  </r>
  <r>
    <s v="HC-03930"/>
    <s v="P-0055"/>
    <s v="Female"/>
    <n v="24"/>
    <x v="5"/>
    <s v="Diagnostic Test"/>
    <d v="2026-01-29T00:00:00"/>
    <d v="2026-02-08T00:00:00"/>
    <s v="Sunday"/>
    <s v="Morning"/>
    <x v="0"/>
    <n v="10"/>
    <n v="7"/>
    <x v="1"/>
    <x v="0"/>
    <s v="SMS"/>
    <n v="7.5"/>
    <x v="16"/>
    <x v="1"/>
  </r>
  <r>
    <s v="HC-03931"/>
    <s v="P-0412"/>
    <s v="Male"/>
    <n v="76"/>
    <x v="4"/>
    <s v="General Consultation"/>
    <d v="2025-12-02T00:00:00"/>
    <d v="2026-01-23T00:00:00"/>
    <s v="Friday"/>
    <s v="Afternoon"/>
    <x v="2"/>
    <n v="52"/>
    <n v="1"/>
    <x v="0"/>
    <x v="0"/>
    <s v="SMS"/>
    <n v="5.3"/>
    <x v="8"/>
    <x v="1"/>
  </r>
  <r>
    <s v="HC-03932"/>
    <s v="P-1527"/>
    <s v="Male"/>
    <n v="53"/>
    <x v="2"/>
    <s v="General Consultation"/>
    <d v="2025-02-01T00:00:00"/>
    <d v="2025-02-10T00:00:00"/>
    <s v="Monday"/>
    <s v="Morning"/>
    <x v="0"/>
    <n v="9"/>
    <n v="3"/>
    <x v="1"/>
    <x v="0"/>
    <s v="SMS"/>
    <n v="6.4"/>
    <x v="0"/>
    <x v="1"/>
  </r>
  <r>
    <s v="HC-03933"/>
    <s v="P-0364"/>
    <s v="Female"/>
    <n v="32"/>
    <x v="1"/>
    <s v="Specialist Consultation"/>
    <d v="2025-12-14T00:00:00"/>
    <d v="2026-01-19T00:00:00"/>
    <s v="Monday"/>
    <s v="Afternoon"/>
    <x v="2"/>
    <n v="36"/>
    <n v="1"/>
    <x v="0"/>
    <x v="0"/>
    <s v="SMS"/>
    <n v="13.1"/>
    <x v="35"/>
    <x v="2"/>
  </r>
  <r>
    <s v="HC-03934"/>
    <s v="P-1316"/>
    <s v="Female"/>
    <n v="51"/>
    <x v="2"/>
    <s v="Specialist Consultation"/>
    <d v="2026-01-24T00:00:00"/>
    <d v="2026-02-03T00:00:00"/>
    <s v="Tuesday"/>
    <s v="Evening"/>
    <x v="0"/>
    <n v="10"/>
    <n v="1"/>
    <x v="1"/>
    <x v="0"/>
    <s v="WhatsApp"/>
    <n v="14.4"/>
    <x v="47"/>
    <x v="1"/>
  </r>
  <r>
    <s v="HC-03935"/>
    <s v="P-0760"/>
    <s v="Female"/>
    <n v="71"/>
    <x v="4"/>
    <s v="Follow-up"/>
    <d v="2025-03-20T00:00:00"/>
    <d v="2025-04-11T00:00:00"/>
    <s v="Friday"/>
    <s v="Morning"/>
    <x v="3"/>
    <n v="22"/>
    <n v="1"/>
    <x v="0"/>
    <x v="1"/>
    <s v="None"/>
    <n v="13.7"/>
    <x v="26"/>
    <x v="1"/>
  </r>
  <r>
    <s v="HC-03936"/>
    <s v="P-0677"/>
    <s v="Male"/>
    <n v="28"/>
    <x v="1"/>
    <s v="Follow-up"/>
    <d v="2026-02-28T00:00:00"/>
    <d v="2026-04-09T00:00:00"/>
    <s v="Thursday"/>
    <s v="Afternoon"/>
    <x v="2"/>
    <n v="40"/>
    <n v="2"/>
    <x v="0"/>
    <x v="1"/>
    <s v="None"/>
    <m/>
    <x v="10"/>
    <x v="0"/>
  </r>
  <r>
    <s v="HC-03937"/>
    <s v="P-0137"/>
    <s v="Female"/>
    <n v="51"/>
    <x v="2"/>
    <s v="General Consultation"/>
    <d v="2025-08-15T00:00:00"/>
    <d v="2025-10-14T00:00:00"/>
    <s v="Tuesday"/>
    <s v="Afternoon"/>
    <x v="2"/>
    <n v="60"/>
    <n v="2"/>
    <x v="0"/>
    <x v="0"/>
    <s v="SMS"/>
    <n v="3.8"/>
    <x v="27"/>
    <x v="0"/>
  </r>
  <r>
    <s v="HC-03938"/>
    <s v="P-1360"/>
    <s v="Female"/>
    <n v="55"/>
    <x v="3"/>
    <s v="General Consultation"/>
    <d v="2025-07-17T00:00:00"/>
    <d v="2025-09-15T00:00:00"/>
    <s v="Monday"/>
    <s v="Evening"/>
    <x v="2"/>
    <n v="60"/>
    <n v="5"/>
    <x v="1"/>
    <x v="1"/>
    <s v="None"/>
    <n v="21.9"/>
    <x v="15"/>
    <x v="0"/>
  </r>
  <r>
    <s v="HC-03939"/>
    <s v="P-1126"/>
    <s v="Female"/>
    <n v="69"/>
    <x v="4"/>
    <s v="Specialist Consultation"/>
    <d v="2025-12-07T00:00:00"/>
    <d v="2026-01-30T00:00:00"/>
    <s v="Friday"/>
    <s v="Afternoon"/>
    <x v="2"/>
    <n v="54"/>
    <n v="4"/>
    <x v="0"/>
    <x v="0"/>
    <s v="WhatsApp"/>
    <n v="20.7"/>
    <x v="7"/>
    <x v="0"/>
  </r>
  <r>
    <s v="HC-03940"/>
    <s v="P-0510"/>
    <s v="Female"/>
    <n v="53"/>
    <x v="2"/>
    <s v="Specialist Consultation"/>
    <d v="2025-09-22T00:00:00"/>
    <d v="2025-10-06T00:00:00"/>
    <s v="Monday"/>
    <s v="Morning"/>
    <x v="0"/>
    <n v="14"/>
    <n v="3"/>
    <x v="0"/>
    <x v="0"/>
    <s v="WhatsApp"/>
    <n v="7.9"/>
    <x v="14"/>
    <x v="0"/>
  </r>
  <r>
    <s v="HC-03941"/>
    <s v="P-0794"/>
    <s v="Female"/>
    <n v="64"/>
    <x v="3"/>
    <s v="General Consultation"/>
    <d v="2025-10-20T00:00:00"/>
    <d v="2025-10-25T00:00:00"/>
    <s v="Saturday"/>
    <s v="Morning"/>
    <x v="1"/>
    <n v="5"/>
    <n v="3"/>
    <x v="1"/>
    <x v="0"/>
    <s v="SMS"/>
    <n v="15.6"/>
    <x v="47"/>
    <x v="0"/>
  </r>
  <r>
    <s v="HC-03942"/>
    <s v="P-0616"/>
    <s v="Male"/>
    <n v="66"/>
    <x v="4"/>
    <s v="General Consultation"/>
    <d v="2025-04-26T00:00:00"/>
    <d v="2025-06-20T00:00:00"/>
    <s v="Friday"/>
    <s v="Evening"/>
    <x v="2"/>
    <n v="55"/>
    <n v="3"/>
    <x v="0"/>
    <x v="0"/>
    <s v="SMS"/>
    <n v="1.4"/>
    <x v="13"/>
    <x v="0"/>
  </r>
  <r>
    <s v="HC-03943"/>
    <s v="P-0619"/>
    <s v="Female"/>
    <n v="74"/>
    <x v="4"/>
    <s v="General Consultation"/>
    <d v="2026-03-27T00:00:00"/>
    <d v="2026-05-22T00:00:00"/>
    <s v="Friday"/>
    <s v="Morning"/>
    <x v="2"/>
    <n v="56"/>
    <n v="2"/>
    <x v="0"/>
    <x v="0"/>
    <s v="WhatsApp"/>
    <n v="16.600000000000001"/>
    <x v="14"/>
    <x v="1"/>
  </r>
  <r>
    <s v="HC-03944"/>
    <s v="P-1592"/>
    <s v="Male"/>
    <n v="40"/>
    <x v="0"/>
    <s v="General Consultation"/>
    <d v="2026-05-29T00:00:00"/>
    <d v="2026-06-14T00:00:00"/>
    <s v="Sunday"/>
    <s v="Afternoon"/>
    <x v="3"/>
    <n v="16"/>
    <n v="1"/>
    <x v="0"/>
    <x v="1"/>
    <s v="None"/>
    <m/>
    <x v="8"/>
    <x v="0"/>
  </r>
  <r>
    <s v="HC-03945"/>
    <s v="P-1313"/>
    <s v="Male"/>
    <n v="62"/>
    <x v="3"/>
    <s v="General Consultation"/>
    <d v="2025-03-12T00:00:00"/>
    <d v="2025-03-13T00:00:00"/>
    <s v="Thursday"/>
    <s v="Morning"/>
    <x v="1"/>
    <n v="1"/>
    <n v="2"/>
    <x v="0"/>
    <x v="1"/>
    <s v="None"/>
    <n v="4.0999999999999996"/>
    <x v="37"/>
    <x v="1"/>
  </r>
  <r>
    <s v="HC-03946"/>
    <s v="P-0404"/>
    <s v="Male"/>
    <n v="33"/>
    <x v="1"/>
    <s v="General Consultation"/>
    <d v="2025-12-28T00:00:00"/>
    <d v="2026-02-05T00:00:00"/>
    <s v="Thursday"/>
    <s v="Afternoon"/>
    <x v="2"/>
    <n v="39"/>
    <n v="3"/>
    <x v="0"/>
    <x v="0"/>
    <s v="Email"/>
    <n v="17"/>
    <x v="10"/>
    <x v="0"/>
  </r>
  <r>
    <s v="HC-03947"/>
    <s v="P-1483"/>
    <s v="Female"/>
    <n v="71"/>
    <x v="4"/>
    <s v="Specialist Consultation"/>
    <d v="2025-01-09T00:00:00"/>
    <d v="2025-01-13T00:00:00"/>
    <s v="Monday"/>
    <s v="Afternoon"/>
    <x v="1"/>
    <n v="4"/>
    <n v="2"/>
    <x v="0"/>
    <x v="0"/>
    <s v="SMS"/>
    <n v="1.7"/>
    <x v="16"/>
    <x v="1"/>
  </r>
  <r>
    <s v="HC-03948"/>
    <s v="P-1538"/>
    <s v="Male"/>
    <n v="77"/>
    <x v="4"/>
    <s v="General Consultation"/>
    <d v="2025-07-19T00:00:00"/>
    <d v="2025-07-21T00:00:00"/>
    <s v="Monday"/>
    <s v="Morning"/>
    <x v="1"/>
    <n v="2"/>
    <n v="3"/>
    <x v="0"/>
    <x v="0"/>
    <s v="WhatsApp"/>
    <n v="13.7"/>
    <x v="33"/>
    <x v="1"/>
  </r>
  <r>
    <s v="HC-03949"/>
    <s v="P-0232"/>
    <s v="Male"/>
    <n v="36"/>
    <x v="0"/>
    <s v="Follow-up"/>
    <d v="2026-04-18T00:00:00"/>
    <d v="2026-06-14T00:00:00"/>
    <s v="Sunday"/>
    <s v="Morning"/>
    <x v="2"/>
    <n v="57"/>
    <n v="2"/>
    <x v="2"/>
    <x v="0"/>
    <s v="SMS"/>
    <n v="16.899999999999999"/>
    <x v="28"/>
    <x v="0"/>
  </r>
  <r>
    <s v="HC-03950"/>
    <s v="P-0444"/>
    <s v="Male"/>
    <n v="53"/>
    <x v="2"/>
    <s v="Follow-up"/>
    <d v="2025-03-07T00:00:00"/>
    <d v="2025-04-06T00:00:00"/>
    <s v="Sunday"/>
    <s v="Morning"/>
    <x v="3"/>
    <n v="30"/>
    <n v="1"/>
    <x v="0"/>
    <x v="0"/>
    <s v="SMS"/>
    <n v="18.7"/>
    <x v="22"/>
    <x v="1"/>
  </r>
  <r>
    <s v="HC-03951"/>
    <s v="P-1651"/>
    <s v="Female"/>
    <n v="69"/>
    <x v="4"/>
    <s v="Specialist Consultation"/>
    <d v="2025-07-19T00:00:00"/>
    <d v="2025-07-25T00:00:00"/>
    <s v="Friday"/>
    <s v="Afternoon"/>
    <x v="1"/>
    <n v="6"/>
    <n v="3"/>
    <x v="1"/>
    <x v="0"/>
    <s v="WhatsApp"/>
    <n v="1.4"/>
    <x v="25"/>
    <x v="1"/>
  </r>
  <r>
    <s v="HC-03952"/>
    <s v="P-1642"/>
    <s v="Female"/>
    <n v="19"/>
    <x v="5"/>
    <s v="Diagnostic Test"/>
    <d v="2025-03-22T00:00:00"/>
    <d v="2025-04-30T00:00:00"/>
    <s v="Wednesday"/>
    <s v="Afternoon"/>
    <x v="2"/>
    <n v="39"/>
    <n v="7"/>
    <x v="2"/>
    <x v="0"/>
    <s v="Email"/>
    <n v="2.5"/>
    <x v="51"/>
    <x v="1"/>
  </r>
  <r>
    <s v="HC-03953"/>
    <s v="P-0182"/>
    <s v="Male"/>
    <n v="62"/>
    <x v="3"/>
    <s v="General Consultation"/>
    <d v="2026-01-11T00:00:00"/>
    <d v="2026-02-02T00:00:00"/>
    <s v="Monday"/>
    <s v="Morning"/>
    <x v="3"/>
    <n v="22"/>
    <n v="3"/>
    <x v="0"/>
    <x v="0"/>
    <s v="SMS"/>
    <n v="2.8"/>
    <x v="26"/>
    <x v="0"/>
  </r>
  <r>
    <s v="HC-03954"/>
    <s v="P-0411"/>
    <s v="Female"/>
    <n v="69"/>
    <x v="4"/>
    <s v="General Consultation"/>
    <d v="2025-08-10T00:00:00"/>
    <d v="2025-09-11T00:00:00"/>
    <s v="Thursday"/>
    <s v="Afternoon"/>
    <x v="2"/>
    <n v="32"/>
    <n v="2"/>
    <x v="0"/>
    <x v="1"/>
    <s v="None"/>
    <n v="12.9"/>
    <x v="15"/>
    <x v="1"/>
  </r>
  <r>
    <s v="HC-03955"/>
    <s v="P-1018"/>
    <s v="Male"/>
    <n v="72"/>
    <x v="4"/>
    <s v="Specialist Consultation"/>
    <d v="2025-09-27T00:00:00"/>
    <d v="2025-11-20T00:00:00"/>
    <s v="Thursday"/>
    <s v="Morning"/>
    <x v="2"/>
    <n v="54"/>
    <n v="3"/>
    <x v="1"/>
    <x v="0"/>
    <s v="SMS"/>
    <m/>
    <x v="12"/>
    <x v="1"/>
  </r>
  <r>
    <s v="HC-03956"/>
    <s v="P-0526"/>
    <s v="Male"/>
    <n v="30"/>
    <x v="1"/>
    <s v="General Consultation"/>
    <d v="2026-05-16T00:00:00"/>
    <d v="2026-05-30T00:00:00"/>
    <s v="Saturday"/>
    <s v="Afternoon"/>
    <x v="0"/>
    <n v="14"/>
    <n v="5"/>
    <x v="0"/>
    <x v="0"/>
    <s v="Email"/>
    <n v="11.1"/>
    <x v="5"/>
    <x v="2"/>
  </r>
  <r>
    <s v="HC-03957"/>
    <s v="P-0226"/>
    <s v="Male"/>
    <n v="65"/>
    <x v="4"/>
    <s v="General Consultation"/>
    <d v="2025-09-03T00:00:00"/>
    <d v="2025-10-12T00:00:00"/>
    <s v="Sunday"/>
    <s v="Afternoon"/>
    <x v="2"/>
    <n v="39"/>
    <n v="5"/>
    <x v="0"/>
    <x v="0"/>
    <s v="WhatsApp"/>
    <n v="5.9"/>
    <x v="25"/>
    <x v="1"/>
  </r>
  <r>
    <s v="HC-03958"/>
    <s v="P-0995"/>
    <s v="Prefer not to say"/>
    <n v="67"/>
    <x v="4"/>
    <s v="General Consultation"/>
    <d v="2025-12-17T00:00:00"/>
    <d v="2026-02-05T00:00:00"/>
    <s v="Thursday"/>
    <s v="Evening"/>
    <x v="2"/>
    <n v="50"/>
    <n v="2"/>
    <x v="0"/>
    <x v="1"/>
    <s v="None"/>
    <n v="20"/>
    <x v="47"/>
    <x v="0"/>
  </r>
  <r>
    <s v="HC-03959"/>
    <s v="P-0731"/>
    <s v="Male"/>
    <n v="18"/>
    <x v="5"/>
    <s v="Diagnostic Test"/>
    <d v="2025-01-29T00:00:00"/>
    <d v="2025-02-23T00:00:00"/>
    <s v="Sunday"/>
    <s v="Evening"/>
    <x v="3"/>
    <n v="25"/>
    <n v="4"/>
    <x v="0"/>
    <x v="0"/>
    <s v="WhatsApp"/>
    <n v="20.5"/>
    <x v="6"/>
    <x v="0"/>
  </r>
  <r>
    <s v="HC-03960"/>
    <s v="P-0361"/>
    <s v="Female"/>
    <n v="62"/>
    <x v="3"/>
    <s v="General Consultation"/>
    <d v="2025-02-28T00:00:00"/>
    <d v="2025-04-28T00:00:00"/>
    <s v="Monday"/>
    <s v="Morning"/>
    <x v="2"/>
    <n v="59"/>
    <n v="4"/>
    <x v="0"/>
    <x v="0"/>
    <s v="Email"/>
    <n v="22.6"/>
    <x v="11"/>
    <x v="0"/>
  </r>
  <r>
    <s v="HC-03961"/>
    <s v="P-0497"/>
    <s v="Female"/>
    <n v="57"/>
    <x v="3"/>
    <s v="Follow-up"/>
    <d v="2026-05-05T00:00:00"/>
    <d v="2026-06-01T00:00:00"/>
    <s v="Monday"/>
    <s v="Morning"/>
    <x v="3"/>
    <n v="27"/>
    <n v="2"/>
    <x v="0"/>
    <x v="1"/>
    <s v="None"/>
    <n v="4.0999999999999996"/>
    <x v="22"/>
    <x v="0"/>
  </r>
  <r>
    <s v="HC-03962"/>
    <s v="P-0046"/>
    <s v="Male"/>
    <n v="79"/>
    <x v="4"/>
    <s v="Follow-up"/>
    <d v="2026-03-18T00:00:00"/>
    <d v="2026-04-15T00:00:00"/>
    <s v="Wednesday"/>
    <s v="Evening"/>
    <x v="3"/>
    <n v="28"/>
    <n v="1"/>
    <x v="0"/>
    <x v="0"/>
    <s v="SMS"/>
    <n v="3.1"/>
    <x v="7"/>
    <x v="1"/>
  </r>
  <r>
    <s v="HC-03963"/>
    <s v="P-1660"/>
    <s v="Female"/>
    <n v="20"/>
    <x v="5"/>
    <s v="Follow-up"/>
    <d v="2025-11-02T00:00:00"/>
    <d v="2025-12-25T00:00:00"/>
    <s v="Thursday"/>
    <s v="Morning"/>
    <x v="2"/>
    <n v="53"/>
    <n v="3"/>
    <x v="0"/>
    <x v="0"/>
    <s v="SMS"/>
    <n v="2.2000000000000002"/>
    <x v="7"/>
    <x v="2"/>
  </r>
  <r>
    <s v="HC-03964"/>
    <s v="P-0543"/>
    <s v="Male"/>
    <n v="78"/>
    <x v="4"/>
    <s v="General Consultation"/>
    <d v="2025-06-18T00:00:00"/>
    <d v="2025-07-26T00:00:00"/>
    <s v="Saturday"/>
    <s v="Morning"/>
    <x v="2"/>
    <n v="38"/>
    <n v="2"/>
    <x v="1"/>
    <x v="0"/>
    <s v="SMS"/>
    <n v="3.1"/>
    <x v="23"/>
    <x v="0"/>
  </r>
  <r>
    <s v="HC-03965"/>
    <s v="P-1339"/>
    <s v="Female"/>
    <n v="53"/>
    <x v="2"/>
    <s v="Specialist Consultation"/>
    <d v="2025-02-27T00:00:00"/>
    <d v="2025-04-20T00:00:00"/>
    <s v="Sunday"/>
    <s v="Morning"/>
    <x v="2"/>
    <n v="52"/>
    <n v="1"/>
    <x v="0"/>
    <x v="0"/>
    <s v="SMS"/>
    <n v="1.6"/>
    <x v="11"/>
    <x v="0"/>
  </r>
  <r>
    <s v="HC-03966"/>
    <s v="P-0777"/>
    <s v="Female"/>
    <n v="35"/>
    <x v="0"/>
    <s v="Specialist Consultation"/>
    <d v="2026-02-22T00:00:00"/>
    <d v="2026-04-11T00:00:00"/>
    <s v="Saturday"/>
    <s v="Afternoon"/>
    <x v="2"/>
    <n v="48"/>
    <n v="0"/>
    <x v="0"/>
    <x v="0"/>
    <s v="WhatsApp"/>
    <n v="15.5"/>
    <x v="14"/>
    <x v="0"/>
  </r>
  <r>
    <s v="HC-03967"/>
    <s v="P-1681"/>
    <s v="Male"/>
    <n v="42"/>
    <x v="0"/>
    <s v="Follow-up"/>
    <d v="2026-01-21T00:00:00"/>
    <d v="2026-03-05T00:00:00"/>
    <s v="Thursday"/>
    <s v="Afternoon"/>
    <x v="2"/>
    <n v="43"/>
    <n v="6"/>
    <x v="2"/>
    <x v="1"/>
    <s v="None"/>
    <n v="10.9"/>
    <x v="24"/>
    <x v="0"/>
  </r>
  <r>
    <s v="HC-03968"/>
    <s v="P-0023"/>
    <s v="Male"/>
    <n v="66"/>
    <x v="4"/>
    <s v="General Consultation"/>
    <d v="2025-04-28T00:00:00"/>
    <d v="2025-05-12T00:00:00"/>
    <s v="Monday"/>
    <s v="Evening"/>
    <x v="0"/>
    <n v="14"/>
    <n v="5"/>
    <x v="1"/>
    <x v="0"/>
    <s v="SMS"/>
    <n v="43"/>
    <x v="27"/>
    <x v="1"/>
  </r>
  <r>
    <s v="HC-03969"/>
    <s v="P-0192"/>
    <s v="Male"/>
    <n v="80"/>
    <x v="4"/>
    <s v="Specialist Consultation"/>
    <d v="2025-10-26T00:00:00"/>
    <d v="2025-11-19T00:00:00"/>
    <s v="Wednesday"/>
    <s v="Morning"/>
    <x v="3"/>
    <n v="24"/>
    <n v="4"/>
    <x v="0"/>
    <x v="0"/>
    <s v="WhatsApp"/>
    <n v="8.4"/>
    <x v="22"/>
    <x v="1"/>
  </r>
  <r>
    <s v="HC-03970"/>
    <s v="P-1415"/>
    <s v="Female"/>
    <n v="37"/>
    <x v="0"/>
    <s v="Specialist Consultation"/>
    <d v="2025-10-13T00:00:00"/>
    <d v="2025-12-04T00:00:00"/>
    <s v="Thursday"/>
    <s v="Morning"/>
    <x v="2"/>
    <n v="52"/>
    <n v="4"/>
    <x v="0"/>
    <x v="0"/>
    <s v="Email"/>
    <n v="9.1"/>
    <x v="4"/>
    <x v="0"/>
  </r>
  <r>
    <s v="HC-03971"/>
    <s v="P-0895"/>
    <s v="Female"/>
    <n v="79"/>
    <x v="4"/>
    <s v="General Consultation"/>
    <d v="2025-08-12T00:00:00"/>
    <d v="2025-09-18T00:00:00"/>
    <s v="Thursday"/>
    <s v="Morning"/>
    <x v="2"/>
    <n v="37"/>
    <n v="4"/>
    <x v="0"/>
    <x v="1"/>
    <s v="None"/>
    <n v="17.3"/>
    <x v="48"/>
    <x v="1"/>
  </r>
  <r>
    <s v="HC-03972"/>
    <s v="P-0503"/>
    <s v="Male"/>
    <n v="57"/>
    <x v="3"/>
    <s v="General Consultation"/>
    <d v="2026-05-04T00:00:00"/>
    <d v="2026-05-21T00:00:00"/>
    <s v="Thursday"/>
    <s v="Afternoon"/>
    <x v="3"/>
    <n v="17"/>
    <n v="2"/>
    <x v="0"/>
    <x v="0"/>
    <s v="SMS"/>
    <n v="6.4"/>
    <x v="45"/>
    <x v="0"/>
  </r>
  <r>
    <s v="HC-03973"/>
    <s v="P-0517"/>
    <s v="Male"/>
    <n v="30"/>
    <x v="1"/>
    <s v="General Consultation"/>
    <d v="2025-02-18T00:00:00"/>
    <d v="2025-03-09T00:00:00"/>
    <s v="Sunday"/>
    <s v="Morning"/>
    <x v="3"/>
    <n v="19"/>
    <n v="4"/>
    <x v="1"/>
    <x v="0"/>
    <s v="WhatsApp"/>
    <n v="4.2"/>
    <x v="52"/>
    <x v="1"/>
  </r>
  <r>
    <s v="HC-03974"/>
    <s v="P-0317"/>
    <s v="Female"/>
    <n v="55"/>
    <x v="3"/>
    <s v="General Consultation"/>
    <d v="2025-04-04T00:00:00"/>
    <d v="2025-05-21T00:00:00"/>
    <s v="Wednesday"/>
    <s v="Evening"/>
    <x v="2"/>
    <n v="47"/>
    <n v="4"/>
    <x v="1"/>
    <x v="0"/>
    <s v="SMS"/>
    <n v="10.5"/>
    <x v="6"/>
    <x v="0"/>
  </r>
  <r>
    <s v="HC-03975"/>
    <s v="P-1542"/>
    <s v="Male"/>
    <n v="68"/>
    <x v="4"/>
    <s v="General Consultation"/>
    <d v="2025-02-11T00:00:00"/>
    <d v="2025-02-21T00:00:00"/>
    <s v="Friday"/>
    <s v="Afternoon"/>
    <x v="0"/>
    <n v="10"/>
    <n v="3"/>
    <x v="0"/>
    <x v="1"/>
    <s v="None"/>
    <n v="7.9"/>
    <x v="33"/>
    <x v="1"/>
  </r>
  <r>
    <s v="HC-03976"/>
    <s v="P-1128"/>
    <s v="Female"/>
    <n v="21"/>
    <x v="5"/>
    <s v="General Consultation"/>
    <d v="2026-01-08T00:00:00"/>
    <d v="2026-01-14T00:00:00"/>
    <s v="Wednesday"/>
    <s v="Afternoon"/>
    <x v="1"/>
    <n v="6"/>
    <n v="4"/>
    <x v="2"/>
    <x v="0"/>
    <s v="Email"/>
    <n v="10.3"/>
    <x v="42"/>
    <x v="1"/>
  </r>
  <r>
    <s v="HC-03977"/>
    <s v="P-1230"/>
    <s v="Male"/>
    <n v="22"/>
    <x v="5"/>
    <s v="General Consultation"/>
    <d v="2025-11-02T00:00:00"/>
    <d v="2025-12-18T00:00:00"/>
    <s v="Thursday"/>
    <s v="Afternoon"/>
    <x v="2"/>
    <n v="46"/>
    <n v="5"/>
    <x v="2"/>
    <x v="0"/>
    <s v="SMS"/>
    <n v="22.7"/>
    <x v="52"/>
    <x v="0"/>
  </r>
  <r>
    <s v="HC-03978"/>
    <s v="P-1580"/>
    <s v="Female"/>
    <n v="18"/>
    <x v="5"/>
    <s v="Specialist Consultation"/>
    <d v="2026-06-07T00:00:00"/>
    <d v="2026-06-24T00:00:00"/>
    <s v="Wednesday"/>
    <s v="Afternoon"/>
    <x v="3"/>
    <n v="17"/>
    <n v="1"/>
    <x v="0"/>
    <x v="0"/>
    <s v="SMS"/>
    <n v="5"/>
    <x v="22"/>
    <x v="0"/>
  </r>
  <r>
    <s v="HC-03979"/>
    <s v="P-0321"/>
    <s v="Prefer not to say"/>
    <n v="53"/>
    <x v="2"/>
    <s v="Specialist Consultation"/>
    <d v="2025-09-08T00:00:00"/>
    <d v="2025-10-24T00:00:00"/>
    <s v="Friday"/>
    <s v="Afternoon"/>
    <x v="2"/>
    <n v="46"/>
    <n v="2"/>
    <x v="1"/>
    <x v="1"/>
    <s v="None"/>
    <n v="5.0999999999999996"/>
    <x v="47"/>
    <x v="0"/>
  </r>
  <r>
    <s v="HC-03980"/>
    <s v="P-0813"/>
    <s v="Female"/>
    <n v="21"/>
    <x v="5"/>
    <s v="Specialist Consultation"/>
    <d v="2025-02-20T00:00:00"/>
    <d v="2025-03-24T00:00:00"/>
    <s v="Monday"/>
    <s v="Morning"/>
    <x v="2"/>
    <n v="32"/>
    <n v="3"/>
    <x v="0"/>
    <x v="0"/>
    <s v="WhatsApp"/>
    <n v="14.5"/>
    <x v="27"/>
    <x v="0"/>
  </r>
  <r>
    <s v="HC-03981"/>
    <s v="P-0940"/>
    <s v="Male"/>
    <n v="76"/>
    <x v="4"/>
    <s v="Follow-up"/>
    <d v="2025-07-06T00:00:00"/>
    <d v="2025-09-04T00:00:00"/>
    <s v="Thursday"/>
    <s v="Afternoon"/>
    <x v="2"/>
    <n v="60"/>
    <n v="5"/>
    <x v="1"/>
    <x v="1"/>
    <s v="None"/>
    <n v="5.2"/>
    <x v="4"/>
    <x v="0"/>
  </r>
  <r>
    <s v="HC-03982"/>
    <s v="P-0767"/>
    <s v="Male"/>
    <n v="26"/>
    <x v="1"/>
    <s v="Follow-up"/>
    <d v="2025-01-17T00:00:00"/>
    <d v="2025-02-18T00:00:00"/>
    <s v="Tuesday"/>
    <s v="Afternoon"/>
    <x v="2"/>
    <n v="32"/>
    <n v="2"/>
    <x v="1"/>
    <x v="0"/>
    <s v="SMS"/>
    <n v="38.4"/>
    <x v="25"/>
    <x v="0"/>
  </r>
  <r>
    <s v="HC-03983"/>
    <s v="P-0583"/>
    <s v="Female"/>
    <n v="22"/>
    <x v="5"/>
    <s v="General Consultation"/>
    <d v="2025-11-11T00:00:00"/>
    <d v="2026-01-02T00:00:00"/>
    <s v="Friday"/>
    <s v="Afternoon"/>
    <x v="2"/>
    <n v="52"/>
    <n v="4"/>
    <x v="0"/>
    <x v="0"/>
    <s v="SMS"/>
    <n v="7.6"/>
    <x v="15"/>
    <x v="0"/>
  </r>
  <r>
    <s v="HC-03984"/>
    <s v="P-0895"/>
    <s v="Female"/>
    <n v="34"/>
    <x v="1"/>
    <s v="Follow-up"/>
    <d v="2025-11-14T00:00:00"/>
    <d v="2026-01-04T00:00:00"/>
    <s v="Sunday"/>
    <s v="Morning"/>
    <x v="2"/>
    <n v="51"/>
    <n v="5"/>
    <x v="1"/>
    <x v="0"/>
    <s v="SMS"/>
    <n v="10.9"/>
    <x v="51"/>
    <x v="0"/>
  </r>
  <r>
    <s v="HC-03985"/>
    <s v="P-1468"/>
    <s v="Male"/>
    <n v="66"/>
    <x v="4"/>
    <s v="General Consultation"/>
    <d v="2026-04-02T00:00:00"/>
    <d v="2026-04-14T00:00:00"/>
    <s v="Tuesday"/>
    <s v="Evening"/>
    <x v="0"/>
    <n v="12"/>
    <n v="2"/>
    <x v="0"/>
    <x v="0"/>
    <s v="Email"/>
    <n v="17.399999999999999"/>
    <x v="7"/>
    <x v="1"/>
  </r>
  <r>
    <s v="HC-03986"/>
    <s v="P-0285"/>
    <s v="Male"/>
    <n v="75"/>
    <x v="4"/>
    <s v="Follow-up"/>
    <d v="2025-05-06T00:00:00"/>
    <d v="2025-07-05T00:00:00"/>
    <s v="Saturday"/>
    <s v="Evening"/>
    <x v="2"/>
    <n v="60"/>
    <n v="2"/>
    <x v="0"/>
    <x v="0"/>
    <s v="SMS"/>
    <n v="9.4"/>
    <x v="4"/>
    <x v="0"/>
  </r>
  <r>
    <s v="HC-03987"/>
    <s v="P-1573"/>
    <s v="Male"/>
    <n v="33"/>
    <x v="1"/>
    <s v="Diagnostic Test"/>
    <d v="2025-05-05T00:00:00"/>
    <d v="2025-06-19T00:00:00"/>
    <s v="Thursday"/>
    <s v="Afternoon"/>
    <x v="2"/>
    <n v="45"/>
    <n v="4"/>
    <x v="1"/>
    <x v="0"/>
    <s v="Email"/>
    <n v="7.9"/>
    <x v="2"/>
    <x v="1"/>
  </r>
  <r>
    <s v="HC-03988"/>
    <s v="P-0559"/>
    <s v="Male"/>
    <n v="50"/>
    <x v="2"/>
    <s v="Specialist Consultation"/>
    <d v="2025-02-02T00:00:00"/>
    <d v="2025-02-08T00:00:00"/>
    <s v="Saturday"/>
    <s v="Evening"/>
    <x v="1"/>
    <n v="6"/>
    <n v="0"/>
    <x v="0"/>
    <x v="0"/>
    <s v="WhatsApp"/>
    <n v="16"/>
    <x v="12"/>
    <x v="0"/>
  </r>
  <r>
    <s v="HC-03989"/>
    <s v="P-0153"/>
    <s v="Female"/>
    <n v="66"/>
    <x v="4"/>
    <s v="General Consultation"/>
    <d v="2025-08-15T00:00:00"/>
    <d v="2025-08-15T00:00:00"/>
    <s v="Friday"/>
    <s v="Afternoon"/>
    <x v="1"/>
    <n v="0"/>
    <n v="4"/>
    <x v="0"/>
    <x v="0"/>
    <s v="SMS"/>
    <n v="4.8"/>
    <x v="19"/>
    <x v="1"/>
  </r>
  <r>
    <s v="HC-03990"/>
    <s v="P-0820"/>
    <s v="Male"/>
    <n v="68"/>
    <x v="4"/>
    <s v="Specialist Consultation"/>
    <d v="2025-09-01T00:00:00"/>
    <d v="2025-09-17T00:00:00"/>
    <s v="Wednesday"/>
    <s v="Morning"/>
    <x v="3"/>
    <n v="16"/>
    <n v="5"/>
    <x v="0"/>
    <x v="0"/>
    <s v="SMS"/>
    <n v="10.6"/>
    <x v="0"/>
    <x v="1"/>
  </r>
  <r>
    <s v="HC-03991"/>
    <s v="P-1091"/>
    <s v="Female"/>
    <n v="27"/>
    <x v="1"/>
    <s v="General Consultation"/>
    <d v="2026-02-16T00:00:00"/>
    <d v="2026-02-16T00:00:00"/>
    <s v="Monday"/>
    <s v="Afternoon"/>
    <x v="1"/>
    <n v="0"/>
    <n v="3"/>
    <x v="1"/>
    <x v="0"/>
    <s v="SMS"/>
    <n v="4"/>
    <x v="46"/>
    <x v="0"/>
  </r>
  <r>
    <s v="HC-03992"/>
    <s v="P-1791"/>
    <s v="Male"/>
    <n v="70"/>
    <x v="4"/>
    <s v="General Consultation"/>
    <d v="2026-01-26T00:00:00"/>
    <d v="2026-02-16T00:00:00"/>
    <s v="Monday"/>
    <s v="Morning"/>
    <x v="3"/>
    <n v="21"/>
    <n v="2"/>
    <x v="0"/>
    <x v="0"/>
    <s v="SMS"/>
    <n v="15.1"/>
    <x v="17"/>
    <x v="0"/>
  </r>
  <r>
    <s v="HC-03993"/>
    <s v="P-1391"/>
    <s v="Male"/>
    <n v="72"/>
    <x v="4"/>
    <s v="General Consultation"/>
    <d v="2025-01-17T00:00:00"/>
    <d v="2025-03-18T00:00:00"/>
    <s v="Tuesday"/>
    <s v="Afternoon"/>
    <x v="2"/>
    <n v="60"/>
    <n v="4"/>
    <x v="1"/>
    <x v="1"/>
    <s v="None"/>
    <n v="7.5"/>
    <x v="26"/>
    <x v="0"/>
  </r>
  <r>
    <s v="HC-03994"/>
    <s v="P-0702"/>
    <s v="Male"/>
    <n v="64"/>
    <x v="3"/>
    <s v="General Consultation"/>
    <d v="2025-05-07T00:00:00"/>
    <d v="2025-06-05T00:00:00"/>
    <s v="Thursday"/>
    <s v="Afternoon"/>
    <x v="3"/>
    <n v="29"/>
    <n v="3"/>
    <x v="0"/>
    <x v="0"/>
    <s v="SMS"/>
    <n v="10.8"/>
    <x v="8"/>
    <x v="0"/>
  </r>
  <r>
    <s v="HC-03995"/>
    <s v="P-0065"/>
    <s v="Female"/>
    <n v="51"/>
    <x v="2"/>
    <s v="Follow-up"/>
    <d v="2025-10-06T00:00:00"/>
    <d v="2025-10-07T00:00:00"/>
    <s v="Tuesday"/>
    <s v="Morning"/>
    <x v="1"/>
    <n v="1"/>
    <n v="1"/>
    <x v="0"/>
    <x v="0"/>
    <s v="Email"/>
    <n v="18.3"/>
    <x v="21"/>
    <x v="1"/>
  </r>
  <r>
    <s v="HC-03996"/>
    <s v="P-0091"/>
    <s v="Female"/>
    <n v="42"/>
    <x v="0"/>
    <s v="General Consultation"/>
    <d v="2025-06-02T00:00:00"/>
    <d v="2025-07-02T00:00:00"/>
    <s v="Wednesday"/>
    <s v="Morning"/>
    <x v="3"/>
    <n v="30"/>
    <n v="2"/>
    <x v="0"/>
    <x v="0"/>
    <s v="SMS"/>
    <n v="4.4000000000000004"/>
    <x v="47"/>
    <x v="0"/>
  </r>
  <r>
    <s v="HC-03997"/>
    <s v="P-1375"/>
    <s v="Male"/>
    <n v="74"/>
    <x v="4"/>
    <s v="General Consultation"/>
    <d v="2025-01-01T00:00:00"/>
    <d v="2025-01-14T00:00:00"/>
    <s v="Tuesday"/>
    <s v="Afternoon"/>
    <x v="0"/>
    <n v="13"/>
    <n v="1"/>
    <x v="0"/>
    <x v="1"/>
    <s v="None"/>
    <n v="12"/>
    <x v="3"/>
    <x v="1"/>
  </r>
  <r>
    <s v="HC-03998"/>
    <s v="P-0462"/>
    <s v="Female"/>
    <n v="72"/>
    <x v="4"/>
    <s v="Diagnostic Test"/>
    <d v="2026-02-14T00:00:00"/>
    <d v="2026-04-07T00:00:00"/>
    <s v="Tuesday"/>
    <s v="Afternoon"/>
    <x v="2"/>
    <n v="52"/>
    <n v="5"/>
    <x v="1"/>
    <x v="0"/>
    <s v="SMS"/>
    <n v="15.3"/>
    <x v="18"/>
    <x v="0"/>
  </r>
  <r>
    <s v="HC-03999"/>
    <s v="P-1017"/>
    <s v="Male"/>
    <n v="50"/>
    <x v="2"/>
    <s v="Follow-up"/>
    <d v="2026-01-30T00:00:00"/>
    <d v="2026-02-04T00:00:00"/>
    <s v="Wednesday"/>
    <s v="Evening"/>
    <x v="1"/>
    <n v="5"/>
    <n v="2"/>
    <x v="1"/>
    <x v="0"/>
    <s v="WhatsApp"/>
    <n v="14"/>
    <x v="28"/>
    <x v="0"/>
  </r>
  <r>
    <s v="HC-04000"/>
    <s v="P-1673"/>
    <s v="Male"/>
    <n v="64"/>
    <x v="3"/>
    <s v="General Consultation"/>
    <d v="2025-08-25T00:00:00"/>
    <d v="2025-10-11T00:00:00"/>
    <s v="Saturday"/>
    <s v="Morning"/>
    <x v="2"/>
    <n v="47"/>
    <n v="4"/>
    <x v="2"/>
    <x v="0"/>
    <s v="WhatsApp"/>
    <n v="7.4"/>
    <x v="12"/>
    <x v="0"/>
  </r>
  <r>
    <s v="HC-04001"/>
    <s v="P-0538"/>
    <s v="Female"/>
    <n v="43"/>
    <x v="0"/>
    <s v="Follow-up"/>
    <d v="2025-05-27T00:00:00"/>
    <d v="2025-06-23T00:00:00"/>
    <s v="Monday"/>
    <s v="Afternoon"/>
    <x v="3"/>
    <n v="27"/>
    <n v="2"/>
    <x v="1"/>
    <x v="1"/>
    <s v="None"/>
    <n v="2.8"/>
    <x v="35"/>
    <x v="1"/>
  </r>
  <r>
    <s v="HC-04002"/>
    <s v="P-1513"/>
    <s v="Female"/>
    <n v="64"/>
    <x v="3"/>
    <s v="Follow-up"/>
    <d v="2026-04-05T00:00:00"/>
    <d v="2026-04-06T00:00:00"/>
    <s v="Monday"/>
    <s v="Morning"/>
    <x v="1"/>
    <n v="1"/>
    <n v="5"/>
    <x v="2"/>
    <x v="0"/>
    <s v="Email"/>
    <n v="18.7"/>
    <x v="9"/>
    <x v="0"/>
  </r>
  <r>
    <s v="HC-04003"/>
    <s v="P-0579"/>
    <s v="Male"/>
    <n v="23"/>
    <x v="5"/>
    <s v="Follow-up"/>
    <d v="2024-12-10T00:00:00"/>
    <d v="2025-01-20T00:00:00"/>
    <s v="Monday"/>
    <s v="Morning"/>
    <x v="2"/>
    <n v="41"/>
    <n v="1"/>
    <x v="0"/>
    <x v="0"/>
    <s v="SMS"/>
    <n v="2.8"/>
    <x v="35"/>
    <x v="0"/>
  </r>
  <r>
    <s v="HC-04004"/>
    <s v="P-1120"/>
    <s v="Male"/>
    <n v="74"/>
    <x v="4"/>
    <s v="Follow-up"/>
    <d v="2025-08-05T00:00:00"/>
    <d v="2025-09-01T00:00:00"/>
    <s v="Monday"/>
    <s v="Afternoon"/>
    <x v="3"/>
    <n v="27"/>
    <n v="1"/>
    <x v="0"/>
    <x v="0"/>
    <s v="SMS"/>
    <n v="2.2999999999999998"/>
    <x v="14"/>
    <x v="0"/>
  </r>
  <r>
    <s v="HC-04005"/>
    <s v="P-0102"/>
    <s v="Female"/>
    <n v="50"/>
    <x v="2"/>
    <s v="Diagnostic Test"/>
    <d v="2026-01-26T00:00:00"/>
    <d v="2026-03-14T00:00:00"/>
    <s v="Saturday"/>
    <s v="Morning"/>
    <x v="2"/>
    <n v="47"/>
    <n v="2"/>
    <x v="1"/>
    <x v="0"/>
    <s v="SMS"/>
    <n v="8.6"/>
    <x v="13"/>
    <x v="0"/>
  </r>
  <r>
    <s v="HC-04006"/>
    <s v="P-0963"/>
    <s v="Female"/>
    <n v="55"/>
    <x v="3"/>
    <s v="General Consultation"/>
    <d v="2026-04-29T00:00:00"/>
    <d v="2026-06-05T00:00:00"/>
    <s v="Friday"/>
    <s v="Afternoon"/>
    <x v="2"/>
    <n v="37"/>
    <n v="4"/>
    <x v="1"/>
    <x v="0"/>
    <s v="SMS"/>
    <n v="5.4"/>
    <x v="13"/>
    <x v="0"/>
  </r>
  <r>
    <s v="HC-04007"/>
    <s v="P-1279"/>
    <s v="Female"/>
    <n v="29"/>
    <x v="1"/>
    <s v="Follow-up"/>
    <d v="2025-03-31T00:00:00"/>
    <d v="2025-05-18T00:00:00"/>
    <s v="Sunday"/>
    <s v="Morning"/>
    <x v="2"/>
    <n v="48"/>
    <n v="3"/>
    <x v="1"/>
    <x v="0"/>
    <s v="WhatsApp"/>
    <n v="11.3"/>
    <x v="49"/>
    <x v="1"/>
  </r>
  <r>
    <s v="HC-04008"/>
    <s v="P-1153"/>
    <s v="Male"/>
    <n v="51"/>
    <x v="2"/>
    <s v="General Consultation"/>
    <d v="2025-11-24T00:00:00"/>
    <d v="2025-12-22T00:00:00"/>
    <s v="Monday"/>
    <s v="Morning"/>
    <x v="3"/>
    <n v="28"/>
    <n v="3"/>
    <x v="0"/>
    <x v="1"/>
    <s v="None"/>
    <n v="14.6"/>
    <x v="27"/>
    <x v="2"/>
  </r>
  <r>
    <s v="HC-04009"/>
    <s v="P-1648"/>
    <s v="Male"/>
    <n v="18"/>
    <x v="5"/>
    <s v="Specialist Consultation"/>
    <d v="2025-04-14T00:00:00"/>
    <d v="2025-04-14T00:00:00"/>
    <s v="Monday"/>
    <s v="Afternoon"/>
    <x v="1"/>
    <n v="0"/>
    <n v="4"/>
    <x v="0"/>
    <x v="0"/>
    <s v="WhatsApp"/>
    <n v="7.4"/>
    <x v="14"/>
    <x v="0"/>
  </r>
  <r>
    <s v="HC-04010"/>
    <s v="P-1732"/>
    <s v="Male"/>
    <n v="74"/>
    <x v="4"/>
    <s v="General Consultation"/>
    <d v="2025-02-26T00:00:00"/>
    <d v="2025-03-05T00:00:00"/>
    <s v="Wednesday"/>
    <s v="Morning"/>
    <x v="1"/>
    <n v="7"/>
    <n v="4"/>
    <x v="1"/>
    <x v="0"/>
    <s v="WhatsApp"/>
    <n v="30.2"/>
    <x v="47"/>
    <x v="0"/>
  </r>
  <r>
    <s v="HC-04011"/>
    <s v="P-1009"/>
    <s v="Male"/>
    <n v="65"/>
    <x v="4"/>
    <s v="General Consultation"/>
    <d v="2025-06-15T00:00:00"/>
    <d v="2025-07-12T00:00:00"/>
    <s v="Saturday"/>
    <s v="Morning"/>
    <x v="3"/>
    <n v="27"/>
    <n v="2"/>
    <x v="0"/>
    <x v="0"/>
    <s v="SMS"/>
    <n v="4.5999999999999996"/>
    <x v="31"/>
    <x v="1"/>
  </r>
  <r>
    <s v="HC-04012"/>
    <s v="P-0792"/>
    <s v="Male"/>
    <n v="46"/>
    <x v="2"/>
    <s v="Diagnostic Test"/>
    <d v="2026-04-05T00:00:00"/>
    <d v="2026-04-29T00:00:00"/>
    <s v="Wednesday"/>
    <s v="Morning"/>
    <x v="3"/>
    <n v="24"/>
    <n v="1"/>
    <x v="0"/>
    <x v="0"/>
    <s v="Email"/>
    <n v="2"/>
    <x v="15"/>
    <x v="1"/>
  </r>
  <r>
    <s v="HC-04013"/>
    <s v="P-0068"/>
    <s v="Male"/>
    <n v="70"/>
    <x v="4"/>
    <s v="Follow-up"/>
    <d v="2025-11-25T00:00:00"/>
    <d v="2026-01-12T00:00:00"/>
    <s v="Monday"/>
    <s v="Morning"/>
    <x v="2"/>
    <n v="48"/>
    <n v="8"/>
    <x v="4"/>
    <x v="0"/>
    <s v="WhatsApp"/>
    <n v="8.4"/>
    <x v="25"/>
    <x v="0"/>
  </r>
  <r>
    <s v="HC-04014"/>
    <s v="P-1440"/>
    <s v="Female"/>
    <n v="69"/>
    <x v="4"/>
    <s v="General Consultation"/>
    <d v="2025-08-31T00:00:00"/>
    <d v="2025-09-25T00:00:00"/>
    <s v="Thursday"/>
    <s v="Afternoon"/>
    <x v="3"/>
    <n v="25"/>
    <n v="2"/>
    <x v="2"/>
    <x v="0"/>
    <s v="SMS"/>
    <n v="9"/>
    <x v="18"/>
    <x v="0"/>
  </r>
  <r>
    <s v="HC-04015"/>
    <s v="P-0334"/>
    <s v="Male"/>
    <n v="25"/>
    <x v="1"/>
    <s v="General Consultation"/>
    <d v="2025-04-13T00:00:00"/>
    <d v="2025-06-04T00:00:00"/>
    <s v="Wednesday"/>
    <s v="Morning"/>
    <x v="2"/>
    <n v="52"/>
    <n v="1"/>
    <x v="0"/>
    <x v="0"/>
    <s v="SMS"/>
    <n v="12.6"/>
    <x v="35"/>
    <x v="0"/>
  </r>
  <r>
    <s v="HC-04016"/>
    <s v="P-1579"/>
    <s v="Male"/>
    <n v="21"/>
    <x v="5"/>
    <s v="General Consultation"/>
    <d v="2025-03-08T00:00:00"/>
    <d v="2025-03-19T00:00:00"/>
    <s v="Wednesday"/>
    <s v="Afternoon"/>
    <x v="0"/>
    <n v="11"/>
    <n v="3"/>
    <x v="0"/>
    <x v="0"/>
    <s v="SMS"/>
    <n v="6.6"/>
    <x v="25"/>
    <x v="1"/>
  </r>
  <r>
    <s v="HC-04017"/>
    <s v="P-1267"/>
    <s v="Male"/>
    <n v="33"/>
    <x v="1"/>
    <s v="Diagnostic Test"/>
    <d v="2025-05-05T00:00:00"/>
    <d v="2025-05-28T00:00:00"/>
    <s v="Wednesday"/>
    <s v="Afternoon"/>
    <x v="3"/>
    <n v="23"/>
    <n v="8"/>
    <x v="1"/>
    <x v="0"/>
    <s v="SMS"/>
    <n v="2.7"/>
    <x v="4"/>
    <x v="1"/>
  </r>
  <r>
    <s v="HC-04018"/>
    <s v="P-0378"/>
    <s v="Male"/>
    <n v="18"/>
    <x v="5"/>
    <s v="Follow-up"/>
    <d v="2025-02-07T00:00:00"/>
    <d v="2025-03-25T00:00:00"/>
    <s v="Tuesday"/>
    <s v="Afternoon"/>
    <x v="2"/>
    <n v="46"/>
    <n v="4"/>
    <x v="0"/>
    <x v="1"/>
    <s v="None"/>
    <n v="9.3000000000000007"/>
    <x v="7"/>
    <x v="0"/>
  </r>
  <r>
    <s v="HC-04019"/>
    <s v="P-0538"/>
    <s v="Female"/>
    <n v="54"/>
    <x v="2"/>
    <s v="General Consultation"/>
    <d v="2025-04-06T00:00:00"/>
    <d v="2025-04-13T00:00:00"/>
    <s v="Sunday"/>
    <s v="Afternoon"/>
    <x v="1"/>
    <n v="7"/>
    <n v="4"/>
    <x v="0"/>
    <x v="1"/>
    <s v="None"/>
    <n v="11.3"/>
    <x v="5"/>
    <x v="0"/>
  </r>
  <r>
    <s v="HC-04020"/>
    <s v="P-0696"/>
    <s v="Male"/>
    <n v="51"/>
    <x v="2"/>
    <s v="Follow-up"/>
    <d v="2025-12-23T00:00:00"/>
    <d v="2026-01-11T00:00:00"/>
    <s v="Sunday"/>
    <s v="Afternoon"/>
    <x v="3"/>
    <n v="19"/>
    <n v="3"/>
    <x v="0"/>
    <x v="0"/>
    <s v="SMS"/>
    <n v="9.6999999999999993"/>
    <x v="35"/>
    <x v="1"/>
  </r>
  <r>
    <s v="HC-04021"/>
    <s v="P-0839"/>
    <s v="Male"/>
    <n v="51"/>
    <x v="2"/>
    <s v="General Consultation"/>
    <d v="2025-01-28T00:00:00"/>
    <d v="2025-03-14T00:00:00"/>
    <s v="Friday"/>
    <s v="Afternoon"/>
    <x v="2"/>
    <n v="45"/>
    <n v="3"/>
    <x v="1"/>
    <x v="0"/>
    <s v="SMS"/>
    <n v="11.6"/>
    <x v="3"/>
    <x v="0"/>
  </r>
  <r>
    <s v="HC-04022"/>
    <s v="P-1297"/>
    <s v="Male"/>
    <n v="22"/>
    <x v="5"/>
    <s v="General Consultation"/>
    <d v="2024-12-22T00:00:00"/>
    <d v="2025-01-26T00:00:00"/>
    <s v="Sunday"/>
    <s v="Morning"/>
    <x v="2"/>
    <n v="35"/>
    <n v="3"/>
    <x v="0"/>
    <x v="0"/>
    <s v="SMS"/>
    <n v="10.5"/>
    <x v="18"/>
    <x v="1"/>
  </r>
  <r>
    <s v="HC-04023"/>
    <s v="P-0487"/>
    <s v="Female"/>
    <n v="75"/>
    <x v="4"/>
    <s v="Specialist Consultation"/>
    <d v="2025-09-07T00:00:00"/>
    <d v="2025-10-24T00:00:00"/>
    <s v="Friday"/>
    <s v="Afternoon"/>
    <x v="2"/>
    <n v="47"/>
    <n v="3"/>
    <x v="0"/>
    <x v="0"/>
    <s v="WhatsApp"/>
    <n v="9.8000000000000007"/>
    <x v="4"/>
    <x v="0"/>
  </r>
  <r>
    <s v="HC-04024"/>
    <s v="P-0423"/>
    <s v="Prefer not to say"/>
    <n v="79"/>
    <x v="4"/>
    <s v="General Consultation"/>
    <d v="2025-05-06T00:00:00"/>
    <d v="2025-06-06T00:00:00"/>
    <s v="Friday"/>
    <s v="Morning"/>
    <x v="2"/>
    <n v="31"/>
    <n v="5"/>
    <x v="1"/>
    <x v="0"/>
    <s v="Email"/>
    <n v="6"/>
    <x v="23"/>
    <x v="1"/>
  </r>
  <r>
    <s v="HC-04025"/>
    <s v="P-0733"/>
    <s v="Male"/>
    <n v="55"/>
    <x v="3"/>
    <s v="Diagnostic Test"/>
    <d v="2025-07-16T00:00:00"/>
    <d v="2025-09-06T00:00:00"/>
    <s v="Saturday"/>
    <s v="Afternoon"/>
    <x v="2"/>
    <n v="52"/>
    <n v="2"/>
    <x v="0"/>
    <x v="0"/>
    <s v="WhatsApp"/>
    <n v="5.7"/>
    <x v="11"/>
    <x v="0"/>
  </r>
  <r>
    <s v="HC-04026"/>
    <s v="P-0575"/>
    <s v="Male"/>
    <n v="18"/>
    <x v="5"/>
    <s v="Specialist Consultation"/>
    <d v="2025-01-24T00:00:00"/>
    <d v="2025-03-18T00:00:00"/>
    <s v="Tuesday"/>
    <s v="Afternoon"/>
    <x v="2"/>
    <n v="53"/>
    <n v="1"/>
    <x v="1"/>
    <x v="0"/>
    <s v="SMS"/>
    <n v="23.5"/>
    <x v="3"/>
    <x v="0"/>
  </r>
  <r>
    <s v="HC-04027"/>
    <s v="P-0548"/>
    <s v="Female"/>
    <n v="42"/>
    <x v="0"/>
    <s v="General Consultation"/>
    <d v="2025-02-25T00:00:00"/>
    <d v="2025-04-25T00:00:00"/>
    <s v="Friday"/>
    <s v="Morning"/>
    <x v="2"/>
    <n v="59"/>
    <n v="4"/>
    <x v="0"/>
    <x v="0"/>
    <s v="WhatsApp"/>
    <n v="4.3"/>
    <x v="5"/>
    <x v="1"/>
  </r>
  <r>
    <s v="HC-04028"/>
    <s v="P-0635"/>
    <s v="Male"/>
    <n v="63"/>
    <x v="3"/>
    <s v="Specialist Consultation"/>
    <d v="2025-08-22T00:00:00"/>
    <d v="2025-08-29T00:00:00"/>
    <s v="Friday"/>
    <s v="Morning"/>
    <x v="1"/>
    <n v="7"/>
    <n v="5"/>
    <x v="0"/>
    <x v="0"/>
    <s v="WhatsApp"/>
    <n v="23.8"/>
    <x v="4"/>
    <x v="0"/>
  </r>
  <r>
    <s v="HC-04029"/>
    <s v="P-1443"/>
    <s v="Male"/>
    <n v="65"/>
    <x v="4"/>
    <s v="Specialist Consultation"/>
    <d v="2025-12-07T00:00:00"/>
    <d v="2026-01-12T00:00:00"/>
    <s v="Monday"/>
    <s v="Morning"/>
    <x v="2"/>
    <n v="36"/>
    <n v="2"/>
    <x v="0"/>
    <x v="0"/>
    <s v="WhatsApp"/>
    <n v="5.2"/>
    <x v="4"/>
    <x v="1"/>
  </r>
  <r>
    <s v="HC-04030"/>
    <s v="P-1753"/>
    <s v="Male"/>
    <n v="33"/>
    <x v="1"/>
    <s v="Follow-up"/>
    <d v="2025-08-09T00:00:00"/>
    <d v="2025-08-15T00:00:00"/>
    <s v="Friday"/>
    <s v="Morning"/>
    <x v="1"/>
    <n v="6"/>
    <n v="4"/>
    <x v="0"/>
    <x v="0"/>
    <s v="WhatsApp"/>
    <n v="20.2"/>
    <x v="26"/>
    <x v="1"/>
  </r>
  <r>
    <s v="HC-04031"/>
    <s v="P-0176"/>
    <s v="Prefer not to say"/>
    <n v="69"/>
    <x v="4"/>
    <s v="Follow-up"/>
    <d v="2025-10-10T00:00:00"/>
    <d v="2025-10-23T00:00:00"/>
    <s v="Thursday"/>
    <s v="Afternoon"/>
    <x v="0"/>
    <n v="13"/>
    <n v="1"/>
    <x v="0"/>
    <x v="0"/>
    <s v="Email"/>
    <n v="15"/>
    <x v="31"/>
    <x v="1"/>
  </r>
  <r>
    <s v="HC-04032"/>
    <s v="P-1252"/>
    <s v="Female"/>
    <n v="78"/>
    <x v="4"/>
    <s v="General Consultation"/>
    <d v="2025-09-24T00:00:00"/>
    <d v="2025-10-12T00:00:00"/>
    <s v="Sunday"/>
    <s v="Morning"/>
    <x v="3"/>
    <n v="18"/>
    <n v="4"/>
    <x v="2"/>
    <x v="0"/>
    <s v="Email"/>
    <n v="12.9"/>
    <x v="18"/>
    <x v="0"/>
  </r>
  <r>
    <s v="HC-04033"/>
    <s v="P-0675"/>
    <s v="Male"/>
    <n v="50"/>
    <x v="2"/>
    <s v="General Consultation"/>
    <d v="2025-04-18T00:00:00"/>
    <d v="2025-05-27T00:00:00"/>
    <s v="Tuesday"/>
    <s v="Afternoon"/>
    <x v="2"/>
    <n v="39"/>
    <n v="5"/>
    <x v="2"/>
    <x v="0"/>
    <s v="SMS"/>
    <n v="0.5"/>
    <x v="15"/>
    <x v="0"/>
  </r>
  <r>
    <s v="HC-04034"/>
    <s v="P-0939"/>
    <s v="Female"/>
    <n v="42"/>
    <x v="0"/>
    <s v="Specialist Consultation"/>
    <d v="2025-05-07T00:00:00"/>
    <d v="2025-06-02T00:00:00"/>
    <s v="Monday"/>
    <s v="Evening"/>
    <x v="3"/>
    <n v="26"/>
    <n v="4"/>
    <x v="2"/>
    <x v="0"/>
    <s v="SMS"/>
    <n v="5.8"/>
    <x v="6"/>
    <x v="0"/>
  </r>
  <r>
    <s v="HC-04035"/>
    <s v="P-0736"/>
    <s v="Female"/>
    <n v="51"/>
    <x v="2"/>
    <s v="General Consultation"/>
    <d v="2025-06-30T00:00:00"/>
    <d v="2025-08-21T00:00:00"/>
    <s v="Thursday"/>
    <s v="Morning"/>
    <x v="2"/>
    <n v="52"/>
    <n v="3"/>
    <x v="1"/>
    <x v="0"/>
    <s v="WhatsApp"/>
    <n v="10.3"/>
    <x v="37"/>
    <x v="0"/>
  </r>
  <r>
    <s v="HC-04036"/>
    <s v="P-0805"/>
    <s v="Female"/>
    <n v="19"/>
    <x v="5"/>
    <s v="General Consultation"/>
    <d v="2024-12-31T00:00:00"/>
    <d v="2025-01-18T00:00:00"/>
    <s v="Saturday"/>
    <s v="Morning"/>
    <x v="3"/>
    <n v="18"/>
    <n v="3"/>
    <x v="0"/>
    <x v="0"/>
    <s v="SMS"/>
    <n v="15.8"/>
    <x v="17"/>
    <x v="2"/>
  </r>
  <r>
    <s v="HC-04037"/>
    <s v="P-0816"/>
    <s v="Female"/>
    <n v="50"/>
    <x v="2"/>
    <s v="Follow-up"/>
    <d v="2025-12-04T00:00:00"/>
    <d v="2026-01-10T00:00:00"/>
    <s v="Saturday"/>
    <s v="Morning"/>
    <x v="2"/>
    <n v="37"/>
    <n v="3"/>
    <x v="2"/>
    <x v="1"/>
    <s v="None"/>
    <n v="8.4"/>
    <x v="42"/>
    <x v="0"/>
  </r>
  <r>
    <s v="HC-04038"/>
    <s v="P-1232"/>
    <s v="Female"/>
    <n v="19"/>
    <x v="5"/>
    <s v="General Consultation"/>
    <d v="2025-10-17T00:00:00"/>
    <d v="2025-12-02T00:00:00"/>
    <s v="Tuesday"/>
    <s v="Evening"/>
    <x v="2"/>
    <n v="46"/>
    <n v="2"/>
    <x v="1"/>
    <x v="0"/>
    <s v="Email"/>
    <n v="3.1"/>
    <x v="10"/>
    <x v="0"/>
  </r>
  <r>
    <s v="HC-04039"/>
    <s v="P-1402"/>
    <s v="Female"/>
    <n v="20"/>
    <x v="5"/>
    <s v="Specialist Consultation"/>
    <d v="2025-04-19T00:00:00"/>
    <d v="2025-06-17T00:00:00"/>
    <s v="Tuesday"/>
    <s v="Morning"/>
    <x v="2"/>
    <n v="59"/>
    <n v="4"/>
    <x v="0"/>
    <x v="1"/>
    <s v="None"/>
    <n v="8.8000000000000007"/>
    <x v="11"/>
    <x v="0"/>
  </r>
  <r>
    <s v="HC-04040"/>
    <s v="P-1608"/>
    <s v="Female"/>
    <n v="52"/>
    <x v="2"/>
    <s v="Specialist Consultation"/>
    <d v="2025-07-10T00:00:00"/>
    <d v="2025-07-24T00:00:00"/>
    <s v="Thursday"/>
    <s v="Morning"/>
    <x v="0"/>
    <n v="14"/>
    <n v="1"/>
    <x v="0"/>
    <x v="1"/>
    <s v="None"/>
    <n v="11.6"/>
    <x v="27"/>
    <x v="1"/>
  </r>
  <r>
    <s v="HC-04041"/>
    <s v="P-1533"/>
    <s v="Male"/>
    <n v="50"/>
    <x v="2"/>
    <s v="Specialist Consultation"/>
    <d v="2025-05-16T00:00:00"/>
    <d v="2025-06-29T00:00:00"/>
    <s v="Sunday"/>
    <s v="Evening"/>
    <x v="2"/>
    <n v="44"/>
    <n v="1"/>
    <x v="0"/>
    <x v="0"/>
    <s v="WhatsApp"/>
    <n v="7.5"/>
    <x v="31"/>
    <x v="0"/>
  </r>
  <r>
    <s v="HC-04042"/>
    <s v="P-0415"/>
    <s v="Female"/>
    <n v="80"/>
    <x v="4"/>
    <s v="General Consultation"/>
    <d v="2025-12-17T00:00:00"/>
    <d v="2025-12-22T00:00:00"/>
    <s v="Monday"/>
    <s v="Afternoon"/>
    <x v="1"/>
    <n v="5"/>
    <n v="1"/>
    <x v="0"/>
    <x v="1"/>
    <s v="None"/>
    <n v="22.5"/>
    <x v="23"/>
    <x v="1"/>
  </r>
  <r>
    <s v="HC-04043"/>
    <s v="P-1621"/>
    <s v="Female"/>
    <n v="49"/>
    <x v="2"/>
    <s v="Follow-up"/>
    <d v="2026-01-17T00:00:00"/>
    <d v="2026-02-19T00:00:00"/>
    <s v="Thursday"/>
    <s v="Morning"/>
    <x v="2"/>
    <n v="33"/>
    <n v="3"/>
    <x v="1"/>
    <x v="0"/>
    <s v="WhatsApp"/>
    <n v="9.3000000000000007"/>
    <x v="8"/>
    <x v="1"/>
  </r>
  <r>
    <s v="HC-04044"/>
    <s v="P-1335"/>
    <s v="Female"/>
    <n v="79"/>
    <x v="4"/>
    <s v="Specialist Consultation"/>
    <d v="2025-02-04T00:00:00"/>
    <d v="2025-03-01T00:00:00"/>
    <s v="Saturday"/>
    <s v="Evening"/>
    <x v="3"/>
    <n v="25"/>
    <n v="3"/>
    <x v="2"/>
    <x v="0"/>
    <s v="SMS"/>
    <n v="16.5"/>
    <x v="10"/>
    <x v="1"/>
  </r>
  <r>
    <s v="HC-04045"/>
    <s v="P-0684"/>
    <s v="Female"/>
    <n v="68"/>
    <x v="4"/>
    <s v="General Consultation"/>
    <d v="2025-06-17T00:00:00"/>
    <d v="2025-08-14T00:00:00"/>
    <s v="Thursday"/>
    <s v="Evening"/>
    <x v="2"/>
    <n v="58"/>
    <n v="4"/>
    <x v="1"/>
    <x v="0"/>
    <s v="WhatsApp"/>
    <n v="5.8"/>
    <x v="6"/>
    <x v="0"/>
  </r>
  <r>
    <s v="HC-04046"/>
    <s v="P-0442"/>
    <s v="Female"/>
    <n v="39"/>
    <x v="0"/>
    <s v="Follow-up"/>
    <d v="2024-11-22T00:00:00"/>
    <d v="2025-01-08T00:00:00"/>
    <s v="Wednesday"/>
    <s v="Afternoon"/>
    <x v="2"/>
    <n v="47"/>
    <n v="4"/>
    <x v="2"/>
    <x v="0"/>
    <s v="WhatsApp"/>
    <n v="13.9"/>
    <x v="24"/>
    <x v="0"/>
  </r>
  <r>
    <s v="HC-04047"/>
    <s v="P-1171"/>
    <s v="Male"/>
    <n v="76"/>
    <x v="4"/>
    <s v="Follow-up"/>
    <d v="2025-07-10T00:00:00"/>
    <d v="2025-09-04T00:00:00"/>
    <s v="Thursday"/>
    <s v="Morning"/>
    <x v="2"/>
    <n v="56"/>
    <n v="6"/>
    <x v="1"/>
    <x v="1"/>
    <s v="None"/>
    <n v="5.0999999999999996"/>
    <x v="6"/>
    <x v="1"/>
  </r>
  <r>
    <s v="HC-04048"/>
    <s v="P-1399"/>
    <s v="Male"/>
    <n v="48"/>
    <x v="2"/>
    <s v="General Consultation"/>
    <d v="2025-03-26T00:00:00"/>
    <d v="2025-05-16T00:00:00"/>
    <s v="Friday"/>
    <s v="Afternoon"/>
    <x v="2"/>
    <n v="51"/>
    <n v="5"/>
    <x v="0"/>
    <x v="0"/>
    <s v="SMS"/>
    <n v="14.2"/>
    <x v="25"/>
    <x v="0"/>
  </r>
  <r>
    <s v="HC-04049"/>
    <s v="P-0886"/>
    <s v="Female"/>
    <n v="55"/>
    <x v="3"/>
    <s v="General Consultation"/>
    <d v="2025-06-08T00:00:00"/>
    <d v="2025-07-03T00:00:00"/>
    <s v="Thursday"/>
    <s v="Morning"/>
    <x v="3"/>
    <n v="25"/>
    <n v="2"/>
    <x v="0"/>
    <x v="0"/>
    <s v="WhatsApp"/>
    <n v="7.5"/>
    <x v="27"/>
    <x v="1"/>
  </r>
  <r>
    <s v="HC-04050"/>
    <s v="P-1330"/>
    <s v="Male"/>
    <n v="24"/>
    <x v="5"/>
    <s v="Follow-up"/>
    <d v="2025-07-25T00:00:00"/>
    <d v="2025-09-07T00:00:00"/>
    <s v="Sunday"/>
    <s v="Afternoon"/>
    <x v="2"/>
    <n v="44"/>
    <n v="4"/>
    <x v="1"/>
    <x v="0"/>
    <s v="SMS"/>
    <n v="3.2"/>
    <x v="19"/>
    <x v="1"/>
  </r>
  <r>
    <s v="HC-04051"/>
    <s v="P-1317"/>
    <s v="Female"/>
    <n v="31"/>
    <x v="1"/>
    <s v="General Consultation"/>
    <d v="2025-06-25T00:00:00"/>
    <d v="2025-06-26T00:00:00"/>
    <s v="Thursday"/>
    <s v="Morning"/>
    <x v="1"/>
    <n v="1"/>
    <n v="3"/>
    <x v="0"/>
    <x v="0"/>
    <s v="SMS"/>
    <n v="6.6"/>
    <x v="13"/>
    <x v="1"/>
  </r>
  <r>
    <s v="HC-04052"/>
    <s v="P-1246"/>
    <s v="Male"/>
    <n v="50"/>
    <x v="2"/>
    <s v="Specialist Consultation"/>
    <d v="2025-07-01T00:00:00"/>
    <d v="2025-08-04T00:00:00"/>
    <s v="Monday"/>
    <s v="Afternoon"/>
    <x v="2"/>
    <n v="34"/>
    <n v="2"/>
    <x v="0"/>
    <x v="0"/>
    <s v="SMS"/>
    <n v="4.5"/>
    <x v="31"/>
    <x v="1"/>
  </r>
  <r>
    <s v="HC-04053"/>
    <s v="P-0582"/>
    <s v="Male"/>
    <n v="35"/>
    <x v="0"/>
    <s v="Follow-up"/>
    <d v="2026-02-20T00:00:00"/>
    <d v="2026-02-22T00:00:00"/>
    <s v="Sunday"/>
    <s v="Afternoon"/>
    <x v="1"/>
    <n v="2"/>
    <n v="0"/>
    <x v="0"/>
    <x v="0"/>
    <s v="WhatsApp"/>
    <n v="7"/>
    <x v="13"/>
    <x v="1"/>
  </r>
  <r>
    <s v="HC-04054"/>
    <s v="P-0481"/>
    <s v="Female"/>
    <n v="55"/>
    <x v="3"/>
    <s v="General Consultation"/>
    <d v="2026-02-03T00:00:00"/>
    <d v="2026-03-19T00:00:00"/>
    <s v="Thursday"/>
    <s v="Evening"/>
    <x v="2"/>
    <n v="44"/>
    <n v="3"/>
    <x v="0"/>
    <x v="1"/>
    <s v="None"/>
    <n v="3.3"/>
    <x v="52"/>
    <x v="0"/>
  </r>
  <r>
    <s v="HC-04055"/>
    <s v="P-0745"/>
    <s v="Female"/>
    <n v="23"/>
    <x v="5"/>
    <s v="Specialist Consultation"/>
    <d v="2024-11-07T00:00:00"/>
    <d v="2025-01-04T00:00:00"/>
    <s v="Saturday"/>
    <s v="Afternoon"/>
    <x v="2"/>
    <n v="58"/>
    <n v="1"/>
    <x v="0"/>
    <x v="0"/>
    <s v="Email"/>
    <n v="2.8"/>
    <x v="11"/>
    <x v="1"/>
  </r>
  <r>
    <s v="HC-04056"/>
    <s v="P-1786"/>
    <s v="Male"/>
    <n v="33"/>
    <x v="1"/>
    <s v="Follow-up"/>
    <d v="2025-06-15T00:00:00"/>
    <d v="2025-07-26T00:00:00"/>
    <s v="Saturday"/>
    <s v="Morning"/>
    <x v="2"/>
    <n v="41"/>
    <n v="1"/>
    <x v="1"/>
    <x v="0"/>
    <s v="SMS"/>
    <n v="4.3"/>
    <x v="11"/>
    <x v="1"/>
  </r>
  <r>
    <s v="HC-04057"/>
    <s v="P-0096"/>
    <s v="Female"/>
    <n v="59"/>
    <x v="3"/>
    <s v="General Consultation"/>
    <d v="2026-02-16T00:00:00"/>
    <d v="2026-04-08T00:00:00"/>
    <s v="Wednesday"/>
    <s v="Morning"/>
    <x v="2"/>
    <n v="51"/>
    <n v="5"/>
    <x v="0"/>
    <x v="0"/>
    <s v="SMS"/>
    <n v="1.7"/>
    <x v="25"/>
    <x v="0"/>
  </r>
  <r>
    <s v="HC-04058"/>
    <s v="P-0601"/>
    <s v="Female"/>
    <n v="56"/>
    <x v="3"/>
    <s v="Diagnostic Test"/>
    <d v="2025-10-03T00:00:00"/>
    <d v="2025-10-17T00:00:00"/>
    <s v="Friday"/>
    <s v="Afternoon"/>
    <x v="0"/>
    <n v="14"/>
    <n v="2"/>
    <x v="1"/>
    <x v="0"/>
    <s v="SMS"/>
    <n v="17.899999999999999"/>
    <x v="35"/>
    <x v="1"/>
  </r>
  <r>
    <s v="HC-04059"/>
    <s v="P-1613"/>
    <s v="Male"/>
    <n v="79"/>
    <x v="4"/>
    <s v="Specialist Consultation"/>
    <d v="2025-02-22T00:00:00"/>
    <d v="2025-04-23T00:00:00"/>
    <s v="Wednesday"/>
    <s v="Morning"/>
    <x v="2"/>
    <n v="60"/>
    <n v="7"/>
    <x v="0"/>
    <x v="1"/>
    <s v="None"/>
    <n v="8.6999999999999993"/>
    <x v="49"/>
    <x v="1"/>
  </r>
  <r>
    <s v="HC-04060"/>
    <s v="P-1586"/>
    <s v="Male"/>
    <n v="74"/>
    <x v="4"/>
    <s v="Follow-up"/>
    <d v="2025-10-19T00:00:00"/>
    <d v="2025-11-21T00:00:00"/>
    <s v="Friday"/>
    <s v="Morning"/>
    <x v="2"/>
    <n v="33"/>
    <n v="4"/>
    <x v="1"/>
    <x v="0"/>
    <s v="WhatsApp"/>
    <n v="9.4"/>
    <x v="27"/>
    <x v="0"/>
  </r>
  <r>
    <s v="HC-04061"/>
    <s v="P-0351"/>
    <s v="Female"/>
    <n v="69"/>
    <x v="4"/>
    <s v="Specialist Consultation"/>
    <d v="2025-02-08T00:00:00"/>
    <d v="2025-03-21T00:00:00"/>
    <s v="Friday"/>
    <s v="Afternoon"/>
    <x v="2"/>
    <n v="41"/>
    <n v="0"/>
    <x v="0"/>
    <x v="0"/>
    <s v="SMS"/>
    <n v="7.2"/>
    <x v="14"/>
    <x v="1"/>
  </r>
  <r>
    <s v="HC-04062"/>
    <s v="P-0324"/>
    <s v="Male"/>
    <n v="18"/>
    <x v="5"/>
    <s v="Follow-up"/>
    <d v="2024-11-26T00:00:00"/>
    <d v="2025-01-12T00:00:00"/>
    <s v="Sunday"/>
    <s v="Morning"/>
    <x v="2"/>
    <n v="47"/>
    <n v="4"/>
    <x v="2"/>
    <x v="0"/>
    <s v="Email"/>
    <n v="3.7"/>
    <x v="47"/>
    <x v="0"/>
  </r>
  <r>
    <s v="HC-04063"/>
    <s v="P-0250"/>
    <s v="Female"/>
    <n v="55"/>
    <x v="3"/>
    <s v="Follow-up"/>
    <d v="2025-11-03T00:00:00"/>
    <d v="2025-12-12T00:00:00"/>
    <s v="Friday"/>
    <s v="Morning"/>
    <x v="2"/>
    <n v="39"/>
    <n v="1"/>
    <x v="0"/>
    <x v="1"/>
    <s v="None"/>
    <n v="11.6"/>
    <x v="47"/>
    <x v="0"/>
  </r>
  <r>
    <s v="HC-04064"/>
    <s v="P-0679"/>
    <s v="Female"/>
    <n v="32"/>
    <x v="1"/>
    <s v="General Consultation"/>
    <d v="2025-09-20T00:00:00"/>
    <d v="2025-10-09T00:00:00"/>
    <s v="Thursday"/>
    <s v="Afternoon"/>
    <x v="3"/>
    <n v="19"/>
    <n v="1"/>
    <x v="0"/>
    <x v="0"/>
    <s v="SMS"/>
    <n v="10.6"/>
    <x v="6"/>
    <x v="0"/>
  </r>
  <r>
    <s v="HC-04065"/>
    <s v="P-0155"/>
    <s v="Male"/>
    <n v="34"/>
    <x v="1"/>
    <s v="General Consultation"/>
    <d v="2026-01-12T00:00:00"/>
    <d v="2026-02-18T00:00:00"/>
    <s v="Wednesday"/>
    <s v="Evening"/>
    <x v="2"/>
    <n v="37"/>
    <n v="2"/>
    <x v="1"/>
    <x v="1"/>
    <s v="None"/>
    <n v="3.9"/>
    <x v="19"/>
    <x v="0"/>
  </r>
  <r>
    <s v="HC-04066"/>
    <s v="P-0042"/>
    <s v="Male"/>
    <n v="31"/>
    <x v="1"/>
    <s v="Follow-up"/>
    <d v="2025-05-30T00:00:00"/>
    <d v="2025-07-08T00:00:00"/>
    <s v="Tuesday"/>
    <s v="Afternoon"/>
    <x v="2"/>
    <n v="39"/>
    <n v="3"/>
    <x v="0"/>
    <x v="0"/>
    <s v="SMS"/>
    <n v="14.4"/>
    <x v="27"/>
    <x v="0"/>
  </r>
  <r>
    <s v="HC-04067"/>
    <s v="P-1113"/>
    <s v="Male"/>
    <n v="46"/>
    <x v="2"/>
    <s v="Follow-up"/>
    <d v="2026-02-19T00:00:00"/>
    <d v="2026-04-12T00:00:00"/>
    <s v="Sunday"/>
    <s v="Morning"/>
    <x v="2"/>
    <n v="52"/>
    <n v="1"/>
    <x v="0"/>
    <x v="0"/>
    <s v="Email"/>
    <n v="3.3"/>
    <x v="52"/>
    <x v="0"/>
  </r>
  <r>
    <s v="HC-04068"/>
    <s v="P-0182"/>
    <s v="Male"/>
    <n v="25"/>
    <x v="1"/>
    <s v="Specialist Consultation"/>
    <d v="2025-07-21T00:00:00"/>
    <d v="2025-08-19T00:00:00"/>
    <s v="Tuesday"/>
    <s v="Afternoon"/>
    <x v="3"/>
    <n v="29"/>
    <n v="2"/>
    <x v="1"/>
    <x v="0"/>
    <s v="Email"/>
    <n v="9.1999999999999993"/>
    <x v="13"/>
    <x v="1"/>
  </r>
  <r>
    <s v="HC-04069"/>
    <s v="P-0887"/>
    <s v="Male"/>
    <n v="51"/>
    <x v="2"/>
    <s v="Follow-up"/>
    <d v="2026-01-08T00:00:00"/>
    <d v="2026-02-07T00:00:00"/>
    <s v="Saturday"/>
    <s v="Evening"/>
    <x v="3"/>
    <n v="30"/>
    <n v="3"/>
    <x v="0"/>
    <x v="0"/>
    <s v="WhatsApp"/>
    <n v="15.9"/>
    <x v="36"/>
    <x v="1"/>
  </r>
  <r>
    <s v="HC-04070"/>
    <s v="P-0803"/>
    <s v="Male"/>
    <n v="28"/>
    <x v="1"/>
    <s v="Follow-up"/>
    <d v="2025-01-25T00:00:00"/>
    <d v="2025-02-24T00:00:00"/>
    <s v="Monday"/>
    <s v="Morning"/>
    <x v="3"/>
    <n v="30"/>
    <n v="5"/>
    <x v="1"/>
    <x v="0"/>
    <s v="SMS"/>
    <n v="20"/>
    <x v="8"/>
    <x v="2"/>
  </r>
  <r>
    <s v="HC-04071"/>
    <s v="P-1044"/>
    <s v="Male"/>
    <n v="49"/>
    <x v="2"/>
    <s v="Specialist Consultation"/>
    <d v="2025-02-17T00:00:00"/>
    <d v="2025-02-23T00:00:00"/>
    <s v="Sunday"/>
    <s v="Afternoon"/>
    <x v="1"/>
    <n v="6"/>
    <n v="1"/>
    <x v="0"/>
    <x v="0"/>
    <s v="SMS"/>
    <n v="7.6"/>
    <x v="4"/>
    <x v="1"/>
  </r>
  <r>
    <s v="HC-04072"/>
    <s v="P-1483"/>
    <s v="Female"/>
    <n v="57"/>
    <x v="3"/>
    <s v="Diagnostic Test"/>
    <d v="2026-02-27T00:00:00"/>
    <d v="2026-03-04T00:00:00"/>
    <s v="Wednesday"/>
    <s v="Afternoon"/>
    <x v="1"/>
    <n v="5"/>
    <n v="5"/>
    <x v="1"/>
    <x v="0"/>
    <s v="SMS"/>
    <n v="4.8"/>
    <x v="0"/>
    <x v="1"/>
  </r>
  <r>
    <s v="HC-04073"/>
    <s v="P-0591"/>
    <s v="Male"/>
    <n v="29"/>
    <x v="1"/>
    <s v="General Consultation"/>
    <d v="2026-03-31T00:00:00"/>
    <d v="2026-04-01T00:00:00"/>
    <s v="Wednesday"/>
    <s v="Afternoon"/>
    <x v="1"/>
    <n v="1"/>
    <n v="1"/>
    <x v="0"/>
    <x v="0"/>
    <s v="WhatsApp"/>
    <n v="2.4"/>
    <x v="51"/>
    <x v="1"/>
  </r>
  <r>
    <s v="HC-04074"/>
    <s v="P-1204"/>
    <s v="Female"/>
    <n v="24"/>
    <x v="5"/>
    <s v="Diagnostic Test"/>
    <d v="2026-04-20T00:00:00"/>
    <d v="2026-05-30T00:00:00"/>
    <s v="Saturday"/>
    <s v="Morning"/>
    <x v="2"/>
    <n v="40"/>
    <n v="2"/>
    <x v="0"/>
    <x v="0"/>
    <s v="Email"/>
    <n v="6.7"/>
    <x v="16"/>
    <x v="1"/>
  </r>
  <r>
    <s v="HC-04075"/>
    <s v="P-1344"/>
    <s v="Male"/>
    <n v="68"/>
    <x v="4"/>
    <s v="Specialist Consultation"/>
    <d v="2025-06-02T00:00:00"/>
    <d v="2025-06-27T00:00:00"/>
    <s v="Friday"/>
    <s v="Evening"/>
    <x v="3"/>
    <n v="25"/>
    <n v="5"/>
    <x v="0"/>
    <x v="0"/>
    <s v="WhatsApp"/>
    <n v="6.5"/>
    <x v="6"/>
    <x v="0"/>
  </r>
  <r>
    <s v="HC-04076"/>
    <s v="P-1034"/>
    <s v="Female"/>
    <n v="64"/>
    <x v="3"/>
    <s v="General Consultation"/>
    <d v="2024-11-22T00:00:00"/>
    <d v="2025-01-13T00:00:00"/>
    <s v="Monday"/>
    <s v="Morning"/>
    <x v="2"/>
    <n v="52"/>
    <n v="3"/>
    <x v="1"/>
    <x v="1"/>
    <s v="None"/>
    <n v="16.5"/>
    <x v="23"/>
    <x v="0"/>
  </r>
  <r>
    <s v="HC-04077"/>
    <s v="P-0738"/>
    <s v="Female"/>
    <n v="34"/>
    <x v="1"/>
    <s v="General Consultation"/>
    <d v="2026-05-09T00:00:00"/>
    <d v="2026-06-20T00:00:00"/>
    <s v="Saturday"/>
    <s v="Morning"/>
    <x v="2"/>
    <n v="42"/>
    <n v="8"/>
    <x v="2"/>
    <x v="0"/>
    <s v="WhatsApp"/>
    <n v="9.3000000000000007"/>
    <x v="48"/>
    <x v="0"/>
  </r>
  <r>
    <s v="HC-04078"/>
    <s v="P-0024"/>
    <s v="Male"/>
    <n v="73"/>
    <x v="4"/>
    <s v="General Consultation"/>
    <d v="2025-11-17T00:00:00"/>
    <d v="2025-11-25T00:00:00"/>
    <s v="Tuesday"/>
    <s v="Morning"/>
    <x v="0"/>
    <n v="8"/>
    <n v="3"/>
    <x v="0"/>
    <x v="1"/>
    <s v="None"/>
    <n v="3.2"/>
    <x v="10"/>
    <x v="1"/>
  </r>
  <r>
    <s v="HC-04079"/>
    <s v="P-0438"/>
    <s v="Male"/>
    <n v="31"/>
    <x v="1"/>
    <s v="Follow-up"/>
    <d v="2025-05-09T00:00:00"/>
    <d v="2025-05-15T00:00:00"/>
    <s v="Thursday"/>
    <s v="Afternoon"/>
    <x v="1"/>
    <n v="6"/>
    <n v="3"/>
    <x v="1"/>
    <x v="1"/>
    <s v="None"/>
    <n v="14.3"/>
    <x v="20"/>
    <x v="1"/>
  </r>
  <r>
    <s v="HC-04080"/>
    <s v="P-1498"/>
    <s v="Female"/>
    <n v="76"/>
    <x v="4"/>
    <s v="Follow-up"/>
    <d v="2026-01-31T00:00:00"/>
    <d v="2026-02-22T00:00:00"/>
    <s v="Sunday"/>
    <s v="Morning"/>
    <x v="3"/>
    <n v="22"/>
    <n v="5"/>
    <x v="0"/>
    <x v="0"/>
    <s v="SMS"/>
    <n v="16"/>
    <x v="46"/>
    <x v="1"/>
  </r>
  <r>
    <s v="HC-04081"/>
    <s v="P-0780"/>
    <s v="Female"/>
    <n v="25"/>
    <x v="1"/>
    <s v="Follow-up"/>
    <d v="2026-03-14T00:00:00"/>
    <d v="2026-05-09T00:00:00"/>
    <s v="Saturday"/>
    <s v="Afternoon"/>
    <x v="2"/>
    <n v="56"/>
    <n v="4"/>
    <x v="0"/>
    <x v="1"/>
    <s v="None"/>
    <n v="10.1"/>
    <x v="1"/>
    <x v="0"/>
  </r>
  <r>
    <s v="HC-04082"/>
    <s v="P-0588"/>
    <s v="Male"/>
    <n v="59"/>
    <x v="3"/>
    <s v="Specialist Consultation"/>
    <d v="2025-06-03T00:00:00"/>
    <d v="2025-06-05T00:00:00"/>
    <s v="Thursday"/>
    <s v="Afternoon"/>
    <x v="1"/>
    <n v="2"/>
    <n v="5"/>
    <x v="1"/>
    <x v="0"/>
    <s v="SMS"/>
    <n v="14.5"/>
    <x v="31"/>
    <x v="1"/>
  </r>
  <r>
    <s v="HC-04083"/>
    <s v="P-1649"/>
    <s v="Prefer not to say"/>
    <n v="19"/>
    <x v="5"/>
    <s v="General Consultation"/>
    <d v="2026-02-14T00:00:00"/>
    <d v="2026-02-25T00:00:00"/>
    <s v="Wednesday"/>
    <s v="Morning"/>
    <x v="0"/>
    <n v="11"/>
    <n v="1"/>
    <x v="0"/>
    <x v="0"/>
    <s v="SMS"/>
    <n v="8.4"/>
    <x v="47"/>
    <x v="1"/>
  </r>
  <r>
    <s v="HC-04084"/>
    <s v="P-0993"/>
    <s v="Female"/>
    <n v="30"/>
    <x v="1"/>
    <s v="General Consultation"/>
    <d v="2026-03-06T00:00:00"/>
    <d v="2026-03-07T00:00:00"/>
    <s v="Saturday"/>
    <s v="Afternoon"/>
    <x v="1"/>
    <n v="1"/>
    <n v="4"/>
    <x v="0"/>
    <x v="0"/>
    <s v="WhatsApp"/>
    <n v="13.6"/>
    <x v="14"/>
    <x v="0"/>
  </r>
  <r>
    <s v="HC-04085"/>
    <s v="P-1738"/>
    <s v="Female"/>
    <n v="43"/>
    <x v="0"/>
    <s v="Specialist Consultation"/>
    <d v="2025-09-06T00:00:00"/>
    <d v="2025-10-01T00:00:00"/>
    <s v="Wednesday"/>
    <s v="Evening"/>
    <x v="3"/>
    <n v="25"/>
    <n v="4"/>
    <x v="1"/>
    <x v="0"/>
    <s v="SMS"/>
    <n v="5.8"/>
    <x v="22"/>
    <x v="0"/>
  </r>
  <r>
    <s v="HC-04086"/>
    <s v="P-1480"/>
    <s v="Female"/>
    <n v="23"/>
    <x v="5"/>
    <s v="Diagnostic Test"/>
    <d v="2025-10-13T00:00:00"/>
    <d v="2025-12-12T00:00:00"/>
    <s v="Friday"/>
    <s v="Morning"/>
    <x v="2"/>
    <n v="60"/>
    <n v="2"/>
    <x v="1"/>
    <x v="0"/>
    <s v="WhatsApp"/>
    <n v="20.399999999999999"/>
    <x v="10"/>
    <x v="0"/>
  </r>
  <r>
    <s v="HC-04087"/>
    <s v="P-0357"/>
    <s v="Female"/>
    <n v="46"/>
    <x v="2"/>
    <s v="Specialist Consultation"/>
    <d v="2025-04-17T00:00:00"/>
    <d v="2025-05-28T00:00:00"/>
    <s v="Wednesday"/>
    <s v="Afternoon"/>
    <x v="2"/>
    <n v="41"/>
    <n v="5"/>
    <x v="0"/>
    <x v="1"/>
    <s v="None"/>
    <n v="3.5"/>
    <x v="24"/>
    <x v="2"/>
  </r>
  <r>
    <s v="HC-04088"/>
    <s v="P-0096"/>
    <s v="Female"/>
    <n v="32"/>
    <x v="1"/>
    <s v="General Consultation"/>
    <d v="2026-04-23T00:00:00"/>
    <d v="2026-05-23T00:00:00"/>
    <s v="Saturday"/>
    <s v="Evening"/>
    <x v="3"/>
    <n v="30"/>
    <n v="4"/>
    <x v="0"/>
    <x v="1"/>
    <s v="None"/>
    <n v="35.799999999999997"/>
    <x v="10"/>
    <x v="0"/>
  </r>
  <r>
    <s v="HC-04089"/>
    <s v="P-0033"/>
    <s v="Male"/>
    <n v="24"/>
    <x v="5"/>
    <s v="General Consultation"/>
    <d v="2026-06-13T00:00:00"/>
    <d v="2026-06-21T00:00:00"/>
    <s v="Sunday"/>
    <s v="Afternoon"/>
    <x v="0"/>
    <n v="8"/>
    <n v="3"/>
    <x v="1"/>
    <x v="0"/>
    <s v="Email"/>
    <n v="26.1"/>
    <x v="20"/>
    <x v="0"/>
  </r>
  <r>
    <s v="HC-04090"/>
    <s v="P-0570"/>
    <s v="Male"/>
    <n v="78"/>
    <x v="4"/>
    <s v="General Consultation"/>
    <d v="2026-05-30T00:00:00"/>
    <d v="2026-06-20T00:00:00"/>
    <s v="Saturday"/>
    <s v="Afternoon"/>
    <x v="3"/>
    <n v="21"/>
    <n v="2"/>
    <x v="1"/>
    <x v="0"/>
    <s v="SMS"/>
    <n v="20.8"/>
    <x v="7"/>
    <x v="0"/>
  </r>
  <r>
    <s v="HC-04091"/>
    <s v="P-1541"/>
    <s v="Female"/>
    <n v="79"/>
    <x v="4"/>
    <s v="Follow-up"/>
    <d v="2026-01-07T00:00:00"/>
    <d v="2026-02-07T00:00:00"/>
    <s v="Saturday"/>
    <s v="Evening"/>
    <x v="2"/>
    <n v="31"/>
    <n v="7"/>
    <x v="1"/>
    <x v="1"/>
    <s v="None"/>
    <n v="4.8"/>
    <x v="12"/>
    <x v="0"/>
  </r>
  <r>
    <s v="HC-04092"/>
    <s v="P-1719"/>
    <s v="Female"/>
    <n v="78"/>
    <x v="4"/>
    <s v="General Consultation"/>
    <d v="2025-01-08T00:00:00"/>
    <d v="2025-01-24T00:00:00"/>
    <s v="Friday"/>
    <s v="Afternoon"/>
    <x v="3"/>
    <n v="16"/>
    <n v="1"/>
    <x v="1"/>
    <x v="1"/>
    <s v="None"/>
    <n v="6.9"/>
    <x v="19"/>
    <x v="1"/>
  </r>
  <r>
    <s v="HC-04093"/>
    <s v="P-1717"/>
    <s v="Female"/>
    <n v="27"/>
    <x v="1"/>
    <s v="Diagnostic Test"/>
    <d v="2025-06-07T00:00:00"/>
    <d v="2025-07-20T00:00:00"/>
    <s v="Sunday"/>
    <s v="Morning"/>
    <x v="2"/>
    <n v="43"/>
    <n v="5"/>
    <x v="3"/>
    <x v="0"/>
    <s v="SMS"/>
    <n v="6.1"/>
    <x v="7"/>
    <x v="0"/>
  </r>
  <r>
    <s v="HC-04094"/>
    <s v="P-0175"/>
    <s v="Male"/>
    <n v="42"/>
    <x v="0"/>
    <s v="Follow-up"/>
    <d v="2025-07-03T00:00:00"/>
    <d v="2025-08-31T00:00:00"/>
    <s v="Sunday"/>
    <s v="Morning"/>
    <x v="2"/>
    <n v="59"/>
    <n v="3"/>
    <x v="0"/>
    <x v="1"/>
    <s v="None"/>
    <n v="5"/>
    <x v="15"/>
    <x v="0"/>
  </r>
  <r>
    <s v="HC-04095"/>
    <s v="P-1223"/>
    <s v="Female"/>
    <n v="38"/>
    <x v="0"/>
    <s v="General Consultation"/>
    <d v="2026-05-28T00:00:00"/>
    <d v="2026-06-09T00:00:00"/>
    <s v="Tuesday"/>
    <s v="Afternoon"/>
    <x v="0"/>
    <n v="12"/>
    <n v="3"/>
    <x v="0"/>
    <x v="0"/>
    <s v="SMS"/>
    <n v="5.9"/>
    <x v="8"/>
    <x v="0"/>
  </r>
  <r>
    <s v="HC-04096"/>
    <s v="P-0657"/>
    <s v="Female"/>
    <n v="38"/>
    <x v="0"/>
    <s v="General Consultation"/>
    <d v="2025-10-11T00:00:00"/>
    <d v="2025-10-26T00:00:00"/>
    <s v="Sunday"/>
    <s v="Morning"/>
    <x v="3"/>
    <n v="15"/>
    <n v="1"/>
    <x v="0"/>
    <x v="0"/>
    <s v="SMS"/>
    <n v="12.2"/>
    <x v="12"/>
    <x v="2"/>
  </r>
  <r>
    <s v="HC-04097"/>
    <s v="P-0150"/>
    <s v="Male"/>
    <n v="44"/>
    <x v="0"/>
    <s v="General Consultation"/>
    <d v="2025-10-13T00:00:00"/>
    <d v="2025-10-20T00:00:00"/>
    <s v="Monday"/>
    <s v="Morning"/>
    <x v="1"/>
    <n v="7"/>
    <n v="5"/>
    <x v="0"/>
    <x v="0"/>
    <s v="WhatsApp"/>
    <n v="7.1"/>
    <x v="36"/>
    <x v="1"/>
  </r>
  <r>
    <s v="HC-04098"/>
    <s v="P-1619"/>
    <s v="Female"/>
    <n v="50"/>
    <x v="2"/>
    <s v="Follow-up"/>
    <d v="2025-02-06T00:00:00"/>
    <d v="2025-03-22T00:00:00"/>
    <s v="Saturday"/>
    <s v="Morning"/>
    <x v="2"/>
    <n v="44"/>
    <n v="3"/>
    <x v="0"/>
    <x v="1"/>
    <s v="None"/>
    <n v="3.9"/>
    <x v="51"/>
    <x v="0"/>
  </r>
  <r>
    <s v="HC-04099"/>
    <s v="P-0810"/>
    <s v="Male"/>
    <n v="48"/>
    <x v="2"/>
    <s v="Specialist Consultation"/>
    <d v="2026-02-10T00:00:00"/>
    <d v="2026-03-10T00:00:00"/>
    <s v="Tuesday"/>
    <s v="Afternoon"/>
    <x v="3"/>
    <n v="28"/>
    <n v="2"/>
    <x v="1"/>
    <x v="0"/>
    <s v="SMS"/>
    <n v="2.1"/>
    <x v="8"/>
    <x v="0"/>
  </r>
  <r>
    <s v="HC-04100"/>
    <s v="P-0217"/>
    <s v="Male"/>
    <n v="36"/>
    <x v="0"/>
    <s v="General Consultation"/>
    <d v="2025-06-16T00:00:00"/>
    <d v="2025-07-03T00:00:00"/>
    <s v="Thursday"/>
    <s v="Afternoon"/>
    <x v="3"/>
    <n v="17"/>
    <n v="0"/>
    <x v="0"/>
    <x v="1"/>
    <s v="None"/>
    <n v="15.2"/>
    <x v="36"/>
    <x v="0"/>
  </r>
  <r>
    <s v="HC-04101"/>
    <s v="P-0801"/>
    <s v="Female"/>
    <n v="79"/>
    <x v="4"/>
    <s v="Specialist Consultation"/>
    <d v="2025-02-07T00:00:00"/>
    <d v="2025-02-20T00:00:00"/>
    <s v="Thursday"/>
    <s v="Morning"/>
    <x v="0"/>
    <n v="13"/>
    <n v="3"/>
    <x v="1"/>
    <x v="1"/>
    <s v="None"/>
    <n v="9.8000000000000007"/>
    <x v="19"/>
    <x v="0"/>
  </r>
  <r>
    <s v="HC-04102"/>
    <s v="P-1231"/>
    <s v="Female"/>
    <n v="79"/>
    <x v="4"/>
    <s v="General Consultation"/>
    <d v="2026-06-20T00:00:00"/>
    <d v="2026-06-24T00:00:00"/>
    <s v="Wednesday"/>
    <s v="Morning"/>
    <x v="1"/>
    <n v="4"/>
    <n v="3"/>
    <x v="1"/>
    <x v="0"/>
    <s v="SMS"/>
    <m/>
    <x v="21"/>
    <x v="1"/>
  </r>
  <r>
    <s v="HC-04103"/>
    <s v="P-0922"/>
    <s v="Male"/>
    <n v="38"/>
    <x v="0"/>
    <s v="General Consultation"/>
    <d v="2025-03-16T00:00:00"/>
    <d v="2025-04-14T00:00:00"/>
    <s v="Monday"/>
    <s v="Morning"/>
    <x v="3"/>
    <n v="29"/>
    <n v="6"/>
    <x v="1"/>
    <x v="0"/>
    <s v="Email"/>
    <n v="0.9"/>
    <x v="32"/>
    <x v="1"/>
  </r>
  <r>
    <s v="HC-04104"/>
    <s v="P-1241"/>
    <s v="Female"/>
    <n v="31"/>
    <x v="1"/>
    <s v="Diagnostic Test"/>
    <d v="2024-11-29T00:00:00"/>
    <d v="2025-01-09T00:00:00"/>
    <s v="Thursday"/>
    <s v="Morning"/>
    <x v="2"/>
    <n v="41"/>
    <n v="3"/>
    <x v="1"/>
    <x v="0"/>
    <s v="SMS"/>
    <n v="4"/>
    <x v="49"/>
    <x v="0"/>
  </r>
  <r>
    <s v="HC-04105"/>
    <s v="P-0734"/>
    <s v="Female"/>
    <n v="51"/>
    <x v="2"/>
    <s v="General Consultation"/>
    <d v="2025-01-29T00:00:00"/>
    <d v="2025-02-12T00:00:00"/>
    <s v="Wednesday"/>
    <s v="Afternoon"/>
    <x v="0"/>
    <n v="14"/>
    <n v="4"/>
    <x v="2"/>
    <x v="0"/>
    <s v="SMS"/>
    <n v="9"/>
    <x v="17"/>
    <x v="1"/>
  </r>
  <r>
    <s v="HC-04106"/>
    <s v="P-0438"/>
    <s v="Male"/>
    <n v="41"/>
    <x v="0"/>
    <s v="General Consultation"/>
    <d v="2025-09-05T00:00:00"/>
    <d v="2025-09-05T00:00:00"/>
    <s v="Friday"/>
    <s v="Morning"/>
    <x v="1"/>
    <n v="0"/>
    <n v="3"/>
    <x v="1"/>
    <x v="0"/>
    <s v="WhatsApp"/>
    <n v="11.7"/>
    <x v="27"/>
    <x v="1"/>
  </r>
  <r>
    <s v="HC-04107"/>
    <s v="P-1123"/>
    <s v="Male"/>
    <n v="80"/>
    <x v="4"/>
    <s v="Follow-up"/>
    <d v="2025-01-29T00:00:00"/>
    <d v="2025-02-26T00:00:00"/>
    <s v="Wednesday"/>
    <s v="Evening"/>
    <x v="3"/>
    <n v="28"/>
    <n v="4"/>
    <x v="1"/>
    <x v="1"/>
    <s v="None"/>
    <n v="0.7"/>
    <x v="18"/>
    <x v="1"/>
  </r>
  <r>
    <s v="HC-04108"/>
    <s v="P-0262"/>
    <s v="Male"/>
    <n v="45"/>
    <x v="2"/>
    <s v="General Consultation"/>
    <d v="2026-02-24T00:00:00"/>
    <d v="2026-04-06T00:00:00"/>
    <s v="Monday"/>
    <s v="Morning"/>
    <x v="2"/>
    <n v="41"/>
    <n v="3"/>
    <x v="1"/>
    <x v="0"/>
    <s v="SMS"/>
    <n v="8.6999999999999993"/>
    <x v="15"/>
    <x v="0"/>
  </r>
  <r>
    <s v="HC-04109"/>
    <s v="P-0780"/>
    <s v="Female"/>
    <n v="20"/>
    <x v="5"/>
    <s v="General Consultation"/>
    <d v="2025-09-16T00:00:00"/>
    <d v="2025-10-07T00:00:00"/>
    <s v="Tuesday"/>
    <s v="Morning"/>
    <x v="3"/>
    <n v="21"/>
    <n v="4"/>
    <x v="1"/>
    <x v="0"/>
    <s v="SMS"/>
    <n v="10.4"/>
    <x v="19"/>
    <x v="1"/>
  </r>
  <r>
    <s v="HC-04110"/>
    <s v="P-1369"/>
    <s v="Female"/>
    <n v="25"/>
    <x v="1"/>
    <s v="General Consultation"/>
    <d v="2025-06-11T00:00:00"/>
    <d v="2025-06-26T00:00:00"/>
    <s v="Thursday"/>
    <s v="Afternoon"/>
    <x v="3"/>
    <n v="15"/>
    <n v="2"/>
    <x v="0"/>
    <x v="1"/>
    <s v="None"/>
    <n v="4.4000000000000004"/>
    <x v="14"/>
    <x v="0"/>
  </r>
  <r>
    <s v="HC-04111"/>
    <s v="P-0241"/>
    <s v="Female"/>
    <n v="22"/>
    <x v="5"/>
    <s v="General Consultation"/>
    <d v="2024-12-24T00:00:00"/>
    <d v="2025-01-02T00:00:00"/>
    <s v="Thursday"/>
    <s v="Morning"/>
    <x v="0"/>
    <n v="9"/>
    <n v="2"/>
    <x v="0"/>
    <x v="1"/>
    <s v="None"/>
    <n v="17.600000000000001"/>
    <x v="47"/>
    <x v="1"/>
  </r>
  <r>
    <s v="HC-04112"/>
    <s v="P-0412"/>
    <s v="Female"/>
    <n v="42"/>
    <x v="0"/>
    <s v="Follow-up"/>
    <d v="2025-08-05T00:00:00"/>
    <d v="2025-09-19T00:00:00"/>
    <s v="Friday"/>
    <s v="Morning"/>
    <x v="2"/>
    <n v="45"/>
    <n v="2"/>
    <x v="0"/>
    <x v="1"/>
    <s v="None"/>
    <n v="3.2"/>
    <x v="26"/>
    <x v="0"/>
  </r>
  <r>
    <s v="HC-04113"/>
    <s v="P-0499"/>
    <s v="Male"/>
    <n v="37"/>
    <x v="0"/>
    <s v="General Consultation"/>
    <d v="2025-01-31T00:00:00"/>
    <d v="2025-03-24T00:00:00"/>
    <s v="Monday"/>
    <s v="Morning"/>
    <x v="2"/>
    <n v="52"/>
    <n v="3"/>
    <x v="0"/>
    <x v="0"/>
    <s v="SMS"/>
    <n v="10.5"/>
    <x v="45"/>
    <x v="0"/>
  </r>
  <r>
    <s v="HC-04114"/>
    <s v="P-1400"/>
    <s v="Female"/>
    <n v="71"/>
    <x v="4"/>
    <s v="Specialist Consultation"/>
    <d v="2026-05-04T00:00:00"/>
    <d v="2026-06-19T00:00:00"/>
    <s v="Friday"/>
    <s v="Afternoon"/>
    <x v="2"/>
    <n v="46"/>
    <n v="5"/>
    <x v="0"/>
    <x v="0"/>
    <s v="WhatsApp"/>
    <m/>
    <x v="22"/>
    <x v="0"/>
  </r>
  <r>
    <s v="HC-04115"/>
    <s v="P-0068"/>
    <s v="Female"/>
    <n v="74"/>
    <x v="4"/>
    <s v="Specialist Consultation"/>
    <d v="2025-05-08T00:00:00"/>
    <d v="2025-06-08T00:00:00"/>
    <s v="Sunday"/>
    <s v="Morning"/>
    <x v="2"/>
    <n v="31"/>
    <n v="2"/>
    <x v="0"/>
    <x v="0"/>
    <s v="SMS"/>
    <n v="12.5"/>
    <x v="37"/>
    <x v="0"/>
  </r>
  <r>
    <s v="HC-04116"/>
    <s v="P-1634"/>
    <s v="Female"/>
    <n v="26"/>
    <x v="1"/>
    <s v="General Consultation"/>
    <d v="2025-08-04T00:00:00"/>
    <d v="2025-09-17T00:00:00"/>
    <s v="Wednesday"/>
    <s v="Afternoon"/>
    <x v="2"/>
    <n v="44"/>
    <n v="3"/>
    <x v="0"/>
    <x v="0"/>
    <s v="SMS"/>
    <n v="8.5"/>
    <x v="23"/>
    <x v="0"/>
  </r>
  <r>
    <s v="HC-04117"/>
    <s v="P-0951"/>
    <s v="Female"/>
    <n v="77"/>
    <x v="4"/>
    <s v="General Consultation"/>
    <d v="2024-12-18T00:00:00"/>
    <d v="2025-01-11T00:00:00"/>
    <s v="Saturday"/>
    <s v="Afternoon"/>
    <x v="3"/>
    <n v="24"/>
    <n v="5"/>
    <x v="0"/>
    <x v="0"/>
    <s v="SMS"/>
    <n v="16.5"/>
    <x v="4"/>
    <x v="1"/>
  </r>
  <r>
    <s v="HC-04118"/>
    <s v="P-0085"/>
    <s v="Female"/>
    <n v="54"/>
    <x v="2"/>
    <s v="General Consultation"/>
    <d v="2025-03-12T00:00:00"/>
    <d v="2025-03-13T00:00:00"/>
    <s v="Thursday"/>
    <s v="Evening"/>
    <x v="1"/>
    <n v="1"/>
    <n v="1"/>
    <x v="0"/>
    <x v="1"/>
    <s v="None"/>
    <n v="3.9"/>
    <x v="36"/>
    <x v="1"/>
  </r>
  <r>
    <s v="HC-04119"/>
    <s v="P-1693"/>
    <s v="Male"/>
    <n v="37"/>
    <x v="0"/>
    <s v="General Consultation"/>
    <d v="2025-04-02T00:00:00"/>
    <d v="2025-04-24T00:00:00"/>
    <s v="Thursday"/>
    <s v="Afternoon"/>
    <x v="3"/>
    <n v="22"/>
    <n v="3"/>
    <x v="1"/>
    <x v="1"/>
    <s v="None"/>
    <n v="6.2"/>
    <x v="11"/>
    <x v="0"/>
  </r>
  <r>
    <s v="HC-04120"/>
    <s v="P-0504"/>
    <s v="Female"/>
    <n v="43"/>
    <x v="0"/>
    <s v="General Consultation"/>
    <d v="2024-12-18T00:00:00"/>
    <d v="2025-01-29T00:00:00"/>
    <s v="Wednesday"/>
    <s v="Afternoon"/>
    <x v="2"/>
    <n v="42"/>
    <n v="4"/>
    <x v="1"/>
    <x v="0"/>
    <s v="WhatsApp"/>
    <n v="12.6"/>
    <x v="10"/>
    <x v="0"/>
  </r>
  <r>
    <s v="HC-04121"/>
    <s v="P-0003"/>
    <s v="Male"/>
    <n v="45"/>
    <x v="2"/>
    <s v="Specialist Consultation"/>
    <d v="2025-12-24T00:00:00"/>
    <d v="2026-02-01T00:00:00"/>
    <s v="Sunday"/>
    <s v="Afternoon"/>
    <x v="2"/>
    <n v="39"/>
    <n v="7"/>
    <x v="2"/>
    <x v="1"/>
    <s v="None"/>
    <n v="9.4"/>
    <x v="17"/>
    <x v="0"/>
  </r>
  <r>
    <s v="HC-04122"/>
    <s v="P-1311"/>
    <s v="Female"/>
    <n v="28"/>
    <x v="1"/>
    <s v="General Consultation"/>
    <d v="2026-04-02T00:00:00"/>
    <d v="2026-06-01T00:00:00"/>
    <s v="Monday"/>
    <s v="Afternoon"/>
    <x v="2"/>
    <n v="60"/>
    <n v="2"/>
    <x v="0"/>
    <x v="0"/>
    <s v="SMS"/>
    <n v="12.7"/>
    <x v="6"/>
    <x v="1"/>
  </r>
  <r>
    <s v="HC-04123"/>
    <s v="P-1046"/>
    <s v="Female"/>
    <n v="72"/>
    <x v="4"/>
    <s v="Follow-up"/>
    <d v="2026-04-24T00:00:00"/>
    <d v="2026-06-23T00:00:00"/>
    <s v="Tuesday"/>
    <s v="Afternoon"/>
    <x v="2"/>
    <n v="60"/>
    <n v="2"/>
    <x v="1"/>
    <x v="0"/>
    <s v="WhatsApp"/>
    <n v="14.2"/>
    <x v="8"/>
    <x v="1"/>
  </r>
  <r>
    <s v="HC-04124"/>
    <s v="P-1019"/>
    <s v="Male"/>
    <n v="18"/>
    <x v="5"/>
    <s v="Follow-up"/>
    <d v="2025-05-12T00:00:00"/>
    <d v="2025-05-26T00:00:00"/>
    <s v="Monday"/>
    <s v="Afternoon"/>
    <x v="0"/>
    <n v="14"/>
    <n v="2"/>
    <x v="1"/>
    <x v="0"/>
    <s v="SMS"/>
    <n v="13.8"/>
    <x v="3"/>
    <x v="0"/>
  </r>
  <r>
    <s v="HC-04125"/>
    <s v="P-0540"/>
    <s v="Male"/>
    <n v="22"/>
    <x v="5"/>
    <s v="Specialist Consultation"/>
    <d v="2026-03-07T00:00:00"/>
    <d v="2026-03-07T00:00:00"/>
    <s v="Saturday"/>
    <s v="Morning"/>
    <x v="1"/>
    <n v="0"/>
    <n v="4"/>
    <x v="1"/>
    <x v="0"/>
    <s v="WhatsApp"/>
    <n v="10.3"/>
    <x v="17"/>
    <x v="1"/>
  </r>
  <r>
    <s v="HC-04126"/>
    <s v="P-0930"/>
    <s v="Female"/>
    <n v="35"/>
    <x v="0"/>
    <s v="General Consultation"/>
    <d v="2025-09-17T00:00:00"/>
    <d v="2025-10-03T00:00:00"/>
    <s v="Friday"/>
    <s v="Afternoon"/>
    <x v="3"/>
    <n v="16"/>
    <n v="4"/>
    <x v="1"/>
    <x v="1"/>
    <s v="None"/>
    <n v="14"/>
    <x v="19"/>
    <x v="0"/>
  </r>
  <r>
    <s v="HC-04127"/>
    <s v="P-1085"/>
    <s v="Female"/>
    <n v="27"/>
    <x v="1"/>
    <s v="General Consultation"/>
    <d v="2024-12-04T00:00:00"/>
    <d v="2025-01-26T00:00:00"/>
    <s v="Sunday"/>
    <s v="Morning"/>
    <x v="2"/>
    <n v="53"/>
    <n v="3"/>
    <x v="0"/>
    <x v="0"/>
    <s v="SMS"/>
    <n v="8"/>
    <x v="7"/>
    <x v="0"/>
  </r>
  <r>
    <s v="HC-04128"/>
    <s v="P-0843"/>
    <s v="Male"/>
    <n v="21"/>
    <x v="5"/>
    <s v="Diagnostic Test"/>
    <d v="2025-01-01T00:00:00"/>
    <d v="2025-02-19T00:00:00"/>
    <s v="Wednesday"/>
    <s v="Afternoon"/>
    <x v="2"/>
    <n v="49"/>
    <n v="3"/>
    <x v="1"/>
    <x v="1"/>
    <s v="None"/>
    <n v="12.1"/>
    <x v="26"/>
    <x v="0"/>
  </r>
  <r>
    <s v="HC-04129"/>
    <s v="P-0580"/>
    <s v="Male"/>
    <n v="42"/>
    <x v="0"/>
    <s v="General Consultation"/>
    <d v="2025-10-21T00:00:00"/>
    <d v="2025-10-27T00:00:00"/>
    <s v="Monday"/>
    <s v="Morning"/>
    <x v="1"/>
    <n v="6"/>
    <n v="2"/>
    <x v="1"/>
    <x v="0"/>
    <s v="SMS"/>
    <n v="3.6"/>
    <x v="0"/>
    <x v="1"/>
  </r>
  <r>
    <s v="HC-04130"/>
    <s v="P-1723"/>
    <s v="Female"/>
    <n v="41"/>
    <x v="0"/>
    <s v="Follow-up"/>
    <d v="2025-08-11T00:00:00"/>
    <d v="2025-08-20T00:00:00"/>
    <s v="Wednesday"/>
    <s v="Morning"/>
    <x v="0"/>
    <n v="9"/>
    <n v="2"/>
    <x v="0"/>
    <x v="0"/>
    <s v="WhatsApp"/>
    <n v="9.6999999999999993"/>
    <x v="20"/>
    <x v="1"/>
  </r>
  <r>
    <s v="HC-04131"/>
    <s v="P-0852"/>
    <s v="Female"/>
    <n v="25"/>
    <x v="1"/>
    <s v="Follow-up"/>
    <d v="2024-12-02T00:00:00"/>
    <d v="2025-01-05T00:00:00"/>
    <s v="Sunday"/>
    <s v="Morning"/>
    <x v="2"/>
    <n v="34"/>
    <n v="3"/>
    <x v="0"/>
    <x v="0"/>
    <s v="SMS"/>
    <n v="10"/>
    <x v="33"/>
    <x v="1"/>
  </r>
  <r>
    <s v="HC-04132"/>
    <s v="P-1399"/>
    <s v="Female"/>
    <n v="69"/>
    <x v="4"/>
    <s v="Follow-up"/>
    <d v="2026-04-13T00:00:00"/>
    <d v="2026-05-23T00:00:00"/>
    <s v="Saturday"/>
    <s v="Morning"/>
    <x v="2"/>
    <n v="40"/>
    <n v="1"/>
    <x v="0"/>
    <x v="0"/>
    <s v="Email"/>
    <n v="21.9"/>
    <x v="49"/>
    <x v="0"/>
  </r>
  <r>
    <s v="HC-04133"/>
    <s v="P-0623"/>
    <s v="Male"/>
    <n v="73"/>
    <x v="4"/>
    <s v="General Consultation"/>
    <d v="2025-12-06T00:00:00"/>
    <d v="2026-02-03T00:00:00"/>
    <s v="Tuesday"/>
    <s v="Morning"/>
    <x v="2"/>
    <n v="59"/>
    <n v="1"/>
    <x v="0"/>
    <x v="0"/>
    <s v="Email"/>
    <n v="7.4"/>
    <x v="17"/>
    <x v="1"/>
  </r>
  <r>
    <s v="HC-04134"/>
    <s v="P-0996"/>
    <s v="Male"/>
    <n v="63"/>
    <x v="3"/>
    <s v="General Consultation"/>
    <d v="2025-08-17T00:00:00"/>
    <d v="2025-10-02T00:00:00"/>
    <s v="Thursday"/>
    <s v="Morning"/>
    <x v="2"/>
    <n v="46"/>
    <n v="4"/>
    <x v="2"/>
    <x v="0"/>
    <s v="SMS"/>
    <n v="2.8"/>
    <x v="35"/>
    <x v="1"/>
  </r>
  <r>
    <s v="HC-04135"/>
    <s v="P-0879"/>
    <s v="Female"/>
    <n v="50"/>
    <x v="2"/>
    <s v="Follow-up"/>
    <d v="2026-06-11T00:00:00"/>
    <d v="2026-06-23T00:00:00"/>
    <s v="Tuesday"/>
    <s v="Afternoon"/>
    <x v="0"/>
    <n v="12"/>
    <n v="4"/>
    <x v="1"/>
    <x v="0"/>
    <s v="WhatsApp"/>
    <n v="2.8"/>
    <x v="31"/>
    <x v="0"/>
  </r>
  <r>
    <s v="HC-04136"/>
    <s v="P-0589"/>
    <s v="Female"/>
    <n v="77"/>
    <x v="4"/>
    <s v="Follow-up"/>
    <d v="2026-06-13T00:00:00"/>
    <d v="2026-06-15T00:00:00"/>
    <s v="Monday"/>
    <s v="Morning"/>
    <x v="1"/>
    <n v="2"/>
    <n v="4"/>
    <x v="0"/>
    <x v="0"/>
    <s v="SMS"/>
    <n v="21.8"/>
    <x v="51"/>
    <x v="1"/>
  </r>
  <r>
    <s v="HC-04137"/>
    <s v="P-1724"/>
    <s v="Female"/>
    <n v="40"/>
    <x v="0"/>
    <s v="Specialist Consultation"/>
    <d v="2026-05-09T00:00:00"/>
    <d v="2026-06-16T00:00:00"/>
    <s v="Tuesday"/>
    <s v="Evening"/>
    <x v="2"/>
    <n v="38"/>
    <n v="2"/>
    <x v="0"/>
    <x v="0"/>
    <s v="WhatsApp"/>
    <n v="19.2"/>
    <x v="27"/>
    <x v="1"/>
  </r>
  <r>
    <s v="HC-04138"/>
    <s v="P-0043"/>
    <s v="Male"/>
    <n v="44"/>
    <x v="0"/>
    <s v="Specialist Consultation"/>
    <d v="2025-04-19T00:00:00"/>
    <d v="2025-05-22T00:00:00"/>
    <s v="Thursday"/>
    <s v="Afternoon"/>
    <x v="2"/>
    <n v="33"/>
    <n v="5"/>
    <x v="1"/>
    <x v="0"/>
    <s v="WhatsApp"/>
    <n v="10.9"/>
    <x v="26"/>
    <x v="0"/>
  </r>
  <r>
    <s v="HC-04139"/>
    <s v="P-0800"/>
    <s v="Male"/>
    <n v="18"/>
    <x v="5"/>
    <s v="Diagnostic Test"/>
    <d v="2026-03-01T00:00:00"/>
    <d v="2026-04-26T00:00:00"/>
    <s v="Sunday"/>
    <s v="Morning"/>
    <x v="2"/>
    <n v="56"/>
    <n v="1"/>
    <x v="0"/>
    <x v="1"/>
    <s v="None"/>
    <n v="2.2000000000000002"/>
    <x v="12"/>
    <x v="0"/>
  </r>
  <r>
    <s v="HC-04140"/>
    <s v="P-1220"/>
    <s v="Male"/>
    <n v="62"/>
    <x v="3"/>
    <s v="Diagnostic Test"/>
    <d v="2025-08-29T00:00:00"/>
    <d v="2025-10-03T00:00:00"/>
    <s v="Friday"/>
    <s v="Morning"/>
    <x v="2"/>
    <n v="35"/>
    <n v="7"/>
    <x v="1"/>
    <x v="0"/>
    <s v="WhatsApp"/>
    <n v="11"/>
    <x v="27"/>
    <x v="1"/>
  </r>
  <r>
    <s v="HC-04141"/>
    <s v="P-0358"/>
    <s v="Male"/>
    <n v="23"/>
    <x v="5"/>
    <s v="Specialist Consultation"/>
    <d v="2026-01-02T00:00:00"/>
    <d v="2026-02-01T00:00:00"/>
    <s v="Sunday"/>
    <s v="Morning"/>
    <x v="3"/>
    <n v="30"/>
    <n v="4"/>
    <x v="0"/>
    <x v="0"/>
    <s v="Email"/>
    <n v="11.6"/>
    <x v="14"/>
    <x v="1"/>
  </r>
  <r>
    <s v="HC-04142"/>
    <s v="P-0280"/>
    <s v="Female"/>
    <n v="59"/>
    <x v="3"/>
    <s v="General Consultation"/>
    <d v="2026-03-28T00:00:00"/>
    <d v="2026-04-15T00:00:00"/>
    <s v="Wednesday"/>
    <s v="Morning"/>
    <x v="3"/>
    <n v="18"/>
    <n v="0"/>
    <x v="0"/>
    <x v="1"/>
    <s v="None"/>
    <n v="8.8000000000000007"/>
    <x v="28"/>
    <x v="0"/>
  </r>
  <r>
    <s v="HC-04143"/>
    <s v="P-0717"/>
    <s v="Male"/>
    <n v="67"/>
    <x v="4"/>
    <s v="General Consultation"/>
    <d v="2025-03-26T00:00:00"/>
    <d v="2025-03-31T00:00:00"/>
    <s v="Monday"/>
    <s v="Afternoon"/>
    <x v="1"/>
    <n v="5"/>
    <n v="1"/>
    <x v="0"/>
    <x v="1"/>
    <s v="None"/>
    <n v="11"/>
    <x v="17"/>
    <x v="1"/>
  </r>
  <r>
    <s v="HC-04144"/>
    <s v="P-0283"/>
    <s v="Female"/>
    <n v="31"/>
    <x v="1"/>
    <s v="Follow-up"/>
    <d v="2025-07-11T00:00:00"/>
    <d v="2025-09-02T00:00:00"/>
    <s v="Tuesday"/>
    <s v="Afternoon"/>
    <x v="2"/>
    <n v="53"/>
    <n v="3"/>
    <x v="0"/>
    <x v="0"/>
    <s v="Email"/>
    <n v="6.7"/>
    <x v="38"/>
    <x v="0"/>
  </r>
  <r>
    <s v="HC-04145"/>
    <s v="P-0321"/>
    <s v="Female"/>
    <n v="56"/>
    <x v="3"/>
    <s v="Follow-up"/>
    <d v="2025-01-21T00:00:00"/>
    <d v="2025-03-12T00:00:00"/>
    <s v="Wednesday"/>
    <s v="Afternoon"/>
    <x v="2"/>
    <n v="50"/>
    <n v="2"/>
    <x v="0"/>
    <x v="0"/>
    <s v="WhatsApp"/>
    <n v="2.2000000000000002"/>
    <x v="7"/>
    <x v="1"/>
  </r>
  <r>
    <s v="HC-04146"/>
    <s v="P-0189"/>
    <s v="Female"/>
    <n v="37"/>
    <x v="0"/>
    <s v="General Consultation"/>
    <d v="2025-05-24T00:00:00"/>
    <d v="2025-06-02T00:00:00"/>
    <s v="Monday"/>
    <s v="Morning"/>
    <x v="0"/>
    <n v="9"/>
    <n v="3"/>
    <x v="1"/>
    <x v="0"/>
    <s v="SMS"/>
    <n v="15"/>
    <x v="15"/>
    <x v="2"/>
  </r>
  <r>
    <s v="HC-04147"/>
    <s v="P-1759"/>
    <s v="Male"/>
    <n v="43"/>
    <x v="0"/>
    <s v="Follow-up"/>
    <d v="2025-07-03T00:00:00"/>
    <d v="2025-08-14T00:00:00"/>
    <s v="Thursday"/>
    <s v="Afternoon"/>
    <x v="2"/>
    <n v="42"/>
    <n v="3"/>
    <x v="1"/>
    <x v="0"/>
    <s v="SMS"/>
    <n v="10.7"/>
    <x v="20"/>
    <x v="1"/>
  </r>
  <r>
    <s v="HC-04148"/>
    <s v="P-1586"/>
    <s v="Female"/>
    <n v="51"/>
    <x v="2"/>
    <s v="General Consultation"/>
    <d v="2026-03-22T00:00:00"/>
    <d v="2026-04-13T00:00:00"/>
    <s v="Monday"/>
    <s v="Morning"/>
    <x v="3"/>
    <n v="22"/>
    <n v="4"/>
    <x v="0"/>
    <x v="0"/>
    <s v="WhatsApp"/>
    <n v="19.2"/>
    <x v="51"/>
    <x v="1"/>
  </r>
  <r>
    <s v="HC-04149"/>
    <s v="P-1119"/>
    <s v="Female"/>
    <n v="33"/>
    <x v="1"/>
    <s v="General Consultation"/>
    <d v="2026-03-22T00:00:00"/>
    <d v="2026-04-17T00:00:00"/>
    <s v="Friday"/>
    <s v="Afternoon"/>
    <x v="3"/>
    <n v="26"/>
    <n v="1"/>
    <x v="0"/>
    <x v="0"/>
    <s v="Email"/>
    <n v="13.6"/>
    <x v="28"/>
    <x v="1"/>
  </r>
  <r>
    <s v="HC-04150"/>
    <s v="P-1040"/>
    <s v="Male"/>
    <n v="68"/>
    <x v="4"/>
    <s v="Specialist Consultation"/>
    <d v="2025-06-11T00:00:00"/>
    <d v="2025-08-01T00:00:00"/>
    <s v="Friday"/>
    <s v="Evening"/>
    <x v="2"/>
    <n v="51"/>
    <n v="2"/>
    <x v="1"/>
    <x v="1"/>
    <s v="None"/>
    <n v="4.7"/>
    <x v="27"/>
    <x v="0"/>
  </r>
  <r>
    <s v="HC-04151"/>
    <s v="P-0652"/>
    <s v="Male"/>
    <n v="42"/>
    <x v="0"/>
    <s v="Follow-up"/>
    <d v="2025-05-09T00:00:00"/>
    <d v="2025-06-29T00:00:00"/>
    <s v="Sunday"/>
    <s v="Morning"/>
    <x v="2"/>
    <n v="51"/>
    <n v="6"/>
    <x v="1"/>
    <x v="0"/>
    <s v="SMS"/>
    <n v="1.8"/>
    <x v="25"/>
    <x v="1"/>
  </r>
  <r>
    <s v="HC-04152"/>
    <s v="P-1446"/>
    <s v="Female"/>
    <n v="47"/>
    <x v="2"/>
    <s v="Follow-up"/>
    <d v="2025-10-06T00:00:00"/>
    <d v="2025-10-17T00:00:00"/>
    <s v="Friday"/>
    <s v="Afternoon"/>
    <x v="0"/>
    <n v="11"/>
    <n v="2"/>
    <x v="0"/>
    <x v="1"/>
    <s v="None"/>
    <n v="11.4"/>
    <x v="47"/>
    <x v="0"/>
  </r>
  <r>
    <s v="HC-04153"/>
    <s v="P-0576"/>
    <s v="Female"/>
    <n v="69"/>
    <x v="4"/>
    <s v="Follow-up"/>
    <d v="2026-04-25T00:00:00"/>
    <d v="2026-05-13T00:00:00"/>
    <s v="Wednesday"/>
    <s v="Afternoon"/>
    <x v="3"/>
    <n v="18"/>
    <n v="2"/>
    <x v="0"/>
    <x v="0"/>
    <s v="SMS"/>
    <n v="8.8000000000000007"/>
    <x v="4"/>
    <x v="2"/>
  </r>
  <r>
    <s v="HC-04154"/>
    <s v="P-0028"/>
    <s v="Male"/>
    <n v="32"/>
    <x v="1"/>
    <s v="Follow-up"/>
    <d v="2026-04-29T00:00:00"/>
    <d v="2026-06-18T00:00:00"/>
    <s v="Thursday"/>
    <s v="Afternoon"/>
    <x v="2"/>
    <n v="50"/>
    <n v="7"/>
    <x v="0"/>
    <x v="0"/>
    <s v="SMS"/>
    <n v="9.3000000000000007"/>
    <x v="26"/>
    <x v="0"/>
  </r>
  <r>
    <s v="HC-04155"/>
    <s v="P-0359"/>
    <s v="Female"/>
    <n v="46"/>
    <x v="2"/>
    <s v="General Consultation"/>
    <d v="2025-03-10T00:00:00"/>
    <d v="2025-05-04T00:00:00"/>
    <s v="Sunday"/>
    <s v="Morning"/>
    <x v="2"/>
    <n v="55"/>
    <n v="4"/>
    <x v="2"/>
    <x v="0"/>
    <s v="SMS"/>
    <n v="10.8"/>
    <x v="19"/>
    <x v="0"/>
  </r>
  <r>
    <s v="HC-04156"/>
    <s v="P-0856"/>
    <s v="Female"/>
    <n v="80"/>
    <x v="4"/>
    <s v="Follow-up"/>
    <d v="2025-04-08T00:00:00"/>
    <d v="2025-04-12T00:00:00"/>
    <s v="Saturday"/>
    <s v="Afternoon"/>
    <x v="1"/>
    <n v="4"/>
    <n v="5"/>
    <x v="0"/>
    <x v="1"/>
    <s v="None"/>
    <n v="1.6"/>
    <x v="49"/>
    <x v="1"/>
  </r>
  <r>
    <s v="HC-04157"/>
    <s v="P-1163"/>
    <s v="Female"/>
    <n v="43"/>
    <x v="0"/>
    <s v="General Consultation"/>
    <d v="2025-12-02T00:00:00"/>
    <d v="2026-01-21T00:00:00"/>
    <s v="Wednesday"/>
    <s v="Morning"/>
    <x v="2"/>
    <n v="50"/>
    <n v="3"/>
    <x v="0"/>
    <x v="0"/>
    <s v="WhatsApp"/>
    <n v="7.9"/>
    <x v="12"/>
    <x v="1"/>
  </r>
  <r>
    <s v="HC-04158"/>
    <s v="P-1125"/>
    <s v="Female"/>
    <n v="25"/>
    <x v="1"/>
    <s v="Follow-up"/>
    <d v="2025-05-16T00:00:00"/>
    <d v="2025-06-14T00:00:00"/>
    <s v="Saturday"/>
    <s v="Morning"/>
    <x v="3"/>
    <n v="29"/>
    <n v="2"/>
    <x v="0"/>
    <x v="0"/>
    <s v="SMS"/>
    <n v="4.7"/>
    <x v="9"/>
    <x v="1"/>
  </r>
  <r>
    <s v="HC-04159"/>
    <s v="P-0709"/>
    <s v="Male"/>
    <n v="35"/>
    <x v="0"/>
    <s v="General Consultation"/>
    <d v="2025-03-15T00:00:00"/>
    <d v="2025-04-20T00:00:00"/>
    <s v="Sunday"/>
    <s v="Afternoon"/>
    <x v="2"/>
    <n v="36"/>
    <n v="4"/>
    <x v="0"/>
    <x v="0"/>
    <s v="WhatsApp"/>
    <n v="9.6999999999999993"/>
    <x v="18"/>
    <x v="2"/>
  </r>
  <r>
    <s v="HC-04160"/>
    <s v="P-1649"/>
    <s v="Male"/>
    <n v="78"/>
    <x v="4"/>
    <s v="Diagnostic Test"/>
    <d v="2025-01-13T00:00:00"/>
    <d v="2025-01-17T00:00:00"/>
    <s v="Friday"/>
    <s v="Morning"/>
    <x v="1"/>
    <n v="4"/>
    <n v="2"/>
    <x v="0"/>
    <x v="0"/>
    <s v="SMS"/>
    <n v="5"/>
    <x v="45"/>
    <x v="1"/>
  </r>
  <r>
    <s v="HC-04161"/>
    <s v="P-0544"/>
    <s v="Female"/>
    <n v="65"/>
    <x v="4"/>
    <s v="Specialist Consultation"/>
    <d v="2025-06-29T00:00:00"/>
    <d v="2025-08-09T00:00:00"/>
    <s v="Saturday"/>
    <s v="Morning"/>
    <x v="2"/>
    <n v="41"/>
    <n v="1"/>
    <x v="1"/>
    <x v="1"/>
    <s v="None"/>
    <n v="6.7"/>
    <x v="13"/>
    <x v="1"/>
  </r>
  <r>
    <s v="HC-04162"/>
    <s v="P-1079"/>
    <s v="Male"/>
    <n v="68"/>
    <x v="4"/>
    <s v="General Consultation"/>
    <d v="2025-06-22T00:00:00"/>
    <d v="2025-08-02T00:00:00"/>
    <s v="Saturday"/>
    <s v="Evening"/>
    <x v="2"/>
    <n v="41"/>
    <n v="3"/>
    <x v="0"/>
    <x v="0"/>
    <s v="WhatsApp"/>
    <n v="6.4"/>
    <x v="2"/>
    <x v="0"/>
  </r>
  <r>
    <s v="HC-04163"/>
    <s v="P-0220"/>
    <s v="Male"/>
    <n v="33"/>
    <x v="1"/>
    <s v="General Consultation"/>
    <d v="2025-09-25T00:00:00"/>
    <d v="2025-11-04T00:00:00"/>
    <s v="Tuesday"/>
    <s v="Morning"/>
    <x v="2"/>
    <n v="40"/>
    <n v="7"/>
    <x v="0"/>
    <x v="0"/>
    <s v="SMS"/>
    <n v="6.7"/>
    <x v="17"/>
    <x v="0"/>
  </r>
  <r>
    <s v="HC-04164"/>
    <s v="P-0237"/>
    <s v="Male"/>
    <n v="70"/>
    <x v="4"/>
    <s v="General Consultation"/>
    <d v="2025-03-03T00:00:00"/>
    <d v="2025-04-20T00:00:00"/>
    <s v="Sunday"/>
    <s v="Afternoon"/>
    <x v="2"/>
    <n v="48"/>
    <n v="0"/>
    <x v="0"/>
    <x v="1"/>
    <s v="None"/>
    <n v="14.5"/>
    <x v="12"/>
    <x v="0"/>
  </r>
  <r>
    <s v="HC-04165"/>
    <s v="P-1637"/>
    <s v="Female"/>
    <n v="42"/>
    <x v="0"/>
    <s v="Specialist Consultation"/>
    <d v="2025-11-30T00:00:00"/>
    <d v="2026-01-26T00:00:00"/>
    <s v="Monday"/>
    <s v="Afternoon"/>
    <x v="2"/>
    <n v="57"/>
    <n v="2"/>
    <x v="1"/>
    <x v="0"/>
    <s v="WhatsApp"/>
    <n v="6.4"/>
    <x v="31"/>
    <x v="0"/>
  </r>
  <r>
    <s v="HC-04166"/>
    <s v="P-1279"/>
    <s v="Female"/>
    <n v="68"/>
    <x v="4"/>
    <s v="Follow-up"/>
    <d v="2025-11-17T00:00:00"/>
    <d v="2026-01-07T00:00:00"/>
    <s v="Wednesday"/>
    <s v="Morning"/>
    <x v="2"/>
    <n v="51"/>
    <n v="4"/>
    <x v="2"/>
    <x v="1"/>
    <s v="None"/>
    <n v="15.3"/>
    <x v="11"/>
    <x v="0"/>
  </r>
  <r>
    <s v="HC-04167"/>
    <s v="P-1203"/>
    <s v="Male"/>
    <n v="73"/>
    <x v="4"/>
    <s v="Specialist Consultation"/>
    <d v="2025-07-27T00:00:00"/>
    <d v="2025-09-10T00:00:00"/>
    <s v="Wednesday"/>
    <s v="Afternoon"/>
    <x v="2"/>
    <n v="45"/>
    <n v="8"/>
    <x v="3"/>
    <x v="0"/>
    <s v="SMS"/>
    <n v="1.1000000000000001"/>
    <x v="4"/>
    <x v="0"/>
  </r>
  <r>
    <s v="HC-04168"/>
    <s v="P-0642"/>
    <s v="Male"/>
    <n v="31"/>
    <x v="1"/>
    <s v="Diagnostic Test"/>
    <d v="2025-02-10T00:00:00"/>
    <d v="2025-04-10T00:00:00"/>
    <s v="Thursday"/>
    <s v="Afternoon"/>
    <x v="2"/>
    <n v="59"/>
    <n v="4"/>
    <x v="0"/>
    <x v="1"/>
    <s v="None"/>
    <n v="5"/>
    <x v="46"/>
    <x v="0"/>
  </r>
  <r>
    <s v="HC-04169"/>
    <s v="P-1344"/>
    <s v="Female"/>
    <n v="77"/>
    <x v="4"/>
    <s v="Follow-up"/>
    <d v="2025-08-24T00:00:00"/>
    <d v="2025-10-04T00:00:00"/>
    <s v="Saturday"/>
    <s v="Afternoon"/>
    <x v="2"/>
    <n v="41"/>
    <n v="3"/>
    <x v="1"/>
    <x v="0"/>
    <s v="SMS"/>
    <n v="1.5"/>
    <x v="7"/>
    <x v="0"/>
  </r>
  <r>
    <s v="HC-04170"/>
    <s v="P-0437"/>
    <s v="Female"/>
    <n v="57"/>
    <x v="3"/>
    <s v="Follow-up"/>
    <d v="2025-11-25T00:00:00"/>
    <d v="2026-01-04T00:00:00"/>
    <s v="Sunday"/>
    <s v="Afternoon"/>
    <x v="2"/>
    <n v="40"/>
    <n v="3"/>
    <x v="1"/>
    <x v="0"/>
    <s v="SMS"/>
    <n v="13.1"/>
    <x v="23"/>
    <x v="0"/>
  </r>
  <r>
    <s v="HC-04171"/>
    <s v="P-1132"/>
    <s v="Female"/>
    <n v="64"/>
    <x v="3"/>
    <s v="Follow-up"/>
    <d v="2025-06-20T00:00:00"/>
    <d v="2025-07-23T00:00:00"/>
    <s v="Wednesday"/>
    <s v="Evening"/>
    <x v="2"/>
    <n v="33"/>
    <n v="5"/>
    <x v="0"/>
    <x v="0"/>
    <s v="SMS"/>
    <n v="8.1999999999999993"/>
    <x v="31"/>
    <x v="1"/>
  </r>
  <r>
    <s v="HC-04172"/>
    <s v="P-1529"/>
    <s v="Female"/>
    <n v="65"/>
    <x v="4"/>
    <s v="Follow-up"/>
    <d v="2025-04-08T00:00:00"/>
    <d v="2025-05-24T00:00:00"/>
    <s v="Saturday"/>
    <s v="Evening"/>
    <x v="2"/>
    <n v="46"/>
    <n v="3"/>
    <x v="1"/>
    <x v="0"/>
    <s v="WhatsApp"/>
    <n v="7.2"/>
    <x v="10"/>
    <x v="0"/>
  </r>
  <r>
    <s v="HC-04173"/>
    <s v="P-1448"/>
    <s v="Female"/>
    <n v="28"/>
    <x v="1"/>
    <s v="Follow-up"/>
    <d v="2025-09-30T00:00:00"/>
    <d v="2025-10-04T00:00:00"/>
    <s v="Saturday"/>
    <s v="Morning"/>
    <x v="1"/>
    <n v="4"/>
    <n v="5"/>
    <x v="1"/>
    <x v="0"/>
    <s v="SMS"/>
    <n v="5.6"/>
    <x v="46"/>
    <x v="1"/>
  </r>
  <r>
    <s v="HC-04174"/>
    <s v="P-1007"/>
    <s v="Female"/>
    <n v="64"/>
    <x v="3"/>
    <s v="Specialist Consultation"/>
    <d v="2025-06-13T00:00:00"/>
    <d v="2025-07-13T00:00:00"/>
    <s v="Sunday"/>
    <s v="Morning"/>
    <x v="3"/>
    <n v="30"/>
    <n v="1"/>
    <x v="0"/>
    <x v="0"/>
    <s v="WhatsApp"/>
    <n v="14.6"/>
    <x v="15"/>
    <x v="2"/>
  </r>
  <r>
    <s v="HC-04175"/>
    <s v="P-0598"/>
    <s v="Female"/>
    <n v="31"/>
    <x v="1"/>
    <s v="General Consultation"/>
    <d v="2025-07-13T00:00:00"/>
    <d v="2025-08-07T00:00:00"/>
    <s v="Thursday"/>
    <s v="Afternoon"/>
    <x v="3"/>
    <n v="25"/>
    <n v="4"/>
    <x v="0"/>
    <x v="0"/>
    <s v="SMS"/>
    <n v="10.1"/>
    <x v="17"/>
    <x v="1"/>
  </r>
  <r>
    <s v="HC-04176"/>
    <s v="P-0887"/>
    <s v="Male"/>
    <n v="35"/>
    <x v="0"/>
    <s v="General Consultation"/>
    <d v="2025-05-16T00:00:00"/>
    <d v="2025-07-10T00:00:00"/>
    <s v="Thursday"/>
    <s v="Evening"/>
    <x v="2"/>
    <n v="55"/>
    <n v="2"/>
    <x v="0"/>
    <x v="0"/>
    <s v="SMS"/>
    <n v="5.6"/>
    <x v="26"/>
    <x v="0"/>
  </r>
  <r>
    <s v="HC-04177"/>
    <s v="P-1786"/>
    <s v="Male"/>
    <n v="25"/>
    <x v="1"/>
    <s v="General Consultation"/>
    <d v="2025-06-11T00:00:00"/>
    <d v="2025-06-15T00:00:00"/>
    <s v="Sunday"/>
    <s v="Afternoon"/>
    <x v="1"/>
    <n v="4"/>
    <n v="2"/>
    <x v="0"/>
    <x v="0"/>
    <s v="SMS"/>
    <n v="27.2"/>
    <x v="35"/>
    <x v="1"/>
  </r>
  <r>
    <s v="HC-04178"/>
    <s v="P-1514"/>
    <s v="Female"/>
    <n v="29"/>
    <x v="1"/>
    <s v="Diagnostic Test"/>
    <d v="2025-12-19T00:00:00"/>
    <d v="2026-01-27T00:00:00"/>
    <s v="Tuesday"/>
    <s v="Morning"/>
    <x v="2"/>
    <n v="39"/>
    <n v="4"/>
    <x v="0"/>
    <x v="1"/>
    <s v="None"/>
    <n v="6.6"/>
    <x v="8"/>
    <x v="2"/>
  </r>
  <r>
    <s v="HC-04179"/>
    <s v="P-0101"/>
    <s v="Female"/>
    <n v="79"/>
    <x v="4"/>
    <s v="Follow-up"/>
    <d v="2025-08-29T00:00:00"/>
    <d v="2025-09-09T00:00:00"/>
    <s v="Tuesday"/>
    <s v="Evening"/>
    <x v="0"/>
    <n v="11"/>
    <n v="7"/>
    <x v="0"/>
    <x v="0"/>
    <s v="SMS"/>
    <n v="2.2000000000000002"/>
    <x v="25"/>
    <x v="1"/>
  </r>
  <r>
    <s v="HC-04180"/>
    <s v="P-1694"/>
    <s v="Female"/>
    <n v="38"/>
    <x v="0"/>
    <s v="General Consultation"/>
    <d v="2025-07-21T00:00:00"/>
    <d v="2025-09-12T00:00:00"/>
    <s v="Friday"/>
    <s v="Morning"/>
    <x v="2"/>
    <n v="53"/>
    <n v="3"/>
    <x v="1"/>
    <x v="0"/>
    <s v="WhatsApp"/>
    <n v="16.399999999999999"/>
    <x v="19"/>
    <x v="0"/>
  </r>
  <r>
    <s v="HC-04181"/>
    <s v="P-1699"/>
    <s v="Female"/>
    <n v="42"/>
    <x v="0"/>
    <s v="General Consultation"/>
    <d v="2025-11-02T00:00:00"/>
    <d v="2025-12-23T00:00:00"/>
    <s v="Tuesday"/>
    <s v="Morning"/>
    <x v="2"/>
    <n v="51"/>
    <n v="4"/>
    <x v="0"/>
    <x v="0"/>
    <s v="SMS"/>
    <n v="5.8"/>
    <x v="0"/>
    <x v="0"/>
  </r>
  <r>
    <s v="HC-04182"/>
    <s v="P-1150"/>
    <s v="Male"/>
    <n v="48"/>
    <x v="2"/>
    <s v="Follow-up"/>
    <d v="2025-07-03T00:00:00"/>
    <d v="2025-07-17T00:00:00"/>
    <s v="Thursday"/>
    <s v="Afternoon"/>
    <x v="0"/>
    <n v="14"/>
    <n v="4"/>
    <x v="0"/>
    <x v="0"/>
    <s v="WhatsApp"/>
    <n v="4.2"/>
    <x v="16"/>
    <x v="1"/>
  </r>
  <r>
    <s v="HC-04183"/>
    <s v="P-0982"/>
    <s v="Female"/>
    <n v="62"/>
    <x v="3"/>
    <s v="Specialist Consultation"/>
    <d v="2025-01-03T00:00:00"/>
    <d v="2025-02-25T00:00:00"/>
    <s v="Tuesday"/>
    <s v="Morning"/>
    <x v="2"/>
    <n v="53"/>
    <n v="2"/>
    <x v="0"/>
    <x v="0"/>
    <s v="SMS"/>
    <n v="12.7"/>
    <x v="19"/>
    <x v="0"/>
  </r>
  <r>
    <s v="HC-04184"/>
    <s v="P-1522"/>
    <s v="Male"/>
    <n v="54"/>
    <x v="2"/>
    <s v="Diagnostic Test"/>
    <d v="2026-03-12T00:00:00"/>
    <d v="2026-04-11T00:00:00"/>
    <s v="Saturday"/>
    <s v="Afternoon"/>
    <x v="3"/>
    <n v="30"/>
    <n v="2"/>
    <x v="0"/>
    <x v="0"/>
    <s v="SMS"/>
    <n v="10.8"/>
    <x v="47"/>
    <x v="0"/>
  </r>
  <r>
    <s v="HC-04185"/>
    <s v="P-0592"/>
    <s v="Female"/>
    <n v="51"/>
    <x v="2"/>
    <s v="Specialist Consultation"/>
    <d v="2024-12-03T00:00:00"/>
    <d v="2025-01-31T00:00:00"/>
    <s v="Friday"/>
    <s v="Morning"/>
    <x v="2"/>
    <n v="59"/>
    <n v="4"/>
    <x v="0"/>
    <x v="1"/>
    <s v="None"/>
    <n v="5.5"/>
    <x v="10"/>
    <x v="0"/>
  </r>
  <r>
    <s v="HC-04186"/>
    <s v="P-0761"/>
    <s v="Male"/>
    <n v="70"/>
    <x v="4"/>
    <s v="Specialist Consultation"/>
    <d v="2025-09-26T00:00:00"/>
    <d v="2025-11-09T00:00:00"/>
    <s v="Sunday"/>
    <s v="Afternoon"/>
    <x v="2"/>
    <n v="44"/>
    <n v="2"/>
    <x v="1"/>
    <x v="0"/>
    <s v="SMS"/>
    <n v="5.2"/>
    <x v="12"/>
    <x v="0"/>
  </r>
  <r>
    <s v="HC-04187"/>
    <s v="P-0546"/>
    <s v="Male"/>
    <n v="49"/>
    <x v="2"/>
    <s v="General Consultation"/>
    <d v="2025-05-24T00:00:00"/>
    <d v="2025-05-26T00:00:00"/>
    <s v="Monday"/>
    <s v="Evening"/>
    <x v="1"/>
    <n v="2"/>
    <n v="7"/>
    <x v="2"/>
    <x v="1"/>
    <s v="None"/>
    <n v="14.1"/>
    <x v="19"/>
    <x v="1"/>
  </r>
  <r>
    <s v="HC-04188"/>
    <s v="P-1627"/>
    <s v="Male"/>
    <n v="66"/>
    <x v="4"/>
    <s v="General Consultation"/>
    <d v="2025-04-15T00:00:00"/>
    <d v="2025-04-27T00:00:00"/>
    <s v="Sunday"/>
    <s v="Morning"/>
    <x v="0"/>
    <n v="12"/>
    <n v="5"/>
    <x v="0"/>
    <x v="0"/>
    <s v="SMS"/>
    <n v="9.1"/>
    <x v="37"/>
    <x v="1"/>
  </r>
  <r>
    <s v="HC-04189"/>
    <s v="P-1062"/>
    <s v="Male"/>
    <n v="75"/>
    <x v="4"/>
    <s v="Follow-up"/>
    <d v="2024-12-30T00:00:00"/>
    <d v="2025-01-23T00:00:00"/>
    <s v="Thursday"/>
    <s v="Afternoon"/>
    <x v="3"/>
    <n v="24"/>
    <n v="3"/>
    <x v="1"/>
    <x v="0"/>
    <s v="WhatsApp"/>
    <n v="14.1"/>
    <x v="18"/>
    <x v="1"/>
  </r>
  <r>
    <s v="HC-04190"/>
    <s v="P-1295"/>
    <s v="Female"/>
    <n v="60"/>
    <x v="3"/>
    <s v="Follow-up"/>
    <d v="2026-04-25T00:00:00"/>
    <d v="2026-05-07T00:00:00"/>
    <s v="Thursday"/>
    <s v="Afternoon"/>
    <x v="0"/>
    <n v="12"/>
    <n v="4"/>
    <x v="0"/>
    <x v="0"/>
    <s v="Email"/>
    <n v="7.9"/>
    <x v="17"/>
    <x v="1"/>
  </r>
  <r>
    <s v="HC-04191"/>
    <s v="P-0095"/>
    <s v="Female"/>
    <n v="20"/>
    <x v="5"/>
    <s v="General Consultation"/>
    <d v="2025-08-15T00:00:00"/>
    <d v="2025-08-23T00:00:00"/>
    <s v="Saturday"/>
    <s v="Morning"/>
    <x v="0"/>
    <n v="8"/>
    <n v="1"/>
    <x v="0"/>
    <x v="0"/>
    <s v="WhatsApp"/>
    <n v="3.7"/>
    <x v="19"/>
    <x v="1"/>
  </r>
  <r>
    <s v="HC-04192"/>
    <s v="P-1640"/>
    <s v="Female"/>
    <n v="34"/>
    <x v="1"/>
    <s v="Specialist Consultation"/>
    <d v="2025-05-09T00:00:00"/>
    <d v="2025-07-07T00:00:00"/>
    <s v="Monday"/>
    <s v="Afternoon"/>
    <x v="2"/>
    <n v="59"/>
    <n v="1"/>
    <x v="0"/>
    <x v="0"/>
    <s v="SMS"/>
    <n v="10.8"/>
    <x v="6"/>
    <x v="0"/>
  </r>
  <r>
    <s v="HC-04193"/>
    <s v="P-1104"/>
    <s v="Male"/>
    <n v="56"/>
    <x v="3"/>
    <s v="General Consultation"/>
    <d v="2025-12-18T00:00:00"/>
    <d v="2026-02-09T00:00:00"/>
    <s v="Monday"/>
    <s v="Afternoon"/>
    <x v="2"/>
    <n v="53"/>
    <n v="4"/>
    <x v="2"/>
    <x v="0"/>
    <s v="WhatsApp"/>
    <n v="11.8"/>
    <x v="13"/>
    <x v="0"/>
  </r>
  <r>
    <s v="HC-04194"/>
    <s v="P-1556"/>
    <s v="Male"/>
    <n v="48"/>
    <x v="2"/>
    <s v="General Consultation"/>
    <d v="2024-12-27T00:00:00"/>
    <d v="2025-01-22T00:00:00"/>
    <s v="Wednesday"/>
    <s v="Morning"/>
    <x v="3"/>
    <n v="26"/>
    <n v="3"/>
    <x v="0"/>
    <x v="0"/>
    <s v="WhatsApp"/>
    <n v="7.1"/>
    <x v="28"/>
    <x v="1"/>
  </r>
  <r>
    <s v="HC-04195"/>
    <s v="P-0139"/>
    <s v="Female"/>
    <n v="35"/>
    <x v="0"/>
    <s v="General Consultation"/>
    <d v="2025-10-23T00:00:00"/>
    <d v="2025-11-05T00:00:00"/>
    <s v="Wednesday"/>
    <s v="Afternoon"/>
    <x v="0"/>
    <n v="13"/>
    <n v="3"/>
    <x v="1"/>
    <x v="0"/>
    <s v="WhatsApp"/>
    <n v="7.9"/>
    <x v="25"/>
    <x v="0"/>
  </r>
  <r>
    <s v="HC-04196"/>
    <s v="P-0640"/>
    <s v="Male"/>
    <n v="39"/>
    <x v="0"/>
    <s v="Specialist Consultation"/>
    <d v="2025-09-17T00:00:00"/>
    <d v="2025-09-28T00:00:00"/>
    <s v="Sunday"/>
    <s v="Morning"/>
    <x v="0"/>
    <n v="11"/>
    <n v="4"/>
    <x v="0"/>
    <x v="1"/>
    <s v="None"/>
    <n v="4.2"/>
    <x v="47"/>
    <x v="1"/>
  </r>
  <r>
    <s v="HC-04197"/>
    <s v="P-1071"/>
    <s v="Female"/>
    <n v="22"/>
    <x v="5"/>
    <s v="Specialist Consultation"/>
    <d v="2025-09-05T00:00:00"/>
    <d v="2025-10-30T00:00:00"/>
    <s v="Thursday"/>
    <s v="Morning"/>
    <x v="2"/>
    <n v="55"/>
    <n v="4"/>
    <x v="1"/>
    <x v="0"/>
    <s v="SMS"/>
    <n v="2.6"/>
    <x v="11"/>
    <x v="0"/>
  </r>
  <r>
    <s v="HC-04198"/>
    <s v="P-1593"/>
    <s v="Female"/>
    <n v="32"/>
    <x v="1"/>
    <s v="Follow-up"/>
    <d v="2025-02-17T00:00:00"/>
    <d v="2025-03-09T00:00:00"/>
    <s v="Sunday"/>
    <s v="Morning"/>
    <x v="3"/>
    <n v="20"/>
    <n v="6"/>
    <x v="1"/>
    <x v="1"/>
    <s v="None"/>
    <n v="13"/>
    <x v="18"/>
    <x v="0"/>
  </r>
  <r>
    <s v="HC-04199"/>
    <s v="P-1649"/>
    <s v="Male"/>
    <n v="67"/>
    <x v="4"/>
    <s v="Specialist Consultation"/>
    <d v="2026-06-05T00:00:00"/>
    <d v="2026-06-05T00:00:00"/>
    <s v="Friday"/>
    <s v="Afternoon"/>
    <x v="1"/>
    <n v="0"/>
    <n v="2"/>
    <x v="0"/>
    <x v="1"/>
    <s v="None"/>
    <n v="3.5"/>
    <x v="25"/>
    <x v="0"/>
  </r>
  <r>
    <s v="HC-04200"/>
    <s v="P-0982"/>
    <s v="Female"/>
    <n v="18"/>
    <x v="5"/>
    <s v="Specialist Consultation"/>
    <d v="2025-04-17T00:00:00"/>
    <d v="2025-05-11T00:00:00"/>
    <s v="Sunday"/>
    <s v="Evening"/>
    <x v="3"/>
    <n v="24"/>
    <n v="1"/>
    <x v="0"/>
    <x v="0"/>
    <s v="SMS"/>
    <n v="10.6"/>
    <x v="0"/>
    <x v="1"/>
  </r>
  <r>
    <s v="HC-04201"/>
    <s v="P-0852"/>
    <s v="Female"/>
    <n v="70"/>
    <x v="4"/>
    <s v="General Consultation"/>
    <d v="2025-12-10T00:00:00"/>
    <d v="2026-01-06T00:00:00"/>
    <s v="Tuesday"/>
    <s v="Morning"/>
    <x v="3"/>
    <n v="27"/>
    <n v="2"/>
    <x v="1"/>
    <x v="1"/>
    <s v="None"/>
    <m/>
    <x v="9"/>
    <x v="0"/>
  </r>
  <r>
    <s v="HC-04202"/>
    <s v="P-1432"/>
    <s v="Male"/>
    <n v="39"/>
    <x v="0"/>
    <s v="Specialist Consultation"/>
    <d v="2026-01-05T00:00:00"/>
    <d v="2026-02-12T00:00:00"/>
    <s v="Thursday"/>
    <s v="Morning"/>
    <x v="2"/>
    <n v="38"/>
    <n v="2"/>
    <x v="2"/>
    <x v="1"/>
    <s v="None"/>
    <n v="11.9"/>
    <x v="36"/>
    <x v="1"/>
  </r>
  <r>
    <s v="HC-04203"/>
    <s v="P-1310"/>
    <s v="Male"/>
    <n v="68"/>
    <x v="4"/>
    <s v="General Consultation"/>
    <d v="2025-06-17T00:00:00"/>
    <d v="2025-07-07T00:00:00"/>
    <s v="Monday"/>
    <s v="Morning"/>
    <x v="3"/>
    <n v="20"/>
    <n v="4"/>
    <x v="0"/>
    <x v="0"/>
    <s v="Email"/>
    <n v="13.5"/>
    <x v="16"/>
    <x v="1"/>
  </r>
  <r>
    <s v="HC-04204"/>
    <s v="P-1278"/>
    <s v="Male"/>
    <n v="34"/>
    <x v="1"/>
    <s v="Follow-up"/>
    <d v="2025-01-16T00:00:00"/>
    <d v="2025-03-13T00:00:00"/>
    <s v="Thursday"/>
    <s v="Afternoon"/>
    <x v="2"/>
    <n v="56"/>
    <n v="2"/>
    <x v="1"/>
    <x v="0"/>
    <s v="SMS"/>
    <n v="17.600000000000001"/>
    <x v="5"/>
    <x v="0"/>
  </r>
  <r>
    <s v="HC-04205"/>
    <s v="P-0026"/>
    <s v="Female"/>
    <n v="70"/>
    <x v="4"/>
    <s v="General Consultation"/>
    <d v="2025-05-03T00:00:00"/>
    <d v="2025-06-11T00:00:00"/>
    <s v="Wednesday"/>
    <s v="Morning"/>
    <x v="2"/>
    <n v="39"/>
    <n v="4"/>
    <x v="1"/>
    <x v="1"/>
    <s v="None"/>
    <n v="1.9"/>
    <x v="8"/>
    <x v="0"/>
  </r>
  <r>
    <s v="HC-04206"/>
    <s v="P-1664"/>
    <s v="Female"/>
    <n v="54"/>
    <x v="2"/>
    <s v="Follow-up"/>
    <d v="2026-01-16T00:00:00"/>
    <d v="2026-03-17T00:00:00"/>
    <s v="Tuesday"/>
    <s v="Morning"/>
    <x v="2"/>
    <n v="60"/>
    <n v="3"/>
    <x v="0"/>
    <x v="1"/>
    <s v="None"/>
    <n v="11.8"/>
    <x v="45"/>
    <x v="0"/>
  </r>
  <r>
    <s v="HC-04207"/>
    <s v="P-0061"/>
    <s v="Male"/>
    <n v="71"/>
    <x v="4"/>
    <s v="Follow-up"/>
    <d v="2026-04-18T00:00:00"/>
    <d v="2026-05-10T00:00:00"/>
    <s v="Sunday"/>
    <s v="Morning"/>
    <x v="3"/>
    <n v="22"/>
    <n v="3"/>
    <x v="0"/>
    <x v="1"/>
    <s v="None"/>
    <n v="9.4"/>
    <x v="12"/>
    <x v="0"/>
  </r>
  <r>
    <s v="HC-04208"/>
    <s v="P-1268"/>
    <s v="Male"/>
    <n v="21"/>
    <x v="5"/>
    <s v="General Consultation"/>
    <d v="2026-04-18T00:00:00"/>
    <d v="2026-05-27T00:00:00"/>
    <s v="Wednesday"/>
    <s v="Afternoon"/>
    <x v="2"/>
    <n v="39"/>
    <n v="4"/>
    <x v="2"/>
    <x v="0"/>
    <s v="SMS"/>
    <n v="9.3000000000000007"/>
    <x v="19"/>
    <x v="0"/>
  </r>
  <r>
    <s v="HC-04209"/>
    <s v="P-1191"/>
    <s v="Female"/>
    <n v="68"/>
    <x v="4"/>
    <s v="Follow-up"/>
    <d v="2025-04-12T00:00:00"/>
    <d v="2025-05-04T00:00:00"/>
    <s v="Sunday"/>
    <s v="Afternoon"/>
    <x v="3"/>
    <n v="22"/>
    <n v="4"/>
    <x v="1"/>
    <x v="0"/>
    <s v="SMS"/>
    <n v="11.9"/>
    <x v="4"/>
    <x v="0"/>
  </r>
  <r>
    <s v="HC-04210"/>
    <s v="P-1298"/>
    <s v="Male"/>
    <n v="35"/>
    <x v="0"/>
    <s v="Follow-up"/>
    <d v="2025-10-17T00:00:00"/>
    <d v="2025-11-28T00:00:00"/>
    <s v="Friday"/>
    <s v="Afternoon"/>
    <x v="2"/>
    <n v="42"/>
    <n v="4"/>
    <x v="0"/>
    <x v="0"/>
    <s v="Email"/>
    <n v="2.9"/>
    <x v="8"/>
    <x v="1"/>
  </r>
  <r>
    <s v="HC-04211"/>
    <s v="P-1674"/>
    <s v="Male"/>
    <n v="40"/>
    <x v="0"/>
    <s v="Follow-up"/>
    <d v="2025-02-07T00:00:00"/>
    <d v="2025-03-24T00:00:00"/>
    <s v="Monday"/>
    <s v="Morning"/>
    <x v="2"/>
    <n v="45"/>
    <n v="1"/>
    <x v="0"/>
    <x v="0"/>
    <s v="WhatsApp"/>
    <n v="19.3"/>
    <x v="50"/>
    <x v="0"/>
  </r>
  <r>
    <s v="HC-04212"/>
    <s v="P-1795"/>
    <s v="Male"/>
    <n v="20"/>
    <x v="5"/>
    <s v="General Consultation"/>
    <d v="2026-01-04T00:00:00"/>
    <d v="2026-01-23T00:00:00"/>
    <s v="Friday"/>
    <s v="Afternoon"/>
    <x v="3"/>
    <n v="19"/>
    <n v="5"/>
    <x v="0"/>
    <x v="0"/>
    <s v="SMS"/>
    <n v="11.1"/>
    <x v="36"/>
    <x v="1"/>
  </r>
  <r>
    <s v="HC-04213"/>
    <s v="P-0231"/>
    <s v="Male"/>
    <n v="78"/>
    <x v="4"/>
    <s v="General Consultation"/>
    <d v="2025-06-20T00:00:00"/>
    <d v="2025-08-16T00:00:00"/>
    <s v="Saturday"/>
    <s v="Afternoon"/>
    <x v="2"/>
    <n v="57"/>
    <n v="2"/>
    <x v="0"/>
    <x v="0"/>
    <s v="WhatsApp"/>
    <n v="1.8"/>
    <x v="27"/>
    <x v="0"/>
  </r>
  <r>
    <s v="HC-04214"/>
    <s v="P-1565"/>
    <s v="Female"/>
    <n v="58"/>
    <x v="3"/>
    <s v="General Consultation"/>
    <d v="2025-12-04T00:00:00"/>
    <d v="2026-01-25T00:00:00"/>
    <s v="Sunday"/>
    <s v="Afternoon"/>
    <x v="2"/>
    <n v="52"/>
    <n v="4"/>
    <x v="0"/>
    <x v="0"/>
    <s v="Email"/>
    <n v="12.5"/>
    <x v="45"/>
    <x v="1"/>
  </r>
  <r>
    <s v="HC-04215"/>
    <s v="P-1025"/>
    <s v="Male"/>
    <n v="79"/>
    <x v="4"/>
    <s v="Specialist Consultation"/>
    <d v="2025-11-17T00:00:00"/>
    <d v="2026-01-10T00:00:00"/>
    <s v="Saturday"/>
    <s v="Morning"/>
    <x v="2"/>
    <n v="54"/>
    <n v="2"/>
    <x v="1"/>
    <x v="1"/>
    <s v="None"/>
    <n v="1.9"/>
    <x v="11"/>
    <x v="0"/>
  </r>
  <r>
    <s v="HC-04216"/>
    <s v="P-1103"/>
    <s v="Female"/>
    <n v="53"/>
    <x v="2"/>
    <s v="Specialist Consultation"/>
    <d v="2026-06-14T00:00:00"/>
    <d v="2026-06-27T00:00:00"/>
    <s v="Saturday"/>
    <s v="Morning"/>
    <x v="0"/>
    <n v="13"/>
    <n v="2"/>
    <x v="0"/>
    <x v="0"/>
    <s v="SMS"/>
    <n v="14.8"/>
    <x v="0"/>
    <x v="1"/>
  </r>
  <r>
    <s v="HC-04217"/>
    <s v="P-1779"/>
    <s v="Female"/>
    <n v="27"/>
    <x v="1"/>
    <s v="General Consultation"/>
    <d v="2025-08-12T00:00:00"/>
    <d v="2025-09-24T00:00:00"/>
    <s v="Wednesday"/>
    <s v="Afternoon"/>
    <x v="2"/>
    <n v="43"/>
    <n v="1"/>
    <x v="0"/>
    <x v="0"/>
    <s v="Email"/>
    <n v="14.6"/>
    <x v="28"/>
    <x v="1"/>
  </r>
  <r>
    <s v="HC-04218"/>
    <s v="P-1352"/>
    <s v="Female"/>
    <n v="39"/>
    <x v="0"/>
    <s v="Specialist Consultation"/>
    <d v="2025-06-30T00:00:00"/>
    <d v="2025-07-06T00:00:00"/>
    <s v="Sunday"/>
    <s v="Morning"/>
    <x v="1"/>
    <n v="6"/>
    <n v="1"/>
    <x v="0"/>
    <x v="1"/>
    <s v="None"/>
    <n v="3.5"/>
    <x v="25"/>
    <x v="1"/>
  </r>
  <r>
    <s v="HC-04219"/>
    <s v="P-1671"/>
    <s v="Female"/>
    <n v="45"/>
    <x v="2"/>
    <s v="Follow-up"/>
    <d v="2025-10-09T00:00:00"/>
    <d v="2025-10-15T00:00:00"/>
    <s v="Wednesday"/>
    <s v="Afternoon"/>
    <x v="1"/>
    <n v="6"/>
    <n v="4"/>
    <x v="0"/>
    <x v="0"/>
    <s v="WhatsApp"/>
    <n v="2.2000000000000002"/>
    <x v="11"/>
    <x v="1"/>
  </r>
  <r>
    <s v="HC-04220"/>
    <s v="P-0460"/>
    <s v="Female"/>
    <n v="27"/>
    <x v="1"/>
    <s v="Diagnostic Test"/>
    <d v="2025-01-30T00:00:00"/>
    <d v="2025-03-30T00:00:00"/>
    <s v="Sunday"/>
    <s v="Morning"/>
    <x v="2"/>
    <n v="59"/>
    <n v="3"/>
    <x v="1"/>
    <x v="0"/>
    <s v="SMS"/>
    <n v="11.5"/>
    <x v="25"/>
    <x v="0"/>
  </r>
  <r>
    <s v="HC-04221"/>
    <s v="P-1511"/>
    <s v="Male"/>
    <n v="76"/>
    <x v="4"/>
    <s v="General Consultation"/>
    <d v="2025-02-22T00:00:00"/>
    <d v="2025-03-03T00:00:00"/>
    <s v="Monday"/>
    <s v="Morning"/>
    <x v="0"/>
    <n v="9"/>
    <n v="2"/>
    <x v="0"/>
    <x v="0"/>
    <s v="SMS"/>
    <n v="2"/>
    <x v="46"/>
    <x v="0"/>
  </r>
  <r>
    <s v="HC-04222"/>
    <s v="P-0988"/>
    <s v="Female"/>
    <n v="78"/>
    <x v="4"/>
    <s v="Follow-up"/>
    <d v="2025-08-20T00:00:00"/>
    <d v="2025-10-11T00:00:00"/>
    <s v="Saturday"/>
    <s v="Afternoon"/>
    <x v="2"/>
    <n v="52"/>
    <n v="2"/>
    <x v="1"/>
    <x v="0"/>
    <s v="WhatsApp"/>
    <n v="7.1"/>
    <x v="26"/>
    <x v="0"/>
  </r>
  <r>
    <s v="HC-04223"/>
    <s v="P-0371"/>
    <s v="Female"/>
    <n v="53"/>
    <x v="2"/>
    <s v="Follow-up"/>
    <d v="2026-03-01T00:00:00"/>
    <d v="2026-03-27T00:00:00"/>
    <s v="Friday"/>
    <s v="Morning"/>
    <x v="3"/>
    <n v="26"/>
    <n v="1"/>
    <x v="0"/>
    <x v="1"/>
    <s v="None"/>
    <n v="20.9"/>
    <x v="6"/>
    <x v="1"/>
  </r>
  <r>
    <s v="HC-04224"/>
    <s v="P-1767"/>
    <s v="Male"/>
    <n v="54"/>
    <x v="2"/>
    <s v="General Consultation"/>
    <d v="2025-10-01T00:00:00"/>
    <d v="2025-10-19T00:00:00"/>
    <s v="Sunday"/>
    <s v="Morning"/>
    <x v="3"/>
    <n v="18"/>
    <n v="5"/>
    <x v="1"/>
    <x v="1"/>
    <s v="None"/>
    <n v="7.6"/>
    <x v="36"/>
    <x v="0"/>
  </r>
  <r>
    <s v="HC-04225"/>
    <s v="P-0576"/>
    <s v="Female"/>
    <n v="62"/>
    <x v="3"/>
    <s v="General Consultation"/>
    <d v="2026-02-27T00:00:00"/>
    <d v="2026-03-03T00:00:00"/>
    <s v="Tuesday"/>
    <s v="Afternoon"/>
    <x v="1"/>
    <n v="4"/>
    <n v="5"/>
    <x v="0"/>
    <x v="0"/>
    <s v="SMS"/>
    <n v="14.4"/>
    <x v="1"/>
    <x v="1"/>
  </r>
  <r>
    <s v="HC-04226"/>
    <s v="P-0310"/>
    <s v="Female"/>
    <n v="60"/>
    <x v="3"/>
    <s v="General Consultation"/>
    <d v="2025-02-26T00:00:00"/>
    <d v="2025-04-08T00:00:00"/>
    <s v="Tuesday"/>
    <s v="Morning"/>
    <x v="2"/>
    <n v="41"/>
    <n v="1"/>
    <x v="0"/>
    <x v="1"/>
    <s v="None"/>
    <n v="18.100000000000001"/>
    <x v="32"/>
    <x v="0"/>
  </r>
  <r>
    <s v="HC-04227"/>
    <s v="P-1065"/>
    <s v="Male"/>
    <n v="21"/>
    <x v="5"/>
    <s v="Follow-up"/>
    <d v="2025-07-21T00:00:00"/>
    <d v="2025-09-03T00:00:00"/>
    <s v="Wednesday"/>
    <s v="Evening"/>
    <x v="2"/>
    <n v="44"/>
    <n v="2"/>
    <x v="1"/>
    <x v="0"/>
    <s v="SMS"/>
    <n v="16.600000000000001"/>
    <x v="13"/>
    <x v="0"/>
  </r>
  <r>
    <s v="HC-04228"/>
    <s v="P-1614"/>
    <s v="Male"/>
    <n v="51"/>
    <x v="2"/>
    <s v="Follow-up"/>
    <d v="2025-11-03T00:00:00"/>
    <d v="2025-12-01T00:00:00"/>
    <s v="Monday"/>
    <s v="Morning"/>
    <x v="3"/>
    <n v="28"/>
    <n v="1"/>
    <x v="1"/>
    <x v="0"/>
    <s v="WhatsApp"/>
    <n v="9.6"/>
    <x v="9"/>
    <x v="1"/>
  </r>
  <r>
    <s v="HC-04229"/>
    <s v="P-0872"/>
    <s v="Male"/>
    <n v="66"/>
    <x v="4"/>
    <s v="Specialist Consultation"/>
    <d v="2025-05-21T00:00:00"/>
    <d v="2025-07-09T00:00:00"/>
    <s v="Wednesday"/>
    <s v="Evening"/>
    <x v="2"/>
    <n v="49"/>
    <n v="2"/>
    <x v="0"/>
    <x v="1"/>
    <s v="None"/>
    <n v="4.7"/>
    <x v="36"/>
    <x v="1"/>
  </r>
  <r>
    <s v="HC-04230"/>
    <s v="P-1339"/>
    <s v="Female"/>
    <n v="68"/>
    <x v="4"/>
    <s v="General Consultation"/>
    <d v="2024-12-20T00:00:00"/>
    <d v="2025-01-08T00:00:00"/>
    <s v="Wednesday"/>
    <s v="Afternoon"/>
    <x v="3"/>
    <n v="19"/>
    <n v="6"/>
    <x v="2"/>
    <x v="0"/>
    <s v="WhatsApp"/>
    <n v="18.100000000000001"/>
    <x v="4"/>
    <x v="0"/>
  </r>
  <r>
    <s v="HC-04231"/>
    <s v="P-1719"/>
    <s v="Male"/>
    <n v="55"/>
    <x v="3"/>
    <s v="Specialist Consultation"/>
    <d v="2025-01-08T00:00:00"/>
    <d v="2025-02-10T00:00:00"/>
    <s v="Monday"/>
    <s v="Morning"/>
    <x v="2"/>
    <n v="33"/>
    <n v="4"/>
    <x v="2"/>
    <x v="0"/>
    <s v="Email"/>
    <n v="0.5"/>
    <x v="36"/>
    <x v="0"/>
  </r>
  <r>
    <s v="HC-04232"/>
    <s v="P-0521"/>
    <s v="Male"/>
    <n v="74"/>
    <x v="4"/>
    <s v="General Consultation"/>
    <d v="2026-05-05T00:00:00"/>
    <d v="2026-05-22T00:00:00"/>
    <s v="Friday"/>
    <s v="Afternoon"/>
    <x v="3"/>
    <n v="17"/>
    <n v="2"/>
    <x v="1"/>
    <x v="1"/>
    <s v="None"/>
    <n v="0.9"/>
    <x v="28"/>
    <x v="1"/>
  </r>
  <r>
    <s v="HC-04233"/>
    <s v="P-0061"/>
    <s v="Male"/>
    <n v="54"/>
    <x v="2"/>
    <s v="Diagnostic Test"/>
    <d v="2025-10-23T00:00:00"/>
    <d v="2025-11-27T00:00:00"/>
    <s v="Thursday"/>
    <s v="Afternoon"/>
    <x v="2"/>
    <n v="35"/>
    <n v="1"/>
    <x v="0"/>
    <x v="0"/>
    <s v="Email"/>
    <n v="2.7"/>
    <x v="7"/>
    <x v="0"/>
  </r>
  <r>
    <s v="HC-04234"/>
    <s v="P-1704"/>
    <s v="Female"/>
    <n v="42"/>
    <x v="0"/>
    <s v="General Consultation"/>
    <d v="2025-05-17T00:00:00"/>
    <d v="2025-05-25T00:00:00"/>
    <s v="Sunday"/>
    <s v="Afternoon"/>
    <x v="0"/>
    <n v="8"/>
    <n v="3"/>
    <x v="0"/>
    <x v="1"/>
    <s v="None"/>
    <n v="9.3000000000000007"/>
    <x v="20"/>
    <x v="1"/>
  </r>
  <r>
    <s v="HC-04235"/>
    <s v="P-1228"/>
    <s v="Male"/>
    <n v="45"/>
    <x v="2"/>
    <s v="Specialist Consultation"/>
    <d v="2025-04-23T00:00:00"/>
    <d v="2025-05-22T00:00:00"/>
    <s v="Thursday"/>
    <s v="Morning"/>
    <x v="3"/>
    <n v="29"/>
    <n v="2"/>
    <x v="0"/>
    <x v="0"/>
    <s v="Email"/>
    <n v="20.5"/>
    <x v="17"/>
    <x v="1"/>
  </r>
  <r>
    <s v="HC-04236"/>
    <s v="P-0766"/>
    <s v="Male"/>
    <n v="61"/>
    <x v="3"/>
    <s v="Diagnostic Test"/>
    <d v="2024-12-20T00:00:00"/>
    <d v="2025-01-22T00:00:00"/>
    <s v="Wednesday"/>
    <s v="Evening"/>
    <x v="2"/>
    <n v="33"/>
    <n v="5"/>
    <x v="2"/>
    <x v="0"/>
    <s v="WhatsApp"/>
    <n v="17.7"/>
    <x v="17"/>
    <x v="0"/>
  </r>
  <r>
    <s v="HC-04237"/>
    <s v="P-1500"/>
    <s v="Female"/>
    <n v="73"/>
    <x v="4"/>
    <s v="Specialist Consultation"/>
    <d v="2026-04-28T00:00:00"/>
    <d v="2026-05-31T00:00:00"/>
    <s v="Sunday"/>
    <s v="Afternoon"/>
    <x v="2"/>
    <n v="33"/>
    <n v="5"/>
    <x v="3"/>
    <x v="1"/>
    <s v="None"/>
    <n v="7.2"/>
    <x v="10"/>
    <x v="1"/>
  </r>
  <r>
    <s v="HC-04238"/>
    <s v="P-0850"/>
    <s v="Female"/>
    <n v="32"/>
    <x v="1"/>
    <s v="Specialist Consultation"/>
    <d v="2025-02-02T00:00:00"/>
    <d v="2025-03-01T00:00:00"/>
    <s v="Saturday"/>
    <s v="Evening"/>
    <x v="3"/>
    <n v="27"/>
    <n v="5"/>
    <x v="2"/>
    <x v="0"/>
    <s v="SMS"/>
    <n v="14.8"/>
    <x v="13"/>
    <x v="0"/>
  </r>
  <r>
    <s v="HC-04239"/>
    <s v="P-1642"/>
    <s v="Female"/>
    <n v="36"/>
    <x v="0"/>
    <s v="General Consultation"/>
    <d v="2026-01-11T00:00:00"/>
    <d v="2026-02-19T00:00:00"/>
    <s v="Thursday"/>
    <s v="Afternoon"/>
    <x v="2"/>
    <n v="39"/>
    <n v="1"/>
    <x v="0"/>
    <x v="0"/>
    <s v="SMS"/>
    <n v="8.1999999999999993"/>
    <x v="1"/>
    <x v="1"/>
  </r>
  <r>
    <s v="HC-04240"/>
    <s v="P-0869"/>
    <s v="Male"/>
    <n v="59"/>
    <x v="3"/>
    <s v="Specialist Consultation"/>
    <d v="2025-04-11T00:00:00"/>
    <d v="2025-05-12T00:00:00"/>
    <s v="Monday"/>
    <s v="Afternoon"/>
    <x v="2"/>
    <n v="31"/>
    <n v="1"/>
    <x v="0"/>
    <x v="1"/>
    <s v="None"/>
    <n v="6.3"/>
    <x v="40"/>
    <x v="0"/>
  </r>
  <r>
    <s v="HC-04241"/>
    <s v="P-0500"/>
    <s v="Female"/>
    <n v="66"/>
    <x v="4"/>
    <s v="Follow-up"/>
    <d v="2025-06-16T00:00:00"/>
    <d v="2025-07-03T00:00:00"/>
    <s v="Thursday"/>
    <s v="Afternoon"/>
    <x v="3"/>
    <n v="17"/>
    <n v="0"/>
    <x v="0"/>
    <x v="0"/>
    <s v="WhatsApp"/>
    <n v="11.8"/>
    <x v="47"/>
    <x v="1"/>
  </r>
  <r>
    <s v="HC-04242"/>
    <s v="P-0352"/>
    <s v="Male"/>
    <n v="43"/>
    <x v="0"/>
    <s v="Follow-up"/>
    <d v="2025-05-17T00:00:00"/>
    <d v="2025-05-30T00:00:00"/>
    <s v="Friday"/>
    <s v="Afternoon"/>
    <x v="0"/>
    <n v="13"/>
    <n v="4"/>
    <x v="1"/>
    <x v="1"/>
    <s v="None"/>
    <n v="7.4"/>
    <x v="20"/>
    <x v="1"/>
  </r>
  <r>
    <s v="HC-04243"/>
    <s v="P-0448"/>
    <s v="Female"/>
    <n v="58"/>
    <x v="3"/>
    <s v="Diagnostic Test"/>
    <d v="2026-02-16T00:00:00"/>
    <d v="2026-03-27T00:00:00"/>
    <s v="Friday"/>
    <s v="Evening"/>
    <x v="2"/>
    <n v="39"/>
    <n v="1"/>
    <x v="0"/>
    <x v="1"/>
    <s v="None"/>
    <n v="11.2"/>
    <x v="3"/>
    <x v="0"/>
  </r>
  <r>
    <s v="HC-04244"/>
    <s v="P-1149"/>
    <s v="Male"/>
    <n v="18"/>
    <x v="5"/>
    <s v="General Consultation"/>
    <d v="2024-11-22T00:00:00"/>
    <d v="2025-01-18T00:00:00"/>
    <s v="Saturday"/>
    <s v="Afternoon"/>
    <x v="2"/>
    <n v="57"/>
    <n v="3"/>
    <x v="0"/>
    <x v="1"/>
    <s v="None"/>
    <n v="15.7"/>
    <x v="25"/>
    <x v="0"/>
  </r>
  <r>
    <s v="HC-04245"/>
    <s v="P-0272"/>
    <s v="Female"/>
    <n v="36"/>
    <x v="0"/>
    <s v="General Consultation"/>
    <d v="2025-05-28T00:00:00"/>
    <d v="2025-07-12T00:00:00"/>
    <s v="Saturday"/>
    <s v="Morning"/>
    <x v="2"/>
    <n v="45"/>
    <n v="5"/>
    <x v="1"/>
    <x v="0"/>
    <s v="SMS"/>
    <n v="12.9"/>
    <x v="8"/>
    <x v="1"/>
  </r>
  <r>
    <s v="HC-04246"/>
    <s v="P-0939"/>
    <s v="Male"/>
    <n v="78"/>
    <x v="4"/>
    <s v="Diagnostic Test"/>
    <d v="2025-04-25T00:00:00"/>
    <d v="2025-06-02T00:00:00"/>
    <s v="Monday"/>
    <s v="Afternoon"/>
    <x v="2"/>
    <n v="38"/>
    <n v="6"/>
    <x v="1"/>
    <x v="1"/>
    <s v="None"/>
    <n v="3.4"/>
    <x v="29"/>
    <x v="0"/>
  </r>
  <r>
    <s v="HC-04247"/>
    <s v="P-0189"/>
    <s v="Male"/>
    <n v="54"/>
    <x v="2"/>
    <s v="General Consultation"/>
    <d v="2025-04-04T00:00:00"/>
    <d v="2025-05-30T00:00:00"/>
    <s v="Friday"/>
    <s v="Morning"/>
    <x v="2"/>
    <n v="56"/>
    <n v="5"/>
    <x v="1"/>
    <x v="0"/>
    <s v="Email"/>
    <n v="5.2"/>
    <x v="3"/>
    <x v="1"/>
  </r>
  <r>
    <s v="HC-04248"/>
    <s v="P-1770"/>
    <s v="Male"/>
    <n v="72"/>
    <x v="4"/>
    <s v="General Consultation"/>
    <d v="2025-02-21T00:00:00"/>
    <d v="2025-04-16T00:00:00"/>
    <s v="Wednesday"/>
    <s v="Evening"/>
    <x v="2"/>
    <n v="54"/>
    <n v="2"/>
    <x v="1"/>
    <x v="0"/>
    <s v="WhatsApp"/>
    <n v="20.7"/>
    <x v="11"/>
    <x v="0"/>
  </r>
  <r>
    <s v="HC-04249"/>
    <s v="P-0216"/>
    <s v="Male"/>
    <n v="31"/>
    <x v="1"/>
    <s v="General Consultation"/>
    <d v="2026-04-14T00:00:00"/>
    <d v="2026-05-14T00:00:00"/>
    <s v="Thursday"/>
    <s v="Afternoon"/>
    <x v="3"/>
    <n v="30"/>
    <n v="1"/>
    <x v="0"/>
    <x v="1"/>
    <s v="None"/>
    <n v="14.9"/>
    <x v="47"/>
    <x v="1"/>
  </r>
  <r>
    <s v="HC-04250"/>
    <s v="P-1396"/>
    <s v="Male"/>
    <n v="36"/>
    <x v="0"/>
    <s v="Specialist Consultation"/>
    <d v="2025-07-20T00:00:00"/>
    <d v="2025-07-26T00:00:00"/>
    <s v="Saturday"/>
    <s v="Afternoon"/>
    <x v="1"/>
    <n v="6"/>
    <n v="0"/>
    <x v="0"/>
    <x v="0"/>
    <s v="SMS"/>
    <n v="9.6"/>
    <x v="6"/>
    <x v="1"/>
  </r>
  <r>
    <s v="HC-04251"/>
    <s v="P-0705"/>
    <s v="Male"/>
    <n v="79"/>
    <x v="4"/>
    <s v="Specialist Consultation"/>
    <d v="2025-07-10T00:00:00"/>
    <d v="2025-08-17T00:00:00"/>
    <s v="Sunday"/>
    <s v="Morning"/>
    <x v="2"/>
    <n v="38"/>
    <n v="4"/>
    <x v="0"/>
    <x v="1"/>
    <s v="None"/>
    <n v="6.5"/>
    <x v="36"/>
    <x v="0"/>
  </r>
  <r>
    <s v="HC-04252"/>
    <s v="P-0789"/>
    <s v="Female"/>
    <n v="80"/>
    <x v="4"/>
    <s v="General Consultation"/>
    <d v="2025-06-23T00:00:00"/>
    <d v="2025-07-30T00:00:00"/>
    <s v="Wednesday"/>
    <s v="Afternoon"/>
    <x v="2"/>
    <n v="37"/>
    <n v="3"/>
    <x v="0"/>
    <x v="0"/>
    <s v="SMS"/>
    <n v="14.5"/>
    <x v="14"/>
    <x v="0"/>
  </r>
  <r>
    <s v="HC-04253"/>
    <s v="P-0165"/>
    <s v="Male"/>
    <n v="73"/>
    <x v="4"/>
    <s v="Follow-up"/>
    <d v="2026-06-04T00:00:00"/>
    <d v="2026-06-20T00:00:00"/>
    <s v="Saturday"/>
    <s v="Morning"/>
    <x v="3"/>
    <n v="16"/>
    <n v="6"/>
    <x v="0"/>
    <x v="0"/>
    <s v="SMS"/>
    <n v="5.8"/>
    <x v="19"/>
    <x v="1"/>
  </r>
  <r>
    <s v="HC-04254"/>
    <s v="P-1602"/>
    <s v="Female"/>
    <n v="37"/>
    <x v="0"/>
    <s v="Follow-up"/>
    <d v="2025-05-15T00:00:00"/>
    <d v="2025-07-05T00:00:00"/>
    <s v="Saturday"/>
    <s v="Afternoon"/>
    <x v="2"/>
    <n v="51"/>
    <n v="3"/>
    <x v="0"/>
    <x v="0"/>
    <s v="WhatsApp"/>
    <n v="11.5"/>
    <x v="27"/>
    <x v="2"/>
  </r>
  <r>
    <s v="HC-04255"/>
    <s v="P-1738"/>
    <s v="Male"/>
    <n v="68"/>
    <x v="4"/>
    <s v="Follow-up"/>
    <d v="2025-05-14T00:00:00"/>
    <d v="2025-07-06T00:00:00"/>
    <s v="Sunday"/>
    <s v="Afternoon"/>
    <x v="2"/>
    <n v="53"/>
    <n v="6"/>
    <x v="2"/>
    <x v="0"/>
    <s v="WhatsApp"/>
    <n v="7.9"/>
    <x v="45"/>
    <x v="0"/>
  </r>
  <r>
    <s v="HC-04256"/>
    <s v="P-1665"/>
    <s v="Male"/>
    <n v="46"/>
    <x v="2"/>
    <s v="Follow-up"/>
    <d v="2025-06-09T00:00:00"/>
    <d v="2025-06-29T00:00:00"/>
    <s v="Sunday"/>
    <s v="Afternoon"/>
    <x v="3"/>
    <n v="20"/>
    <n v="3"/>
    <x v="1"/>
    <x v="1"/>
    <s v="None"/>
    <n v="9.6999999999999993"/>
    <x v="5"/>
    <x v="1"/>
  </r>
  <r>
    <s v="HC-04257"/>
    <s v="P-1683"/>
    <s v="Male"/>
    <n v="71"/>
    <x v="4"/>
    <s v="Diagnostic Test"/>
    <d v="2025-05-30T00:00:00"/>
    <d v="2025-06-28T00:00:00"/>
    <s v="Saturday"/>
    <s v="Morning"/>
    <x v="3"/>
    <n v="29"/>
    <n v="7"/>
    <x v="2"/>
    <x v="0"/>
    <s v="WhatsApp"/>
    <n v="7"/>
    <x v="11"/>
    <x v="0"/>
  </r>
  <r>
    <s v="HC-04258"/>
    <s v="P-1031"/>
    <s v="Female"/>
    <n v="71"/>
    <x v="4"/>
    <s v="General Consultation"/>
    <d v="2025-02-07T00:00:00"/>
    <d v="2025-02-18T00:00:00"/>
    <s v="Tuesday"/>
    <s v="Afternoon"/>
    <x v="0"/>
    <n v="11"/>
    <n v="0"/>
    <x v="0"/>
    <x v="0"/>
    <s v="SMS"/>
    <n v="13.4"/>
    <x v="6"/>
    <x v="1"/>
  </r>
  <r>
    <s v="HC-04259"/>
    <s v="P-1773"/>
    <s v="Female"/>
    <n v="45"/>
    <x v="2"/>
    <s v="General Consultation"/>
    <d v="2025-11-16T00:00:00"/>
    <d v="2025-11-26T00:00:00"/>
    <s v="Wednesday"/>
    <s v="Afternoon"/>
    <x v="0"/>
    <n v="10"/>
    <n v="2"/>
    <x v="0"/>
    <x v="0"/>
    <s v="WhatsApp"/>
    <n v="1.3"/>
    <x v="35"/>
    <x v="1"/>
  </r>
  <r>
    <s v="HC-04260"/>
    <s v="P-1728"/>
    <s v="Male"/>
    <n v="37"/>
    <x v="0"/>
    <s v="Follow-up"/>
    <d v="2024-12-29T00:00:00"/>
    <d v="2025-01-14T00:00:00"/>
    <s v="Tuesday"/>
    <s v="Afternoon"/>
    <x v="3"/>
    <n v="16"/>
    <n v="3"/>
    <x v="1"/>
    <x v="0"/>
    <s v="SMS"/>
    <n v="3.2"/>
    <x v="27"/>
    <x v="1"/>
  </r>
  <r>
    <s v="HC-04261"/>
    <s v="P-1347"/>
    <s v="Female"/>
    <n v="79"/>
    <x v="4"/>
    <s v="Follow-up"/>
    <d v="2025-04-12T00:00:00"/>
    <d v="2025-05-04T00:00:00"/>
    <s v="Sunday"/>
    <s v="Evening"/>
    <x v="3"/>
    <n v="22"/>
    <n v="2"/>
    <x v="0"/>
    <x v="0"/>
    <s v="SMS"/>
    <n v="7.2"/>
    <x v="1"/>
    <x v="0"/>
  </r>
  <r>
    <s v="HC-04262"/>
    <s v="P-0937"/>
    <s v="Male"/>
    <n v="46"/>
    <x v="2"/>
    <s v="Follow-up"/>
    <d v="2025-04-05T00:00:00"/>
    <d v="2025-04-21T00:00:00"/>
    <s v="Monday"/>
    <s v="Afternoon"/>
    <x v="3"/>
    <n v="16"/>
    <n v="7"/>
    <x v="0"/>
    <x v="1"/>
    <s v="None"/>
    <n v="9.1"/>
    <x v="12"/>
    <x v="1"/>
  </r>
  <r>
    <s v="HC-04263"/>
    <s v="P-0367"/>
    <s v="Female"/>
    <n v="45"/>
    <x v="2"/>
    <s v="General Consultation"/>
    <d v="2025-05-31T00:00:00"/>
    <d v="2025-06-09T00:00:00"/>
    <s v="Monday"/>
    <s v="Morning"/>
    <x v="0"/>
    <n v="9"/>
    <n v="2"/>
    <x v="1"/>
    <x v="1"/>
    <s v="None"/>
    <n v="18.8"/>
    <x v="25"/>
    <x v="0"/>
  </r>
  <r>
    <s v="HC-04264"/>
    <s v="P-0395"/>
    <s v="Female"/>
    <n v="59"/>
    <x v="3"/>
    <s v="General Consultation"/>
    <d v="2026-01-22T00:00:00"/>
    <d v="2026-02-18T00:00:00"/>
    <s v="Wednesday"/>
    <s v="Morning"/>
    <x v="3"/>
    <n v="27"/>
    <n v="2"/>
    <x v="0"/>
    <x v="0"/>
    <s v="SMS"/>
    <n v="15.4"/>
    <x v="29"/>
    <x v="1"/>
  </r>
  <r>
    <s v="HC-04265"/>
    <s v="P-0844"/>
    <s v="Male"/>
    <n v="77"/>
    <x v="4"/>
    <s v="Diagnostic Test"/>
    <d v="2025-10-17T00:00:00"/>
    <d v="2025-11-24T00:00:00"/>
    <s v="Monday"/>
    <s v="Evening"/>
    <x v="2"/>
    <n v="38"/>
    <n v="2"/>
    <x v="1"/>
    <x v="0"/>
    <s v="WhatsApp"/>
    <n v="2.5"/>
    <x v="3"/>
    <x v="0"/>
  </r>
  <r>
    <s v="HC-04266"/>
    <s v="P-0946"/>
    <s v="Female"/>
    <n v="26"/>
    <x v="1"/>
    <s v="General Consultation"/>
    <d v="2026-06-06T00:00:00"/>
    <d v="2026-06-25T00:00:00"/>
    <s v="Thursday"/>
    <s v="Evening"/>
    <x v="3"/>
    <n v="19"/>
    <n v="5"/>
    <x v="2"/>
    <x v="0"/>
    <s v="WhatsApp"/>
    <n v="9.8000000000000007"/>
    <x v="12"/>
    <x v="2"/>
  </r>
  <r>
    <s v="HC-04267"/>
    <s v="P-1121"/>
    <s v="Female"/>
    <n v="80"/>
    <x v="4"/>
    <s v="Follow-up"/>
    <d v="2025-06-09T00:00:00"/>
    <d v="2025-07-11T00:00:00"/>
    <s v="Friday"/>
    <s v="Morning"/>
    <x v="2"/>
    <n v="32"/>
    <n v="1"/>
    <x v="0"/>
    <x v="0"/>
    <s v="SMS"/>
    <n v="8.9"/>
    <x v="23"/>
    <x v="0"/>
  </r>
  <r>
    <s v="HC-04268"/>
    <s v="P-0878"/>
    <s v="Female"/>
    <n v="44"/>
    <x v="0"/>
    <s v="Specialist Consultation"/>
    <d v="2026-05-06T00:00:00"/>
    <d v="2026-05-22T00:00:00"/>
    <s v="Friday"/>
    <s v="Afternoon"/>
    <x v="3"/>
    <n v="16"/>
    <n v="2"/>
    <x v="1"/>
    <x v="0"/>
    <s v="SMS"/>
    <n v="2"/>
    <x v="15"/>
    <x v="1"/>
  </r>
  <r>
    <s v="HC-04269"/>
    <s v="P-1388"/>
    <s v="Prefer not to say"/>
    <n v="19"/>
    <x v="5"/>
    <s v="General Consultation"/>
    <d v="2024-12-14T00:00:00"/>
    <d v="2025-01-25T00:00:00"/>
    <s v="Saturday"/>
    <s v="Morning"/>
    <x v="2"/>
    <n v="42"/>
    <n v="3"/>
    <x v="0"/>
    <x v="0"/>
    <s v="SMS"/>
    <n v="11.4"/>
    <x v="23"/>
    <x v="1"/>
  </r>
  <r>
    <s v="HC-04270"/>
    <s v="P-0923"/>
    <s v="Male"/>
    <n v="37"/>
    <x v="0"/>
    <s v="General Consultation"/>
    <d v="2025-08-25T00:00:00"/>
    <d v="2025-10-03T00:00:00"/>
    <s v="Friday"/>
    <s v="Morning"/>
    <x v="2"/>
    <n v="39"/>
    <n v="1"/>
    <x v="0"/>
    <x v="0"/>
    <s v="Email"/>
    <n v="10"/>
    <x v="35"/>
    <x v="1"/>
  </r>
  <r>
    <s v="HC-04271"/>
    <s v="P-1308"/>
    <s v="Prefer not to say"/>
    <n v="47"/>
    <x v="2"/>
    <s v="General Consultation"/>
    <d v="2026-01-14T00:00:00"/>
    <d v="2026-03-13T00:00:00"/>
    <s v="Friday"/>
    <s v="Evening"/>
    <x v="2"/>
    <n v="58"/>
    <n v="6"/>
    <x v="1"/>
    <x v="1"/>
    <s v="None"/>
    <n v="15.6"/>
    <x v="6"/>
    <x v="0"/>
  </r>
  <r>
    <s v="HC-04272"/>
    <s v="P-0316"/>
    <s v="Female"/>
    <n v="60"/>
    <x v="3"/>
    <s v="Follow-up"/>
    <d v="2025-10-15T00:00:00"/>
    <d v="2025-10-18T00:00:00"/>
    <s v="Saturday"/>
    <s v="Evening"/>
    <x v="1"/>
    <n v="3"/>
    <n v="2"/>
    <x v="1"/>
    <x v="0"/>
    <s v="WhatsApp"/>
    <n v="9.1999999999999993"/>
    <x v="26"/>
    <x v="1"/>
  </r>
  <r>
    <s v="HC-04273"/>
    <s v="P-1249"/>
    <s v="Female"/>
    <n v="53"/>
    <x v="2"/>
    <s v="General Consultation"/>
    <d v="2026-04-03T00:00:00"/>
    <d v="2026-05-25T00:00:00"/>
    <s v="Monday"/>
    <s v="Evening"/>
    <x v="2"/>
    <n v="52"/>
    <n v="5"/>
    <x v="1"/>
    <x v="0"/>
    <s v="SMS"/>
    <n v="4.7"/>
    <x v="12"/>
    <x v="0"/>
  </r>
  <r>
    <s v="HC-04274"/>
    <s v="P-0368"/>
    <s v="Female"/>
    <n v="26"/>
    <x v="1"/>
    <s v="Follow-up"/>
    <d v="2025-06-01T00:00:00"/>
    <d v="2025-06-21T00:00:00"/>
    <s v="Saturday"/>
    <s v="Morning"/>
    <x v="3"/>
    <n v="20"/>
    <n v="4"/>
    <x v="0"/>
    <x v="0"/>
    <s v="WhatsApp"/>
    <n v="9.1999999999999993"/>
    <x v="18"/>
    <x v="1"/>
  </r>
  <r>
    <s v="HC-04275"/>
    <s v="P-0933"/>
    <s v="Female"/>
    <n v="48"/>
    <x v="2"/>
    <s v="General Consultation"/>
    <d v="2025-01-15T00:00:00"/>
    <d v="2025-01-19T00:00:00"/>
    <s v="Sunday"/>
    <s v="Afternoon"/>
    <x v="1"/>
    <n v="4"/>
    <n v="4"/>
    <x v="0"/>
    <x v="0"/>
    <s v="SMS"/>
    <n v="3.4"/>
    <x v="32"/>
    <x v="1"/>
  </r>
  <r>
    <s v="HC-04276"/>
    <s v="P-0710"/>
    <s v="Female"/>
    <n v="32"/>
    <x v="1"/>
    <s v="General Consultation"/>
    <d v="2026-01-16T00:00:00"/>
    <d v="2026-02-27T00:00:00"/>
    <s v="Friday"/>
    <s v="Evening"/>
    <x v="2"/>
    <n v="42"/>
    <n v="0"/>
    <x v="0"/>
    <x v="0"/>
    <s v="WhatsApp"/>
    <n v="7.3"/>
    <x v="39"/>
    <x v="0"/>
  </r>
  <r>
    <s v="HC-04277"/>
    <s v="P-0379"/>
    <s v="Female"/>
    <n v="34"/>
    <x v="1"/>
    <s v="General Consultation"/>
    <d v="2025-01-28T00:00:00"/>
    <d v="2025-02-07T00:00:00"/>
    <s v="Friday"/>
    <s v="Afternoon"/>
    <x v="0"/>
    <n v="10"/>
    <n v="3"/>
    <x v="0"/>
    <x v="1"/>
    <s v="None"/>
    <n v="4.3"/>
    <x v="7"/>
    <x v="1"/>
  </r>
  <r>
    <s v="HC-04278"/>
    <s v="P-1361"/>
    <s v="Female"/>
    <n v="62"/>
    <x v="3"/>
    <s v="General Consultation"/>
    <d v="2026-02-12T00:00:00"/>
    <d v="2026-02-22T00:00:00"/>
    <s v="Sunday"/>
    <s v="Morning"/>
    <x v="0"/>
    <n v="10"/>
    <n v="4"/>
    <x v="0"/>
    <x v="0"/>
    <s v="Email"/>
    <n v="18.5"/>
    <x v="36"/>
    <x v="1"/>
  </r>
  <r>
    <s v="HC-04279"/>
    <s v="P-1524"/>
    <s v="Male"/>
    <n v="68"/>
    <x v="4"/>
    <s v="General Consultation"/>
    <d v="2025-12-08T00:00:00"/>
    <d v="2026-02-05T00:00:00"/>
    <s v="Thursday"/>
    <s v="Afternoon"/>
    <x v="2"/>
    <n v="59"/>
    <n v="7"/>
    <x v="2"/>
    <x v="0"/>
    <s v="SMS"/>
    <n v="8"/>
    <x v="31"/>
    <x v="0"/>
  </r>
  <r>
    <s v="HC-04280"/>
    <s v="P-0418"/>
    <s v="Female"/>
    <n v="27"/>
    <x v="1"/>
    <s v="Diagnostic Test"/>
    <d v="2026-03-24T00:00:00"/>
    <d v="2026-04-06T00:00:00"/>
    <s v="Monday"/>
    <s v="Morning"/>
    <x v="0"/>
    <n v="13"/>
    <n v="4"/>
    <x v="1"/>
    <x v="0"/>
    <s v="SMS"/>
    <n v="4.3"/>
    <x v="5"/>
    <x v="1"/>
  </r>
  <r>
    <s v="HC-04281"/>
    <s v="P-1254"/>
    <s v="Male"/>
    <n v="55"/>
    <x v="3"/>
    <s v="General Consultation"/>
    <d v="2025-08-17T00:00:00"/>
    <d v="2025-09-19T00:00:00"/>
    <s v="Friday"/>
    <s v="Afternoon"/>
    <x v="2"/>
    <n v="33"/>
    <n v="4"/>
    <x v="0"/>
    <x v="0"/>
    <s v="Email"/>
    <n v="21.6"/>
    <x v="19"/>
    <x v="0"/>
  </r>
  <r>
    <s v="HC-04282"/>
    <s v="P-0147"/>
    <s v="Female"/>
    <n v="44"/>
    <x v="0"/>
    <s v="Follow-up"/>
    <d v="2026-04-22T00:00:00"/>
    <d v="2026-05-04T00:00:00"/>
    <s v="Monday"/>
    <s v="Afternoon"/>
    <x v="0"/>
    <n v="12"/>
    <n v="1"/>
    <x v="0"/>
    <x v="0"/>
    <s v="SMS"/>
    <n v="8.5"/>
    <x v="28"/>
    <x v="0"/>
  </r>
  <r>
    <s v="HC-04283"/>
    <s v="P-0811"/>
    <s v="Male"/>
    <n v="39"/>
    <x v="0"/>
    <s v="Follow-up"/>
    <d v="2025-03-27T00:00:00"/>
    <d v="2025-04-03T00:00:00"/>
    <s v="Thursday"/>
    <s v="Morning"/>
    <x v="1"/>
    <n v="7"/>
    <n v="2"/>
    <x v="1"/>
    <x v="1"/>
    <s v="None"/>
    <n v="5"/>
    <x v="3"/>
    <x v="0"/>
  </r>
  <r>
    <s v="HC-04284"/>
    <s v="P-0481"/>
    <s v="Male"/>
    <n v="62"/>
    <x v="3"/>
    <s v="Follow-up"/>
    <d v="2025-08-26T00:00:00"/>
    <d v="2025-08-26T00:00:00"/>
    <s v="Tuesday"/>
    <s v="Morning"/>
    <x v="1"/>
    <n v="0"/>
    <n v="2"/>
    <x v="1"/>
    <x v="0"/>
    <s v="Email"/>
    <n v="6.7"/>
    <x v="25"/>
    <x v="0"/>
  </r>
  <r>
    <s v="HC-04285"/>
    <s v="P-0151"/>
    <s v="Male"/>
    <n v="33"/>
    <x v="1"/>
    <s v="Follow-up"/>
    <d v="2025-03-08T00:00:00"/>
    <d v="2025-03-08T00:00:00"/>
    <s v="Saturday"/>
    <s v="Afternoon"/>
    <x v="1"/>
    <n v="0"/>
    <n v="8"/>
    <x v="1"/>
    <x v="0"/>
    <s v="SMS"/>
    <n v="13.8"/>
    <x v="46"/>
    <x v="1"/>
  </r>
  <r>
    <s v="HC-04286"/>
    <s v="P-0715"/>
    <s v="Male"/>
    <n v="66"/>
    <x v="4"/>
    <s v="General Consultation"/>
    <d v="2026-01-26T00:00:00"/>
    <d v="2026-02-23T00:00:00"/>
    <s v="Monday"/>
    <s v="Afternoon"/>
    <x v="3"/>
    <n v="28"/>
    <n v="5"/>
    <x v="1"/>
    <x v="0"/>
    <s v="SMS"/>
    <n v="11.6"/>
    <x v="14"/>
    <x v="0"/>
  </r>
  <r>
    <s v="HC-04287"/>
    <s v="P-1360"/>
    <s v="Female"/>
    <n v="43"/>
    <x v="0"/>
    <s v="Follow-up"/>
    <d v="2025-12-30T00:00:00"/>
    <d v="2026-01-25T00:00:00"/>
    <s v="Sunday"/>
    <s v="Morning"/>
    <x v="3"/>
    <n v="26"/>
    <n v="3"/>
    <x v="0"/>
    <x v="0"/>
    <s v="WhatsApp"/>
    <n v="9.8000000000000007"/>
    <x v="20"/>
    <x v="2"/>
  </r>
  <r>
    <s v="HC-04288"/>
    <s v="P-0100"/>
    <s v="Female"/>
    <n v="23"/>
    <x v="5"/>
    <s v="General Consultation"/>
    <d v="2026-03-15T00:00:00"/>
    <d v="2026-03-17T00:00:00"/>
    <s v="Tuesday"/>
    <s v="Morning"/>
    <x v="1"/>
    <n v="2"/>
    <n v="1"/>
    <x v="0"/>
    <x v="1"/>
    <s v="None"/>
    <n v="3.1"/>
    <x v="7"/>
    <x v="0"/>
  </r>
  <r>
    <s v="HC-04289"/>
    <s v="P-1016"/>
    <s v="Male"/>
    <n v="67"/>
    <x v="4"/>
    <s v="Specialist Consultation"/>
    <d v="2026-02-01T00:00:00"/>
    <d v="2026-02-22T00:00:00"/>
    <s v="Sunday"/>
    <s v="Afternoon"/>
    <x v="3"/>
    <n v="21"/>
    <n v="2"/>
    <x v="1"/>
    <x v="0"/>
    <s v="SMS"/>
    <n v="20.7"/>
    <x v="8"/>
    <x v="1"/>
  </r>
  <r>
    <s v="HC-04290"/>
    <s v="P-0739"/>
    <s v="Male"/>
    <n v="71"/>
    <x v="4"/>
    <s v="General Consultation"/>
    <d v="2025-06-02T00:00:00"/>
    <d v="2025-06-18T00:00:00"/>
    <s v="Wednesday"/>
    <s v="Morning"/>
    <x v="3"/>
    <n v="16"/>
    <n v="4"/>
    <x v="0"/>
    <x v="0"/>
    <s v="SMS"/>
    <n v="15.1"/>
    <x v="18"/>
    <x v="1"/>
  </r>
  <r>
    <s v="HC-04291"/>
    <s v="P-0418"/>
    <s v="Male"/>
    <n v="53"/>
    <x v="2"/>
    <s v="Specialist Consultation"/>
    <d v="2025-01-04T00:00:00"/>
    <d v="2025-02-07T00:00:00"/>
    <s v="Friday"/>
    <s v="Afternoon"/>
    <x v="2"/>
    <n v="34"/>
    <n v="7"/>
    <x v="0"/>
    <x v="0"/>
    <s v="SMS"/>
    <n v="27.9"/>
    <x v="22"/>
    <x v="2"/>
  </r>
  <r>
    <s v="HC-04292"/>
    <s v="P-1057"/>
    <s v="Female"/>
    <n v="63"/>
    <x v="3"/>
    <s v="Follow-up"/>
    <d v="2026-03-24T00:00:00"/>
    <d v="2026-05-23T00:00:00"/>
    <s v="Saturday"/>
    <s v="Afternoon"/>
    <x v="2"/>
    <n v="60"/>
    <n v="6"/>
    <x v="1"/>
    <x v="1"/>
    <s v="None"/>
    <n v="8.1"/>
    <x v="31"/>
    <x v="0"/>
  </r>
  <r>
    <s v="HC-04293"/>
    <s v="P-1166"/>
    <s v="Male"/>
    <n v="27"/>
    <x v="1"/>
    <s v="Follow-up"/>
    <d v="2025-08-16T00:00:00"/>
    <d v="2025-09-27T00:00:00"/>
    <s v="Saturday"/>
    <s v="Morning"/>
    <x v="2"/>
    <n v="42"/>
    <n v="3"/>
    <x v="1"/>
    <x v="1"/>
    <s v="None"/>
    <n v="8.5"/>
    <x v="19"/>
    <x v="1"/>
  </r>
  <r>
    <s v="HC-04294"/>
    <s v="P-1485"/>
    <s v="Prefer not to say"/>
    <n v="39"/>
    <x v="0"/>
    <s v="General Consultation"/>
    <d v="2024-12-27T00:00:00"/>
    <d v="2025-02-21T00:00:00"/>
    <s v="Friday"/>
    <s v="Afternoon"/>
    <x v="2"/>
    <n v="56"/>
    <n v="2"/>
    <x v="0"/>
    <x v="0"/>
    <s v="WhatsApp"/>
    <n v="1.2"/>
    <x v="10"/>
    <x v="0"/>
  </r>
  <r>
    <s v="HC-04295"/>
    <s v="P-0756"/>
    <s v="Female"/>
    <n v="40"/>
    <x v="0"/>
    <s v="Follow-up"/>
    <d v="2026-05-11T00:00:00"/>
    <d v="2026-05-22T00:00:00"/>
    <s v="Friday"/>
    <s v="Afternoon"/>
    <x v="0"/>
    <n v="11"/>
    <n v="6"/>
    <x v="1"/>
    <x v="0"/>
    <s v="SMS"/>
    <n v="7.3"/>
    <x v="7"/>
    <x v="0"/>
  </r>
  <r>
    <s v="HC-04296"/>
    <s v="P-0872"/>
    <s v="Female"/>
    <n v="66"/>
    <x v="4"/>
    <s v="Specialist Consultation"/>
    <d v="2026-06-14T00:00:00"/>
    <d v="2026-06-27T00:00:00"/>
    <s v="Saturday"/>
    <s v="Afternoon"/>
    <x v="0"/>
    <n v="13"/>
    <n v="3"/>
    <x v="1"/>
    <x v="0"/>
    <s v="SMS"/>
    <n v="2.2000000000000002"/>
    <x v="26"/>
    <x v="1"/>
  </r>
  <r>
    <s v="HC-04297"/>
    <s v="P-0713"/>
    <s v="Male"/>
    <n v="40"/>
    <x v="0"/>
    <s v="Follow-up"/>
    <d v="2025-07-18T00:00:00"/>
    <d v="2025-09-01T00:00:00"/>
    <s v="Monday"/>
    <s v="Afternoon"/>
    <x v="2"/>
    <n v="45"/>
    <n v="3"/>
    <x v="1"/>
    <x v="1"/>
    <s v="None"/>
    <n v="6.8"/>
    <x v="49"/>
    <x v="0"/>
  </r>
  <r>
    <s v="HC-04298"/>
    <s v="P-1316"/>
    <s v="Male"/>
    <n v="63"/>
    <x v="3"/>
    <s v="General Consultation"/>
    <d v="2026-02-07T00:00:00"/>
    <d v="2026-02-25T00:00:00"/>
    <s v="Wednesday"/>
    <s v="Morning"/>
    <x v="3"/>
    <n v="18"/>
    <n v="5"/>
    <x v="1"/>
    <x v="1"/>
    <s v="None"/>
    <n v="17.100000000000001"/>
    <x v="18"/>
    <x v="0"/>
  </r>
  <r>
    <s v="HC-04299"/>
    <s v="P-0455"/>
    <s v="Female"/>
    <n v="37"/>
    <x v="0"/>
    <s v="General Consultation"/>
    <d v="2024-11-30T00:00:00"/>
    <d v="2025-01-20T00:00:00"/>
    <s v="Monday"/>
    <s v="Morning"/>
    <x v="2"/>
    <n v="51"/>
    <n v="2"/>
    <x v="0"/>
    <x v="0"/>
    <s v="SMS"/>
    <n v="11.5"/>
    <x v="31"/>
    <x v="0"/>
  </r>
  <r>
    <s v="HC-04300"/>
    <s v="P-1221"/>
    <s v="Female"/>
    <n v="55"/>
    <x v="3"/>
    <s v="General Consultation"/>
    <d v="2025-01-23T00:00:00"/>
    <d v="2025-02-20T00:00:00"/>
    <s v="Thursday"/>
    <s v="Afternoon"/>
    <x v="3"/>
    <n v="28"/>
    <n v="4"/>
    <x v="1"/>
    <x v="0"/>
    <s v="Email"/>
    <n v="18"/>
    <x v="19"/>
    <x v="0"/>
  </r>
  <r>
    <s v="HC-04301"/>
    <s v="P-1542"/>
    <s v="Male"/>
    <n v="31"/>
    <x v="1"/>
    <s v="Specialist Consultation"/>
    <d v="2025-05-20T00:00:00"/>
    <d v="2025-06-01T00:00:00"/>
    <s v="Sunday"/>
    <s v="Afternoon"/>
    <x v="0"/>
    <n v="12"/>
    <n v="7"/>
    <x v="3"/>
    <x v="0"/>
    <s v="WhatsApp"/>
    <n v="14.4"/>
    <x v="12"/>
    <x v="0"/>
  </r>
  <r>
    <s v="HC-04302"/>
    <s v="P-0973"/>
    <s v="Male"/>
    <n v="53"/>
    <x v="2"/>
    <s v="General Consultation"/>
    <d v="2025-11-04T00:00:00"/>
    <d v="2025-12-25T00:00:00"/>
    <s v="Thursday"/>
    <s v="Morning"/>
    <x v="2"/>
    <n v="51"/>
    <n v="4"/>
    <x v="1"/>
    <x v="0"/>
    <s v="WhatsApp"/>
    <n v="7.2"/>
    <x v="39"/>
    <x v="0"/>
  </r>
  <r>
    <s v="HC-04303"/>
    <s v="P-0492"/>
    <s v="Male"/>
    <n v="23"/>
    <x v="5"/>
    <s v="Specialist Consultation"/>
    <d v="2025-02-09T00:00:00"/>
    <d v="2025-03-14T00:00:00"/>
    <s v="Friday"/>
    <s v="Morning"/>
    <x v="2"/>
    <n v="33"/>
    <n v="4"/>
    <x v="2"/>
    <x v="0"/>
    <s v="SMS"/>
    <n v="3.5"/>
    <x v="12"/>
    <x v="0"/>
  </r>
  <r>
    <s v="HC-04304"/>
    <s v="P-1008"/>
    <s v="Female"/>
    <n v="64"/>
    <x v="3"/>
    <s v="Specialist Consultation"/>
    <d v="2024-12-02T00:00:00"/>
    <d v="2025-01-19T00:00:00"/>
    <s v="Sunday"/>
    <s v="Afternoon"/>
    <x v="2"/>
    <n v="48"/>
    <n v="2"/>
    <x v="0"/>
    <x v="1"/>
    <s v="None"/>
    <n v="14.9"/>
    <x v="23"/>
    <x v="0"/>
  </r>
  <r>
    <s v="HC-04305"/>
    <s v="P-0774"/>
    <s v="Female"/>
    <n v="19"/>
    <x v="5"/>
    <s v="Follow-up"/>
    <d v="2025-12-05T00:00:00"/>
    <d v="2026-01-01T00:00:00"/>
    <s v="Thursday"/>
    <s v="Morning"/>
    <x v="3"/>
    <n v="27"/>
    <n v="5"/>
    <x v="0"/>
    <x v="1"/>
    <s v="None"/>
    <n v="8.1"/>
    <x v="17"/>
    <x v="1"/>
  </r>
  <r>
    <s v="HC-04306"/>
    <s v="P-0523"/>
    <s v="Male"/>
    <n v="80"/>
    <x v="4"/>
    <s v="Follow-up"/>
    <d v="2026-02-18T00:00:00"/>
    <d v="2026-02-25T00:00:00"/>
    <s v="Wednesday"/>
    <s v="Evening"/>
    <x v="1"/>
    <n v="7"/>
    <n v="1"/>
    <x v="0"/>
    <x v="1"/>
    <s v="None"/>
    <n v="16.399999999999999"/>
    <x v="4"/>
    <x v="1"/>
  </r>
  <r>
    <s v="HC-04307"/>
    <s v="P-1630"/>
    <s v="Female"/>
    <n v="70"/>
    <x v="4"/>
    <s v="Follow-up"/>
    <d v="2025-12-29T00:00:00"/>
    <d v="2026-02-08T00:00:00"/>
    <s v="Sunday"/>
    <s v="Afternoon"/>
    <x v="2"/>
    <n v="41"/>
    <n v="2"/>
    <x v="1"/>
    <x v="0"/>
    <s v="WhatsApp"/>
    <n v="10.3"/>
    <x v="21"/>
    <x v="1"/>
  </r>
  <r>
    <s v="HC-04308"/>
    <s v="P-0264"/>
    <s v="Female"/>
    <n v="54"/>
    <x v="2"/>
    <s v="Follow-up"/>
    <d v="2026-03-06T00:00:00"/>
    <d v="2026-03-13T00:00:00"/>
    <s v="Friday"/>
    <s v="Morning"/>
    <x v="1"/>
    <n v="7"/>
    <n v="2"/>
    <x v="0"/>
    <x v="0"/>
    <s v="SMS"/>
    <n v="11.6"/>
    <x v="26"/>
    <x v="0"/>
  </r>
  <r>
    <s v="HC-04309"/>
    <s v="P-0677"/>
    <s v="Male"/>
    <n v="75"/>
    <x v="4"/>
    <s v="General Consultation"/>
    <d v="2026-02-03T00:00:00"/>
    <d v="2026-03-15T00:00:00"/>
    <s v="Sunday"/>
    <s v="Afternoon"/>
    <x v="2"/>
    <n v="40"/>
    <n v="4"/>
    <x v="1"/>
    <x v="0"/>
    <s v="SMS"/>
    <n v="14.2"/>
    <x v="26"/>
    <x v="1"/>
  </r>
  <r>
    <s v="HC-04310"/>
    <s v="P-0954"/>
    <s v="Female"/>
    <n v="68"/>
    <x v="4"/>
    <s v="Specialist Consultation"/>
    <d v="2025-10-31T00:00:00"/>
    <d v="2025-11-25T00:00:00"/>
    <s v="Tuesday"/>
    <s v="Morning"/>
    <x v="3"/>
    <n v="25"/>
    <n v="4"/>
    <x v="0"/>
    <x v="0"/>
    <s v="WhatsApp"/>
    <n v="19.3"/>
    <x v="13"/>
    <x v="1"/>
  </r>
  <r>
    <s v="HC-04311"/>
    <s v="P-1256"/>
    <s v="Male"/>
    <n v="26"/>
    <x v="1"/>
    <s v="Diagnostic Test"/>
    <d v="2025-08-24T00:00:00"/>
    <d v="2025-10-11T00:00:00"/>
    <s v="Saturday"/>
    <s v="Evening"/>
    <x v="2"/>
    <n v="48"/>
    <n v="1"/>
    <x v="0"/>
    <x v="0"/>
    <s v="WhatsApp"/>
    <n v="7.9"/>
    <x v="42"/>
    <x v="1"/>
  </r>
  <r>
    <s v="HC-04312"/>
    <s v="P-0487"/>
    <s v="Female"/>
    <n v="64"/>
    <x v="3"/>
    <s v="Follow-up"/>
    <d v="2026-02-19T00:00:00"/>
    <d v="2026-04-13T00:00:00"/>
    <s v="Monday"/>
    <s v="Evening"/>
    <x v="2"/>
    <n v="53"/>
    <n v="3"/>
    <x v="1"/>
    <x v="0"/>
    <s v="WhatsApp"/>
    <n v="8.1"/>
    <x v="27"/>
    <x v="1"/>
  </r>
  <r>
    <s v="HC-04313"/>
    <s v="P-1477"/>
    <s v="Male"/>
    <n v="41"/>
    <x v="0"/>
    <s v="Diagnostic Test"/>
    <d v="2025-06-16T00:00:00"/>
    <d v="2025-07-10T00:00:00"/>
    <s v="Thursday"/>
    <s v="Afternoon"/>
    <x v="3"/>
    <n v="24"/>
    <n v="2"/>
    <x v="0"/>
    <x v="0"/>
    <s v="SMS"/>
    <n v="13.8"/>
    <x v="15"/>
    <x v="0"/>
  </r>
  <r>
    <s v="HC-04314"/>
    <s v="P-0667"/>
    <s v="Male"/>
    <n v="71"/>
    <x v="4"/>
    <s v="Diagnostic Test"/>
    <d v="2025-01-01T00:00:00"/>
    <d v="2025-02-23T00:00:00"/>
    <s v="Sunday"/>
    <s v="Afternoon"/>
    <x v="2"/>
    <n v="53"/>
    <n v="4"/>
    <x v="2"/>
    <x v="0"/>
    <s v="WhatsApp"/>
    <n v="5"/>
    <x v="12"/>
    <x v="1"/>
  </r>
  <r>
    <s v="HC-04315"/>
    <s v="P-1776"/>
    <s v="Female"/>
    <n v="72"/>
    <x v="4"/>
    <s v="Follow-up"/>
    <d v="2026-02-09T00:00:00"/>
    <d v="2026-02-15T00:00:00"/>
    <s v="Sunday"/>
    <s v="Evening"/>
    <x v="1"/>
    <n v="6"/>
    <n v="4"/>
    <x v="0"/>
    <x v="0"/>
    <s v="SMS"/>
    <n v="13.2"/>
    <x v="21"/>
    <x v="1"/>
  </r>
  <r>
    <s v="HC-04316"/>
    <s v="P-1349"/>
    <s v="Male"/>
    <n v="78"/>
    <x v="4"/>
    <s v="Specialist Consultation"/>
    <d v="2025-05-25T00:00:00"/>
    <d v="2025-05-31T00:00:00"/>
    <s v="Saturday"/>
    <s v="Afternoon"/>
    <x v="1"/>
    <n v="6"/>
    <n v="3"/>
    <x v="1"/>
    <x v="1"/>
    <s v="None"/>
    <n v="14.5"/>
    <x v="51"/>
    <x v="0"/>
  </r>
  <r>
    <s v="HC-04317"/>
    <s v="P-0453"/>
    <s v="Female"/>
    <n v="46"/>
    <x v="2"/>
    <s v="Follow-up"/>
    <d v="2026-04-20T00:00:00"/>
    <d v="2026-06-19T00:00:00"/>
    <s v="Friday"/>
    <s v="Evening"/>
    <x v="2"/>
    <n v="60"/>
    <n v="4"/>
    <x v="0"/>
    <x v="0"/>
    <s v="WhatsApp"/>
    <n v="30.1"/>
    <x v="0"/>
    <x v="0"/>
  </r>
  <r>
    <s v="HC-04318"/>
    <s v="P-1207"/>
    <s v="Male"/>
    <n v="30"/>
    <x v="1"/>
    <s v="General Consultation"/>
    <d v="2025-07-11T00:00:00"/>
    <d v="2025-08-15T00:00:00"/>
    <s v="Friday"/>
    <s v="Morning"/>
    <x v="2"/>
    <n v="35"/>
    <n v="4"/>
    <x v="0"/>
    <x v="0"/>
    <s v="SMS"/>
    <n v="12.8"/>
    <x v="7"/>
    <x v="0"/>
  </r>
  <r>
    <s v="HC-04319"/>
    <s v="P-0077"/>
    <s v="Female"/>
    <n v="25"/>
    <x v="1"/>
    <s v="General Consultation"/>
    <d v="2026-03-15T00:00:00"/>
    <d v="2026-04-11T00:00:00"/>
    <s v="Saturday"/>
    <s v="Evening"/>
    <x v="3"/>
    <n v="27"/>
    <n v="2"/>
    <x v="0"/>
    <x v="0"/>
    <s v="SMS"/>
    <n v="18.399999999999999"/>
    <x v="9"/>
    <x v="1"/>
  </r>
  <r>
    <s v="HC-04320"/>
    <s v="P-0267"/>
    <s v="Prefer not to say"/>
    <n v="28"/>
    <x v="1"/>
    <s v="Follow-up"/>
    <d v="2025-01-15T00:00:00"/>
    <d v="2025-01-24T00:00:00"/>
    <s v="Friday"/>
    <s v="Afternoon"/>
    <x v="0"/>
    <n v="9"/>
    <n v="4"/>
    <x v="0"/>
    <x v="0"/>
    <s v="SMS"/>
    <n v="7"/>
    <x v="51"/>
    <x v="1"/>
  </r>
  <r>
    <s v="HC-04321"/>
    <s v="P-0024"/>
    <s v="Female"/>
    <n v="80"/>
    <x v="4"/>
    <s v="Specialist Consultation"/>
    <d v="2025-12-09T00:00:00"/>
    <d v="2025-12-26T00:00:00"/>
    <s v="Friday"/>
    <s v="Morning"/>
    <x v="3"/>
    <n v="17"/>
    <n v="4"/>
    <x v="1"/>
    <x v="1"/>
    <s v="None"/>
    <n v="6.6"/>
    <x v="19"/>
    <x v="1"/>
  </r>
  <r>
    <s v="HC-04322"/>
    <s v="P-0234"/>
    <s v="Male"/>
    <n v="54"/>
    <x v="2"/>
    <s v="General Consultation"/>
    <d v="2025-07-23T00:00:00"/>
    <d v="2025-09-02T00:00:00"/>
    <s v="Tuesday"/>
    <s v="Evening"/>
    <x v="2"/>
    <n v="41"/>
    <n v="1"/>
    <x v="0"/>
    <x v="0"/>
    <s v="SMS"/>
    <n v="8.5"/>
    <x v="1"/>
    <x v="1"/>
  </r>
  <r>
    <s v="HC-04323"/>
    <s v="P-1416"/>
    <s v="Female"/>
    <n v="40"/>
    <x v="0"/>
    <s v="Specialist Consultation"/>
    <d v="2025-07-22T00:00:00"/>
    <d v="2025-09-10T00:00:00"/>
    <s v="Wednesday"/>
    <s v="Afternoon"/>
    <x v="2"/>
    <n v="50"/>
    <n v="2"/>
    <x v="0"/>
    <x v="1"/>
    <s v="None"/>
    <n v="5.7"/>
    <x v="7"/>
    <x v="0"/>
  </r>
  <r>
    <s v="HC-04324"/>
    <s v="P-1542"/>
    <s v="Female"/>
    <n v="46"/>
    <x v="2"/>
    <s v="Follow-up"/>
    <d v="2025-03-31T00:00:00"/>
    <d v="2025-05-25T00:00:00"/>
    <s v="Sunday"/>
    <s v="Evening"/>
    <x v="2"/>
    <n v="55"/>
    <n v="1"/>
    <x v="1"/>
    <x v="0"/>
    <s v="SMS"/>
    <n v="13"/>
    <x v="23"/>
    <x v="0"/>
  </r>
  <r>
    <s v="HC-04325"/>
    <s v="P-1207"/>
    <s v="Female"/>
    <n v="28"/>
    <x v="1"/>
    <s v="Follow-up"/>
    <d v="2026-05-22T00:00:00"/>
    <d v="2026-06-15T00:00:00"/>
    <s v="Monday"/>
    <s v="Morning"/>
    <x v="3"/>
    <n v="24"/>
    <n v="4"/>
    <x v="1"/>
    <x v="0"/>
    <s v="WhatsApp"/>
    <n v="4.5999999999999996"/>
    <x v="47"/>
    <x v="0"/>
  </r>
  <r>
    <s v="HC-04326"/>
    <s v="P-0700"/>
    <s v="Female"/>
    <n v="53"/>
    <x v="2"/>
    <s v="General Consultation"/>
    <d v="2025-07-07T00:00:00"/>
    <d v="2025-08-03T00:00:00"/>
    <s v="Sunday"/>
    <s v="Afternoon"/>
    <x v="3"/>
    <n v="27"/>
    <n v="2"/>
    <x v="1"/>
    <x v="1"/>
    <s v="None"/>
    <n v="4.4000000000000004"/>
    <x v="31"/>
    <x v="0"/>
  </r>
  <r>
    <s v="HC-04327"/>
    <s v="P-0873"/>
    <s v="Female"/>
    <n v="44"/>
    <x v="0"/>
    <s v="Follow-up"/>
    <d v="2026-04-01T00:00:00"/>
    <d v="2026-04-10T00:00:00"/>
    <s v="Friday"/>
    <s v="Afternoon"/>
    <x v="0"/>
    <n v="9"/>
    <n v="5"/>
    <x v="2"/>
    <x v="0"/>
    <s v="Email"/>
    <n v="4.0999999999999996"/>
    <x v="17"/>
    <x v="1"/>
  </r>
  <r>
    <s v="HC-04328"/>
    <s v="P-0328"/>
    <s v="Female"/>
    <n v="68"/>
    <x v="4"/>
    <s v="General Consultation"/>
    <d v="2025-08-16T00:00:00"/>
    <d v="2025-08-21T00:00:00"/>
    <s v="Thursday"/>
    <s v="Morning"/>
    <x v="1"/>
    <n v="5"/>
    <n v="2"/>
    <x v="0"/>
    <x v="0"/>
    <s v="Email"/>
    <n v="11.7"/>
    <x v="23"/>
    <x v="1"/>
  </r>
  <r>
    <s v="HC-04329"/>
    <s v="P-0779"/>
    <s v="Male"/>
    <n v="19"/>
    <x v="5"/>
    <s v="General Consultation"/>
    <d v="2025-01-01T00:00:00"/>
    <d v="2025-01-27T00:00:00"/>
    <s v="Monday"/>
    <s v="Afternoon"/>
    <x v="3"/>
    <n v="26"/>
    <n v="4"/>
    <x v="1"/>
    <x v="0"/>
    <s v="SMS"/>
    <n v="4.5"/>
    <x v="28"/>
    <x v="0"/>
  </r>
  <r>
    <s v="HC-04330"/>
    <s v="P-1104"/>
    <s v="Female"/>
    <n v="76"/>
    <x v="4"/>
    <s v="General Consultation"/>
    <d v="2026-03-22T00:00:00"/>
    <d v="2026-04-26T00:00:00"/>
    <s v="Sunday"/>
    <s v="Afternoon"/>
    <x v="2"/>
    <n v="35"/>
    <n v="2"/>
    <x v="1"/>
    <x v="1"/>
    <s v="None"/>
    <n v="4.4000000000000004"/>
    <x v="4"/>
    <x v="1"/>
  </r>
  <r>
    <s v="HC-04331"/>
    <s v="P-1415"/>
    <s v="Female"/>
    <n v="21"/>
    <x v="5"/>
    <s v="General Consultation"/>
    <d v="2025-04-06T00:00:00"/>
    <d v="2025-04-12T00:00:00"/>
    <s v="Saturday"/>
    <s v="Morning"/>
    <x v="1"/>
    <n v="6"/>
    <n v="1"/>
    <x v="0"/>
    <x v="0"/>
    <s v="WhatsApp"/>
    <n v="4.5"/>
    <x v="25"/>
    <x v="1"/>
  </r>
  <r>
    <s v="HC-04332"/>
    <s v="P-1742"/>
    <s v="Male"/>
    <n v="44"/>
    <x v="0"/>
    <s v="General Consultation"/>
    <d v="2025-05-04T00:00:00"/>
    <d v="2025-05-28T00:00:00"/>
    <s v="Wednesday"/>
    <s v="Afternoon"/>
    <x v="3"/>
    <n v="24"/>
    <n v="2"/>
    <x v="0"/>
    <x v="1"/>
    <s v="None"/>
    <n v="1.2"/>
    <x v="4"/>
    <x v="0"/>
  </r>
  <r>
    <s v="HC-04333"/>
    <s v="P-0749"/>
    <s v="Male"/>
    <n v="39"/>
    <x v="0"/>
    <s v="Follow-up"/>
    <d v="2026-03-08T00:00:00"/>
    <d v="2026-04-16T00:00:00"/>
    <s v="Thursday"/>
    <s v="Morning"/>
    <x v="2"/>
    <n v="39"/>
    <n v="0"/>
    <x v="0"/>
    <x v="0"/>
    <s v="SMS"/>
    <n v="6.4"/>
    <x v="19"/>
    <x v="1"/>
  </r>
  <r>
    <s v="HC-04334"/>
    <s v="P-1088"/>
    <s v="Female"/>
    <n v="63"/>
    <x v="3"/>
    <s v="Follow-up"/>
    <d v="2026-03-15T00:00:00"/>
    <d v="2026-05-03T00:00:00"/>
    <s v="Sunday"/>
    <s v="Afternoon"/>
    <x v="2"/>
    <n v="49"/>
    <n v="6"/>
    <x v="0"/>
    <x v="0"/>
    <s v="WhatsApp"/>
    <m/>
    <x v="3"/>
    <x v="1"/>
  </r>
  <r>
    <s v="HC-04335"/>
    <s v="P-0186"/>
    <s v="Female"/>
    <n v="59"/>
    <x v="3"/>
    <s v="General Consultation"/>
    <d v="2026-03-20T00:00:00"/>
    <d v="2026-05-16T00:00:00"/>
    <s v="Saturday"/>
    <s v="Afternoon"/>
    <x v="2"/>
    <n v="57"/>
    <n v="2"/>
    <x v="1"/>
    <x v="0"/>
    <s v="SMS"/>
    <n v="12.4"/>
    <x v="24"/>
    <x v="1"/>
  </r>
  <r>
    <s v="HC-04336"/>
    <s v="P-1084"/>
    <s v="Female"/>
    <n v="30"/>
    <x v="1"/>
    <s v="Specialist Consultation"/>
    <d v="2025-08-01T00:00:00"/>
    <d v="2025-08-21T00:00:00"/>
    <s v="Thursday"/>
    <s v="Afternoon"/>
    <x v="3"/>
    <n v="20"/>
    <n v="5"/>
    <x v="0"/>
    <x v="0"/>
    <s v="SMS"/>
    <n v="12.6"/>
    <x v="16"/>
    <x v="0"/>
  </r>
  <r>
    <s v="HC-04337"/>
    <s v="P-0212"/>
    <s v="Male"/>
    <n v="48"/>
    <x v="2"/>
    <s v="Follow-up"/>
    <d v="2026-01-26T00:00:00"/>
    <d v="2026-02-18T00:00:00"/>
    <s v="Wednesday"/>
    <s v="Afternoon"/>
    <x v="3"/>
    <n v="23"/>
    <n v="1"/>
    <x v="0"/>
    <x v="0"/>
    <s v="SMS"/>
    <n v="14.4"/>
    <x v="47"/>
    <x v="0"/>
  </r>
  <r>
    <s v="HC-04338"/>
    <s v="P-1600"/>
    <s v="Male"/>
    <n v="51"/>
    <x v="2"/>
    <s v="Diagnostic Test"/>
    <d v="2025-05-06T00:00:00"/>
    <d v="2025-06-28T00:00:00"/>
    <s v="Saturday"/>
    <s v="Morning"/>
    <x v="2"/>
    <n v="53"/>
    <n v="2"/>
    <x v="1"/>
    <x v="0"/>
    <s v="Email"/>
    <n v="13.5"/>
    <x v="20"/>
    <x v="0"/>
  </r>
  <r>
    <s v="HC-04339"/>
    <s v="P-0246"/>
    <s v="Male"/>
    <n v="47"/>
    <x v="2"/>
    <s v="Follow-up"/>
    <d v="2025-12-29T00:00:00"/>
    <d v="2026-02-09T00:00:00"/>
    <s v="Monday"/>
    <s v="Morning"/>
    <x v="2"/>
    <n v="42"/>
    <n v="6"/>
    <x v="2"/>
    <x v="0"/>
    <s v="WhatsApp"/>
    <n v="7"/>
    <x v="22"/>
    <x v="0"/>
  </r>
  <r>
    <s v="HC-04340"/>
    <s v="P-0359"/>
    <s v="Male"/>
    <n v="19"/>
    <x v="5"/>
    <s v="General Consultation"/>
    <d v="2025-09-16T00:00:00"/>
    <d v="2025-10-02T00:00:00"/>
    <s v="Thursday"/>
    <s v="Evening"/>
    <x v="3"/>
    <n v="16"/>
    <n v="4"/>
    <x v="2"/>
    <x v="0"/>
    <s v="SMS"/>
    <n v="13.7"/>
    <x v="36"/>
    <x v="1"/>
  </r>
  <r>
    <s v="HC-04341"/>
    <s v="P-0440"/>
    <s v="Male"/>
    <n v="29"/>
    <x v="1"/>
    <s v="Diagnostic Test"/>
    <d v="2024-12-19T00:00:00"/>
    <d v="2025-01-29T00:00:00"/>
    <s v="Wednesday"/>
    <s v="Morning"/>
    <x v="2"/>
    <n v="41"/>
    <n v="2"/>
    <x v="0"/>
    <x v="0"/>
    <s v="SMS"/>
    <n v="4"/>
    <x v="15"/>
    <x v="1"/>
  </r>
  <r>
    <s v="HC-04342"/>
    <s v="P-1012"/>
    <s v="Prefer not to say"/>
    <n v="49"/>
    <x v="2"/>
    <s v="Specialist Consultation"/>
    <d v="2025-08-08T00:00:00"/>
    <d v="2025-08-17T00:00:00"/>
    <s v="Sunday"/>
    <s v="Morning"/>
    <x v="0"/>
    <n v="9"/>
    <n v="2"/>
    <x v="0"/>
    <x v="1"/>
    <s v="None"/>
    <n v="9.6"/>
    <x v="5"/>
    <x v="1"/>
  </r>
  <r>
    <s v="HC-04343"/>
    <s v="P-1264"/>
    <s v="Male"/>
    <n v="34"/>
    <x v="1"/>
    <s v="Follow-up"/>
    <d v="2025-08-17T00:00:00"/>
    <d v="2025-09-13T00:00:00"/>
    <s v="Saturday"/>
    <s v="Morning"/>
    <x v="3"/>
    <n v="27"/>
    <n v="6"/>
    <x v="1"/>
    <x v="0"/>
    <s v="WhatsApp"/>
    <n v="4.0999999999999996"/>
    <x v="16"/>
    <x v="1"/>
  </r>
  <r>
    <s v="HC-04344"/>
    <s v="P-0434"/>
    <s v="Male"/>
    <n v="52"/>
    <x v="2"/>
    <s v="Follow-up"/>
    <d v="2025-05-03T00:00:00"/>
    <d v="2025-05-21T00:00:00"/>
    <s v="Wednesday"/>
    <s v="Afternoon"/>
    <x v="3"/>
    <n v="18"/>
    <n v="4"/>
    <x v="0"/>
    <x v="1"/>
    <s v="None"/>
    <n v="5.9"/>
    <x v="48"/>
    <x v="0"/>
  </r>
  <r>
    <s v="HC-04345"/>
    <s v="P-1409"/>
    <s v="Male"/>
    <n v="28"/>
    <x v="1"/>
    <s v="Follow-up"/>
    <d v="2025-05-25T00:00:00"/>
    <d v="2025-07-24T00:00:00"/>
    <s v="Thursday"/>
    <s v="Afternoon"/>
    <x v="2"/>
    <n v="60"/>
    <n v="3"/>
    <x v="0"/>
    <x v="0"/>
    <s v="SMS"/>
    <n v="19.2"/>
    <x v="7"/>
    <x v="0"/>
  </r>
  <r>
    <s v="HC-04346"/>
    <s v="P-1230"/>
    <s v="Male"/>
    <n v="64"/>
    <x v="3"/>
    <s v="Follow-up"/>
    <d v="2025-09-30T00:00:00"/>
    <d v="2025-10-02T00:00:00"/>
    <s v="Thursday"/>
    <s v="Morning"/>
    <x v="1"/>
    <n v="2"/>
    <n v="2"/>
    <x v="1"/>
    <x v="1"/>
    <s v="None"/>
    <n v="7.1"/>
    <x v="15"/>
    <x v="1"/>
  </r>
  <r>
    <s v="HC-04347"/>
    <s v="P-1166"/>
    <s v="Female"/>
    <n v="29"/>
    <x v="1"/>
    <s v="Specialist Consultation"/>
    <d v="2024-12-07T00:00:00"/>
    <d v="2025-01-28T00:00:00"/>
    <s v="Tuesday"/>
    <s v="Morning"/>
    <x v="2"/>
    <n v="52"/>
    <n v="2"/>
    <x v="1"/>
    <x v="0"/>
    <s v="Email"/>
    <n v="5.8"/>
    <x v="5"/>
    <x v="0"/>
  </r>
  <r>
    <s v="HC-04348"/>
    <s v="P-1022"/>
    <s v="Female"/>
    <n v="58"/>
    <x v="3"/>
    <s v="Follow-up"/>
    <d v="2025-03-07T00:00:00"/>
    <d v="2025-03-24T00:00:00"/>
    <s v="Monday"/>
    <s v="Morning"/>
    <x v="3"/>
    <n v="17"/>
    <n v="9"/>
    <x v="1"/>
    <x v="0"/>
    <s v="Email"/>
    <n v="15.6"/>
    <x v="4"/>
    <x v="1"/>
  </r>
  <r>
    <s v="HC-04349"/>
    <s v="P-1677"/>
    <s v="Female"/>
    <n v="70"/>
    <x v="4"/>
    <s v="General Consultation"/>
    <d v="2026-02-21T00:00:00"/>
    <d v="2026-02-23T00:00:00"/>
    <s v="Monday"/>
    <s v="Morning"/>
    <x v="1"/>
    <n v="2"/>
    <n v="5"/>
    <x v="1"/>
    <x v="1"/>
    <s v="None"/>
    <n v="5.4"/>
    <x v="18"/>
    <x v="1"/>
  </r>
  <r>
    <s v="HC-04350"/>
    <s v="P-1541"/>
    <s v="Female"/>
    <n v="40"/>
    <x v="0"/>
    <s v="General Consultation"/>
    <d v="2025-06-02T00:00:00"/>
    <d v="2025-07-12T00:00:00"/>
    <s v="Saturday"/>
    <s v="Morning"/>
    <x v="2"/>
    <n v="40"/>
    <n v="1"/>
    <x v="1"/>
    <x v="1"/>
    <s v="None"/>
    <n v="12.1"/>
    <x v="8"/>
    <x v="0"/>
  </r>
  <r>
    <s v="HC-04351"/>
    <s v="P-1417"/>
    <s v="Male"/>
    <n v="26"/>
    <x v="1"/>
    <s v="General Consultation"/>
    <d v="2025-10-19T00:00:00"/>
    <d v="2025-11-29T00:00:00"/>
    <s v="Saturday"/>
    <s v="Afternoon"/>
    <x v="2"/>
    <n v="41"/>
    <n v="2"/>
    <x v="0"/>
    <x v="1"/>
    <s v="None"/>
    <n v="10.3"/>
    <x v="2"/>
    <x v="1"/>
  </r>
  <r>
    <s v="HC-04352"/>
    <s v="P-1047"/>
    <s v="Male"/>
    <n v="18"/>
    <x v="5"/>
    <s v="General Consultation"/>
    <d v="2025-10-28T00:00:00"/>
    <d v="2025-11-05T00:00:00"/>
    <s v="Wednesday"/>
    <s v="Afternoon"/>
    <x v="0"/>
    <n v="8"/>
    <n v="2"/>
    <x v="0"/>
    <x v="1"/>
    <s v="None"/>
    <n v="8.3000000000000007"/>
    <x v="35"/>
    <x v="0"/>
  </r>
  <r>
    <s v="HC-04353"/>
    <s v="P-1008"/>
    <s v="Female"/>
    <n v="40"/>
    <x v="0"/>
    <s v="General Consultation"/>
    <d v="2025-10-26T00:00:00"/>
    <d v="2025-10-28T00:00:00"/>
    <s v="Tuesday"/>
    <s v="Morning"/>
    <x v="1"/>
    <n v="2"/>
    <n v="1"/>
    <x v="0"/>
    <x v="0"/>
    <s v="WhatsApp"/>
    <n v="5"/>
    <x v="23"/>
    <x v="2"/>
  </r>
  <r>
    <s v="HC-04354"/>
    <s v="P-1080"/>
    <s v="Female"/>
    <n v="25"/>
    <x v="1"/>
    <s v="Diagnostic Test"/>
    <d v="2025-08-08T00:00:00"/>
    <d v="2025-08-14T00:00:00"/>
    <s v="Thursday"/>
    <s v="Afternoon"/>
    <x v="1"/>
    <n v="6"/>
    <n v="2"/>
    <x v="0"/>
    <x v="1"/>
    <s v="None"/>
    <n v="22.5"/>
    <x v="13"/>
    <x v="1"/>
  </r>
  <r>
    <s v="HC-04355"/>
    <s v="P-1795"/>
    <s v="Female"/>
    <n v="73"/>
    <x v="4"/>
    <s v="General Consultation"/>
    <d v="2025-08-28T00:00:00"/>
    <d v="2025-09-21T00:00:00"/>
    <s v="Sunday"/>
    <s v="Afternoon"/>
    <x v="3"/>
    <n v="24"/>
    <n v="1"/>
    <x v="0"/>
    <x v="1"/>
    <s v="None"/>
    <n v="5.6"/>
    <x v="8"/>
    <x v="0"/>
  </r>
  <r>
    <s v="HC-04356"/>
    <s v="P-0875"/>
    <s v="Male"/>
    <n v="79"/>
    <x v="4"/>
    <s v="General Consultation"/>
    <d v="2026-03-18T00:00:00"/>
    <d v="2026-03-26T00:00:00"/>
    <s v="Thursday"/>
    <s v="Morning"/>
    <x v="0"/>
    <n v="8"/>
    <n v="4"/>
    <x v="1"/>
    <x v="1"/>
    <s v="None"/>
    <n v="19.8"/>
    <x v="13"/>
    <x v="0"/>
  </r>
  <r>
    <s v="HC-04357"/>
    <s v="P-1217"/>
    <s v="Male"/>
    <n v="79"/>
    <x v="4"/>
    <s v="General Consultation"/>
    <d v="2026-04-30T00:00:00"/>
    <d v="2026-06-11T00:00:00"/>
    <s v="Thursday"/>
    <s v="Morning"/>
    <x v="2"/>
    <n v="42"/>
    <n v="5"/>
    <x v="0"/>
    <x v="0"/>
    <s v="WhatsApp"/>
    <n v="12.6"/>
    <x v="4"/>
    <x v="0"/>
  </r>
  <r>
    <s v="HC-04358"/>
    <s v="P-0100"/>
    <s v="Female"/>
    <n v="76"/>
    <x v="4"/>
    <s v="Follow-up"/>
    <d v="2025-05-17T00:00:00"/>
    <d v="2025-05-21T00:00:00"/>
    <s v="Wednesday"/>
    <s v="Afternoon"/>
    <x v="1"/>
    <n v="4"/>
    <n v="2"/>
    <x v="0"/>
    <x v="1"/>
    <s v="None"/>
    <n v="15.5"/>
    <x v="14"/>
    <x v="0"/>
  </r>
  <r>
    <s v="HC-04359"/>
    <s v="P-1376"/>
    <s v="Female"/>
    <n v="54"/>
    <x v="2"/>
    <s v="Follow-up"/>
    <d v="2025-11-14T00:00:00"/>
    <d v="2026-01-01T00:00:00"/>
    <s v="Thursday"/>
    <s v="Morning"/>
    <x v="2"/>
    <n v="48"/>
    <n v="4"/>
    <x v="0"/>
    <x v="0"/>
    <s v="Email"/>
    <n v="10.199999999999999"/>
    <x v="0"/>
    <x v="0"/>
  </r>
  <r>
    <s v="HC-04360"/>
    <s v="P-0848"/>
    <s v="Male"/>
    <n v="38"/>
    <x v="0"/>
    <s v="Follow-up"/>
    <d v="2026-04-22T00:00:00"/>
    <d v="2026-06-14T00:00:00"/>
    <s v="Sunday"/>
    <s v="Afternoon"/>
    <x v="2"/>
    <n v="53"/>
    <n v="1"/>
    <x v="0"/>
    <x v="0"/>
    <s v="Email"/>
    <n v="22.9"/>
    <x v="7"/>
    <x v="0"/>
  </r>
  <r>
    <s v="HC-04361"/>
    <s v="P-1786"/>
    <s v="Male"/>
    <n v="46"/>
    <x v="2"/>
    <s v="Diagnostic Test"/>
    <d v="2024-11-23T00:00:00"/>
    <d v="2025-01-05T00:00:00"/>
    <s v="Sunday"/>
    <s v="Afternoon"/>
    <x v="2"/>
    <n v="43"/>
    <n v="2"/>
    <x v="0"/>
    <x v="1"/>
    <s v="None"/>
    <n v="26.6"/>
    <x v="42"/>
    <x v="0"/>
  </r>
  <r>
    <s v="HC-04362"/>
    <s v="P-0079"/>
    <s v="Male"/>
    <n v="34"/>
    <x v="1"/>
    <s v="Diagnostic Test"/>
    <d v="2026-01-07T00:00:00"/>
    <d v="2026-03-05T00:00:00"/>
    <s v="Thursday"/>
    <s v="Evening"/>
    <x v="2"/>
    <n v="57"/>
    <n v="5"/>
    <x v="1"/>
    <x v="0"/>
    <s v="SMS"/>
    <n v="7.7"/>
    <x v="4"/>
    <x v="0"/>
  </r>
  <r>
    <s v="HC-04363"/>
    <s v="P-1776"/>
    <s v="Female"/>
    <n v="70"/>
    <x v="4"/>
    <s v="Specialist Consultation"/>
    <d v="2025-08-03T00:00:00"/>
    <d v="2025-09-29T00:00:00"/>
    <s v="Monday"/>
    <s v="Morning"/>
    <x v="2"/>
    <n v="57"/>
    <n v="5"/>
    <x v="1"/>
    <x v="1"/>
    <s v="None"/>
    <n v="5.9"/>
    <x v="31"/>
    <x v="1"/>
  </r>
  <r>
    <s v="HC-04364"/>
    <s v="P-1106"/>
    <s v="Female"/>
    <n v="45"/>
    <x v="2"/>
    <s v="Specialist Consultation"/>
    <d v="2026-06-11T00:00:00"/>
    <d v="2026-06-13T00:00:00"/>
    <s v="Saturday"/>
    <s v="Morning"/>
    <x v="1"/>
    <n v="2"/>
    <n v="4"/>
    <x v="0"/>
    <x v="0"/>
    <s v="SMS"/>
    <n v="9.5"/>
    <x v="20"/>
    <x v="1"/>
  </r>
  <r>
    <s v="HC-04365"/>
    <s v="P-0370"/>
    <s v="Male"/>
    <n v="42"/>
    <x v="0"/>
    <s v="General Consultation"/>
    <d v="2025-10-23T00:00:00"/>
    <d v="2025-11-12T00:00:00"/>
    <s v="Wednesday"/>
    <s v="Evening"/>
    <x v="3"/>
    <n v="20"/>
    <n v="1"/>
    <x v="1"/>
    <x v="0"/>
    <s v="SMS"/>
    <n v="7.5"/>
    <x v="7"/>
    <x v="1"/>
  </r>
  <r>
    <s v="HC-04366"/>
    <s v="P-0424"/>
    <s v="Female"/>
    <n v="61"/>
    <x v="3"/>
    <s v="Follow-up"/>
    <d v="2026-02-16T00:00:00"/>
    <d v="2026-04-03T00:00:00"/>
    <s v="Friday"/>
    <s v="Afternoon"/>
    <x v="2"/>
    <n v="46"/>
    <n v="5"/>
    <x v="0"/>
    <x v="0"/>
    <s v="Email"/>
    <n v="18"/>
    <x v="4"/>
    <x v="2"/>
  </r>
  <r>
    <s v="HC-04367"/>
    <s v="P-0330"/>
    <s v="Male"/>
    <n v="41"/>
    <x v="0"/>
    <s v="General Consultation"/>
    <d v="2025-03-12T00:00:00"/>
    <d v="2025-04-01T00:00:00"/>
    <s v="Tuesday"/>
    <s v="Morning"/>
    <x v="3"/>
    <n v="20"/>
    <n v="5"/>
    <x v="1"/>
    <x v="0"/>
    <s v="SMS"/>
    <n v="13"/>
    <x v="3"/>
    <x v="0"/>
  </r>
  <r>
    <s v="HC-04368"/>
    <s v="P-0024"/>
    <s v="Male"/>
    <n v="40"/>
    <x v="0"/>
    <s v="Specialist Consultation"/>
    <d v="2025-02-03T00:00:00"/>
    <d v="2025-03-19T00:00:00"/>
    <s v="Wednesday"/>
    <s v="Afternoon"/>
    <x v="2"/>
    <n v="44"/>
    <n v="1"/>
    <x v="1"/>
    <x v="0"/>
    <s v="WhatsApp"/>
    <n v="3.7"/>
    <x v="7"/>
    <x v="0"/>
  </r>
  <r>
    <s v="HC-04369"/>
    <s v="P-0091"/>
    <s v="Female"/>
    <n v="32"/>
    <x v="1"/>
    <s v="General Consultation"/>
    <d v="2026-04-04T00:00:00"/>
    <d v="2026-05-21T00:00:00"/>
    <s v="Thursday"/>
    <s v="Morning"/>
    <x v="2"/>
    <n v="47"/>
    <n v="0"/>
    <x v="0"/>
    <x v="1"/>
    <s v="None"/>
    <n v="3.6"/>
    <x v="45"/>
    <x v="0"/>
  </r>
  <r>
    <s v="HC-04370"/>
    <s v="P-1372"/>
    <s v="Female"/>
    <n v="22"/>
    <x v="5"/>
    <s v="General Consultation"/>
    <d v="2025-08-16T00:00:00"/>
    <d v="2025-10-15T00:00:00"/>
    <s v="Wednesday"/>
    <s v="Afternoon"/>
    <x v="2"/>
    <n v="60"/>
    <n v="5"/>
    <x v="0"/>
    <x v="0"/>
    <s v="WhatsApp"/>
    <n v="10.5"/>
    <x v="26"/>
    <x v="1"/>
  </r>
  <r>
    <s v="HC-04371"/>
    <s v="P-0369"/>
    <s v="Male"/>
    <n v="20"/>
    <x v="5"/>
    <s v="General Consultation"/>
    <d v="2025-10-12T00:00:00"/>
    <d v="2025-11-01T00:00:00"/>
    <s v="Saturday"/>
    <s v="Evening"/>
    <x v="3"/>
    <n v="20"/>
    <n v="3"/>
    <x v="0"/>
    <x v="0"/>
    <s v="WhatsApp"/>
    <n v="17.899999999999999"/>
    <x v="25"/>
    <x v="1"/>
  </r>
  <r>
    <s v="HC-04372"/>
    <s v="P-0592"/>
    <s v="Male"/>
    <n v="43"/>
    <x v="0"/>
    <s v="Follow-up"/>
    <d v="2025-03-13T00:00:00"/>
    <d v="2025-04-03T00:00:00"/>
    <s v="Thursday"/>
    <s v="Afternoon"/>
    <x v="3"/>
    <n v="21"/>
    <n v="3"/>
    <x v="1"/>
    <x v="0"/>
    <s v="Email"/>
    <n v="5.2"/>
    <x v="26"/>
    <x v="1"/>
  </r>
  <r>
    <s v="HC-04373"/>
    <s v="P-0764"/>
    <s v="Female"/>
    <n v="80"/>
    <x v="4"/>
    <s v="Follow-up"/>
    <d v="2025-05-03T00:00:00"/>
    <d v="2025-05-04T00:00:00"/>
    <s v="Sunday"/>
    <s v="Afternoon"/>
    <x v="1"/>
    <n v="1"/>
    <n v="2"/>
    <x v="0"/>
    <x v="0"/>
    <s v="SMS"/>
    <n v="12.4"/>
    <x v="15"/>
    <x v="0"/>
  </r>
  <r>
    <s v="HC-04374"/>
    <s v="P-1173"/>
    <s v="Male"/>
    <n v="34"/>
    <x v="1"/>
    <s v="General Consultation"/>
    <d v="2026-03-06T00:00:00"/>
    <d v="2026-03-23T00:00:00"/>
    <s v="Monday"/>
    <s v="Evening"/>
    <x v="3"/>
    <n v="17"/>
    <n v="2"/>
    <x v="0"/>
    <x v="0"/>
    <s v="SMS"/>
    <n v="14.5"/>
    <x v="25"/>
    <x v="0"/>
  </r>
  <r>
    <s v="HC-04375"/>
    <s v="P-1436"/>
    <s v="Female"/>
    <n v="58"/>
    <x v="3"/>
    <s v="Follow-up"/>
    <d v="2025-05-29T00:00:00"/>
    <d v="2025-06-15T00:00:00"/>
    <s v="Sunday"/>
    <s v="Afternoon"/>
    <x v="3"/>
    <n v="17"/>
    <n v="3"/>
    <x v="0"/>
    <x v="0"/>
    <s v="WhatsApp"/>
    <m/>
    <x v="7"/>
    <x v="0"/>
  </r>
  <r>
    <s v="HC-04376"/>
    <s v="P-1237"/>
    <s v="Male"/>
    <n v="38"/>
    <x v="0"/>
    <s v="General Consultation"/>
    <d v="2025-10-19T00:00:00"/>
    <d v="2025-11-15T00:00:00"/>
    <s v="Saturday"/>
    <s v="Morning"/>
    <x v="3"/>
    <n v="27"/>
    <n v="3"/>
    <x v="0"/>
    <x v="1"/>
    <s v="None"/>
    <n v="3.1"/>
    <x v="15"/>
    <x v="1"/>
  </r>
  <r>
    <s v="HC-04377"/>
    <s v="P-1525"/>
    <s v="Male"/>
    <n v="37"/>
    <x v="0"/>
    <s v="Specialist Consultation"/>
    <d v="2025-05-28T00:00:00"/>
    <d v="2025-06-22T00:00:00"/>
    <s v="Sunday"/>
    <s v="Afternoon"/>
    <x v="3"/>
    <n v="25"/>
    <n v="3"/>
    <x v="1"/>
    <x v="0"/>
    <s v="WhatsApp"/>
    <n v="6.8"/>
    <x v="7"/>
    <x v="0"/>
  </r>
  <r>
    <s v="HC-04378"/>
    <s v="P-0899"/>
    <s v="Female"/>
    <n v="28"/>
    <x v="1"/>
    <s v="General Consultation"/>
    <d v="2025-04-02T00:00:00"/>
    <d v="2025-05-24T00:00:00"/>
    <s v="Saturday"/>
    <s v="Morning"/>
    <x v="2"/>
    <n v="52"/>
    <n v="2"/>
    <x v="1"/>
    <x v="1"/>
    <s v="None"/>
    <n v="6.9"/>
    <x v="26"/>
    <x v="0"/>
  </r>
  <r>
    <s v="HC-04379"/>
    <s v="P-0867"/>
    <s v="Male"/>
    <n v="53"/>
    <x v="2"/>
    <s v="General Consultation"/>
    <d v="2025-02-13T00:00:00"/>
    <d v="2025-04-01T00:00:00"/>
    <s v="Tuesday"/>
    <s v="Morning"/>
    <x v="2"/>
    <n v="47"/>
    <n v="1"/>
    <x v="0"/>
    <x v="1"/>
    <s v="None"/>
    <n v="14.5"/>
    <x v="4"/>
    <x v="1"/>
  </r>
  <r>
    <s v="HC-04380"/>
    <s v="P-0002"/>
    <s v="Male"/>
    <n v="59"/>
    <x v="3"/>
    <s v="Follow-up"/>
    <d v="2026-04-09T00:00:00"/>
    <d v="2026-05-23T00:00:00"/>
    <s v="Saturday"/>
    <s v="Afternoon"/>
    <x v="2"/>
    <n v="44"/>
    <n v="2"/>
    <x v="0"/>
    <x v="0"/>
    <s v="SMS"/>
    <n v="6.4"/>
    <x v="23"/>
    <x v="0"/>
  </r>
  <r>
    <s v="HC-04381"/>
    <s v="P-1109"/>
    <s v="Male"/>
    <n v="40"/>
    <x v="0"/>
    <s v="Follow-up"/>
    <d v="2026-05-29T00:00:00"/>
    <d v="2026-05-29T00:00:00"/>
    <s v="Friday"/>
    <s v="Morning"/>
    <x v="1"/>
    <n v="0"/>
    <n v="2"/>
    <x v="1"/>
    <x v="1"/>
    <s v="None"/>
    <n v="3.8"/>
    <x v="26"/>
    <x v="1"/>
  </r>
  <r>
    <s v="HC-04382"/>
    <s v="P-1440"/>
    <s v="Female"/>
    <n v="51"/>
    <x v="2"/>
    <s v="Specialist Consultation"/>
    <d v="2025-02-04T00:00:00"/>
    <d v="2025-03-04T00:00:00"/>
    <s v="Tuesday"/>
    <s v="Morning"/>
    <x v="3"/>
    <n v="28"/>
    <n v="3"/>
    <x v="1"/>
    <x v="1"/>
    <s v="None"/>
    <n v="13.9"/>
    <x v="25"/>
    <x v="0"/>
  </r>
  <r>
    <s v="HC-04383"/>
    <s v="P-1159"/>
    <s v="Male"/>
    <n v="47"/>
    <x v="2"/>
    <s v="Follow-up"/>
    <d v="2025-05-29T00:00:00"/>
    <d v="2025-07-12T00:00:00"/>
    <s v="Saturday"/>
    <s v="Afternoon"/>
    <x v="2"/>
    <n v="44"/>
    <n v="4"/>
    <x v="0"/>
    <x v="0"/>
    <s v="WhatsApp"/>
    <n v="4.7"/>
    <x v="6"/>
    <x v="0"/>
  </r>
  <r>
    <s v="HC-04384"/>
    <s v="P-0673"/>
    <s v="Male"/>
    <n v="35"/>
    <x v="0"/>
    <s v="Diagnostic Test"/>
    <d v="2025-10-21T00:00:00"/>
    <d v="2025-11-04T00:00:00"/>
    <s v="Tuesday"/>
    <s v="Morning"/>
    <x v="0"/>
    <n v="14"/>
    <n v="3"/>
    <x v="1"/>
    <x v="0"/>
    <s v="Email"/>
    <n v="2.2999999999999998"/>
    <x v="0"/>
    <x v="1"/>
  </r>
  <r>
    <s v="HC-04385"/>
    <s v="P-1184"/>
    <s v="Female"/>
    <n v="61"/>
    <x v="3"/>
    <s v="General Consultation"/>
    <d v="2025-07-04T00:00:00"/>
    <d v="2025-07-29T00:00:00"/>
    <s v="Tuesday"/>
    <s v="Afternoon"/>
    <x v="3"/>
    <n v="25"/>
    <n v="5"/>
    <x v="2"/>
    <x v="0"/>
    <s v="Email"/>
    <n v="6.7"/>
    <x v="35"/>
    <x v="1"/>
  </r>
  <r>
    <s v="HC-04386"/>
    <s v="P-0458"/>
    <s v="Female"/>
    <n v="52"/>
    <x v="2"/>
    <s v="General Consultation"/>
    <d v="2025-12-16T00:00:00"/>
    <d v="2026-01-29T00:00:00"/>
    <s v="Thursday"/>
    <s v="Morning"/>
    <x v="2"/>
    <n v="44"/>
    <n v="2"/>
    <x v="0"/>
    <x v="0"/>
    <s v="SMS"/>
    <n v="2.6"/>
    <x v="18"/>
    <x v="1"/>
  </r>
  <r>
    <s v="HC-04387"/>
    <s v="P-0096"/>
    <s v="Male"/>
    <n v="22"/>
    <x v="5"/>
    <s v="Diagnostic Test"/>
    <d v="2025-04-05T00:00:00"/>
    <d v="2025-05-23T00:00:00"/>
    <s v="Friday"/>
    <s v="Afternoon"/>
    <x v="2"/>
    <n v="48"/>
    <n v="0"/>
    <x v="0"/>
    <x v="0"/>
    <s v="Email"/>
    <n v="2"/>
    <x v="43"/>
    <x v="0"/>
  </r>
  <r>
    <s v="HC-04388"/>
    <s v="P-1338"/>
    <s v="Male"/>
    <n v="49"/>
    <x v="2"/>
    <s v="General Consultation"/>
    <d v="2024-12-12T00:00:00"/>
    <d v="2025-02-02T00:00:00"/>
    <s v="Sunday"/>
    <s v="Evening"/>
    <x v="2"/>
    <n v="52"/>
    <n v="4"/>
    <x v="0"/>
    <x v="0"/>
    <s v="SMS"/>
    <n v="1.1000000000000001"/>
    <x v="3"/>
    <x v="0"/>
  </r>
  <r>
    <s v="HC-04389"/>
    <s v="P-0921"/>
    <s v="Female"/>
    <n v="42"/>
    <x v="0"/>
    <s v="Specialist Consultation"/>
    <d v="2025-06-07T00:00:00"/>
    <d v="2025-07-03T00:00:00"/>
    <s v="Thursday"/>
    <s v="Morning"/>
    <x v="3"/>
    <n v="26"/>
    <n v="1"/>
    <x v="0"/>
    <x v="0"/>
    <s v="SMS"/>
    <n v="11.8"/>
    <x v="3"/>
    <x v="1"/>
  </r>
  <r>
    <s v="HC-04390"/>
    <s v="P-1421"/>
    <s v="Male"/>
    <n v="68"/>
    <x v="4"/>
    <s v="General Consultation"/>
    <d v="2025-10-30T00:00:00"/>
    <d v="2025-11-23T00:00:00"/>
    <s v="Sunday"/>
    <s v="Afternoon"/>
    <x v="3"/>
    <n v="24"/>
    <n v="2"/>
    <x v="0"/>
    <x v="0"/>
    <s v="SMS"/>
    <n v="9.1"/>
    <x v="2"/>
    <x v="0"/>
  </r>
  <r>
    <s v="HC-04391"/>
    <s v="P-1145"/>
    <s v="Female"/>
    <n v="37"/>
    <x v="0"/>
    <s v="Follow-up"/>
    <d v="2025-03-17T00:00:00"/>
    <d v="2025-04-09T00:00:00"/>
    <s v="Wednesday"/>
    <s v="Morning"/>
    <x v="3"/>
    <n v="23"/>
    <n v="3"/>
    <x v="1"/>
    <x v="0"/>
    <s v="SMS"/>
    <n v="29.6"/>
    <x v="18"/>
    <x v="1"/>
  </r>
  <r>
    <s v="HC-04392"/>
    <s v="P-1463"/>
    <s v="Male"/>
    <n v="78"/>
    <x v="4"/>
    <s v="General Consultation"/>
    <d v="2026-02-10T00:00:00"/>
    <d v="2026-03-22T00:00:00"/>
    <s v="Sunday"/>
    <s v="Morning"/>
    <x v="2"/>
    <n v="40"/>
    <n v="1"/>
    <x v="1"/>
    <x v="1"/>
    <s v="None"/>
    <n v="5.9"/>
    <x v="9"/>
    <x v="0"/>
  </r>
  <r>
    <s v="HC-04393"/>
    <s v="P-1357"/>
    <s v="Female"/>
    <n v="56"/>
    <x v="3"/>
    <s v="Follow-up"/>
    <d v="2024-12-13T00:00:00"/>
    <d v="2025-01-07T00:00:00"/>
    <s v="Tuesday"/>
    <s v="Morning"/>
    <x v="3"/>
    <n v="25"/>
    <n v="3"/>
    <x v="1"/>
    <x v="0"/>
    <s v="SMS"/>
    <n v="21.3"/>
    <x v="20"/>
    <x v="0"/>
  </r>
  <r>
    <s v="HC-04394"/>
    <s v="P-1385"/>
    <s v="Female"/>
    <n v="26"/>
    <x v="1"/>
    <s v="Specialist Consultation"/>
    <d v="2025-01-13T00:00:00"/>
    <d v="2025-02-06T00:00:00"/>
    <s v="Thursday"/>
    <s v="Morning"/>
    <x v="3"/>
    <n v="24"/>
    <n v="1"/>
    <x v="1"/>
    <x v="0"/>
    <s v="WhatsApp"/>
    <n v="12.3"/>
    <x v="27"/>
    <x v="1"/>
  </r>
  <r>
    <s v="HC-04395"/>
    <s v="P-1577"/>
    <s v="Male"/>
    <n v="43"/>
    <x v="0"/>
    <s v="General Consultation"/>
    <d v="2025-09-25T00:00:00"/>
    <d v="2025-10-05T00:00:00"/>
    <s v="Sunday"/>
    <s v="Morning"/>
    <x v="0"/>
    <n v="10"/>
    <n v="5"/>
    <x v="2"/>
    <x v="0"/>
    <s v="SMS"/>
    <n v="6.2"/>
    <x v="27"/>
    <x v="1"/>
  </r>
  <r>
    <s v="HC-04396"/>
    <s v="P-0334"/>
    <s v="Male"/>
    <n v="73"/>
    <x v="4"/>
    <s v="General Consultation"/>
    <d v="2025-09-08T00:00:00"/>
    <d v="2025-10-07T00:00:00"/>
    <s v="Tuesday"/>
    <s v="Afternoon"/>
    <x v="3"/>
    <n v="29"/>
    <n v="4"/>
    <x v="1"/>
    <x v="0"/>
    <s v="SMS"/>
    <n v="4.0999999999999996"/>
    <x v="7"/>
    <x v="1"/>
  </r>
  <r>
    <s v="HC-04397"/>
    <s v="P-0915"/>
    <s v="Female"/>
    <n v="34"/>
    <x v="1"/>
    <s v="General Consultation"/>
    <d v="2025-05-28T00:00:00"/>
    <d v="2025-06-11T00:00:00"/>
    <s v="Wednesday"/>
    <s v="Afternoon"/>
    <x v="0"/>
    <n v="14"/>
    <n v="1"/>
    <x v="1"/>
    <x v="0"/>
    <s v="Email"/>
    <n v="10.5"/>
    <x v="23"/>
    <x v="1"/>
  </r>
  <r>
    <s v="HC-04398"/>
    <s v="P-1399"/>
    <s v="Male"/>
    <n v="62"/>
    <x v="3"/>
    <s v="General Consultation"/>
    <d v="2025-04-20T00:00:00"/>
    <d v="2025-05-22T00:00:00"/>
    <s v="Thursday"/>
    <s v="Evening"/>
    <x v="2"/>
    <n v="32"/>
    <n v="4"/>
    <x v="2"/>
    <x v="0"/>
    <s v="WhatsApp"/>
    <n v="4.5"/>
    <x v="45"/>
    <x v="1"/>
  </r>
  <r>
    <s v="HC-04399"/>
    <s v="P-0834"/>
    <s v="Male"/>
    <n v="67"/>
    <x v="4"/>
    <s v="General Consultation"/>
    <d v="2024-12-16T00:00:00"/>
    <d v="2025-02-08T00:00:00"/>
    <s v="Saturday"/>
    <s v="Evening"/>
    <x v="2"/>
    <n v="54"/>
    <n v="6"/>
    <x v="0"/>
    <x v="0"/>
    <s v="SMS"/>
    <n v="10.4"/>
    <x v="25"/>
    <x v="1"/>
  </r>
  <r>
    <s v="HC-04400"/>
    <s v="P-0440"/>
    <s v="Male"/>
    <n v="61"/>
    <x v="3"/>
    <s v="Diagnostic Test"/>
    <d v="2025-11-11T00:00:00"/>
    <d v="2025-12-28T00:00:00"/>
    <s v="Sunday"/>
    <s v="Morning"/>
    <x v="2"/>
    <n v="47"/>
    <n v="4"/>
    <x v="2"/>
    <x v="0"/>
    <s v="Email"/>
    <n v="4.4000000000000004"/>
    <x v="21"/>
    <x v="1"/>
  </r>
  <r>
    <s v="HC-04401"/>
    <s v="P-1770"/>
    <s v="Female"/>
    <n v="23"/>
    <x v="5"/>
    <s v="General Consultation"/>
    <d v="2025-06-27T00:00:00"/>
    <d v="2025-07-26T00:00:00"/>
    <s v="Saturday"/>
    <s v="Morning"/>
    <x v="3"/>
    <n v="29"/>
    <n v="6"/>
    <x v="3"/>
    <x v="0"/>
    <s v="WhatsApp"/>
    <n v="3.5"/>
    <x v="46"/>
    <x v="0"/>
  </r>
  <r>
    <s v="HC-04402"/>
    <s v="P-0552"/>
    <s v="Female"/>
    <n v="41"/>
    <x v="0"/>
    <s v="Follow-up"/>
    <d v="2025-01-06T00:00:00"/>
    <d v="2025-03-06T00:00:00"/>
    <s v="Thursday"/>
    <s v="Morning"/>
    <x v="2"/>
    <n v="59"/>
    <n v="3"/>
    <x v="0"/>
    <x v="0"/>
    <s v="WhatsApp"/>
    <n v="1.9"/>
    <x v="52"/>
    <x v="0"/>
  </r>
  <r>
    <s v="HC-04403"/>
    <s v="P-0885"/>
    <s v="Male"/>
    <n v="39"/>
    <x v="0"/>
    <s v="Follow-up"/>
    <d v="2025-06-09T00:00:00"/>
    <d v="2025-08-07T00:00:00"/>
    <s v="Thursday"/>
    <s v="Afternoon"/>
    <x v="2"/>
    <n v="59"/>
    <n v="3"/>
    <x v="1"/>
    <x v="0"/>
    <s v="WhatsApp"/>
    <n v="9.9"/>
    <x v="6"/>
    <x v="0"/>
  </r>
  <r>
    <s v="HC-04404"/>
    <s v="P-0467"/>
    <s v="Male"/>
    <n v="39"/>
    <x v="0"/>
    <s v="General Consultation"/>
    <d v="2026-04-30T00:00:00"/>
    <d v="2026-05-27T00:00:00"/>
    <s v="Wednesday"/>
    <s v="Afternoon"/>
    <x v="3"/>
    <n v="27"/>
    <n v="1"/>
    <x v="0"/>
    <x v="0"/>
    <s v="SMS"/>
    <n v="8.5"/>
    <x v="15"/>
    <x v="2"/>
  </r>
  <r>
    <s v="HC-04405"/>
    <s v="P-0168"/>
    <s v="Female"/>
    <n v="73"/>
    <x v="4"/>
    <s v="General Consultation"/>
    <d v="2025-04-07T00:00:00"/>
    <d v="2025-05-23T00:00:00"/>
    <s v="Friday"/>
    <s v="Morning"/>
    <x v="2"/>
    <n v="46"/>
    <n v="5"/>
    <x v="1"/>
    <x v="0"/>
    <s v="WhatsApp"/>
    <n v="3.4"/>
    <x v="45"/>
    <x v="1"/>
  </r>
  <r>
    <s v="HC-04406"/>
    <s v="P-0394"/>
    <s v="Female"/>
    <n v="18"/>
    <x v="5"/>
    <s v="Specialist Consultation"/>
    <d v="2026-04-14T00:00:00"/>
    <d v="2026-05-04T00:00:00"/>
    <s v="Monday"/>
    <s v="Morning"/>
    <x v="3"/>
    <n v="20"/>
    <n v="3"/>
    <x v="1"/>
    <x v="1"/>
    <s v="None"/>
    <n v="7.9"/>
    <x v="36"/>
    <x v="0"/>
  </r>
  <r>
    <s v="HC-04407"/>
    <s v="P-0733"/>
    <s v="Female"/>
    <n v="51"/>
    <x v="2"/>
    <s v="Follow-up"/>
    <d v="2025-03-30T00:00:00"/>
    <d v="2025-05-22T00:00:00"/>
    <s v="Thursday"/>
    <s v="Morning"/>
    <x v="2"/>
    <n v="53"/>
    <n v="1"/>
    <x v="0"/>
    <x v="0"/>
    <s v="SMS"/>
    <n v="2.6"/>
    <x v="17"/>
    <x v="2"/>
  </r>
  <r>
    <s v="HC-04408"/>
    <s v="P-1041"/>
    <s v="Female"/>
    <n v="79"/>
    <x v="4"/>
    <s v="Specialist Consultation"/>
    <d v="2025-03-21T00:00:00"/>
    <d v="2025-04-12T00:00:00"/>
    <s v="Saturday"/>
    <s v="Evening"/>
    <x v="3"/>
    <n v="22"/>
    <n v="3"/>
    <x v="1"/>
    <x v="1"/>
    <s v="None"/>
    <n v="8.9"/>
    <x v="23"/>
    <x v="0"/>
  </r>
  <r>
    <s v="HC-04409"/>
    <s v="P-1688"/>
    <s v="Male"/>
    <n v="73"/>
    <x v="4"/>
    <s v="General Consultation"/>
    <d v="2025-05-08T00:00:00"/>
    <d v="2025-05-23T00:00:00"/>
    <s v="Friday"/>
    <s v="Afternoon"/>
    <x v="3"/>
    <n v="15"/>
    <n v="2"/>
    <x v="0"/>
    <x v="1"/>
    <s v="None"/>
    <n v="8.1"/>
    <x v="8"/>
    <x v="1"/>
  </r>
  <r>
    <s v="HC-04410"/>
    <s v="P-1112"/>
    <s v="Female"/>
    <n v="56"/>
    <x v="3"/>
    <s v="Follow-up"/>
    <d v="2025-06-18T00:00:00"/>
    <d v="2025-06-26T00:00:00"/>
    <s v="Thursday"/>
    <s v="Afternoon"/>
    <x v="0"/>
    <n v="8"/>
    <n v="7"/>
    <x v="0"/>
    <x v="0"/>
    <s v="SMS"/>
    <n v="13.5"/>
    <x v="2"/>
    <x v="1"/>
  </r>
  <r>
    <s v="HC-04411"/>
    <s v="P-0668"/>
    <s v="Male"/>
    <n v="80"/>
    <x v="4"/>
    <s v="Diagnostic Test"/>
    <d v="2025-01-15T00:00:00"/>
    <d v="2025-03-07T00:00:00"/>
    <s v="Friday"/>
    <s v="Afternoon"/>
    <x v="2"/>
    <n v="51"/>
    <n v="3"/>
    <x v="1"/>
    <x v="1"/>
    <s v="None"/>
    <n v="2.5"/>
    <x v="36"/>
    <x v="2"/>
  </r>
  <r>
    <s v="HC-04412"/>
    <s v="P-1346"/>
    <s v="Male"/>
    <n v="43"/>
    <x v="0"/>
    <s v="Specialist Consultation"/>
    <d v="2025-10-30T00:00:00"/>
    <d v="2025-11-17T00:00:00"/>
    <s v="Monday"/>
    <s v="Morning"/>
    <x v="3"/>
    <n v="18"/>
    <n v="1"/>
    <x v="1"/>
    <x v="0"/>
    <s v="SMS"/>
    <n v="1"/>
    <x v="42"/>
    <x v="0"/>
  </r>
  <r>
    <s v="HC-04413"/>
    <s v="P-1360"/>
    <s v="Female"/>
    <n v="56"/>
    <x v="3"/>
    <s v="Diagnostic Test"/>
    <d v="2025-05-14T00:00:00"/>
    <d v="2025-07-02T00:00:00"/>
    <s v="Wednesday"/>
    <s v="Morning"/>
    <x v="2"/>
    <n v="49"/>
    <n v="3"/>
    <x v="0"/>
    <x v="1"/>
    <s v="None"/>
    <n v="20.100000000000001"/>
    <x v="27"/>
    <x v="0"/>
  </r>
  <r>
    <s v="HC-04414"/>
    <s v="P-0357"/>
    <s v="Male"/>
    <n v="52"/>
    <x v="2"/>
    <s v="General Consultation"/>
    <d v="2026-01-23T00:00:00"/>
    <d v="2026-01-28T00:00:00"/>
    <s v="Wednesday"/>
    <s v="Afternoon"/>
    <x v="1"/>
    <n v="5"/>
    <n v="5"/>
    <x v="1"/>
    <x v="1"/>
    <s v="None"/>
    <m/>
    <x v="37"/>
    <x v="0"/>
  </r>
  <r>
    <s v="HC-04415"/>
    <s v="P-1445"/>
    <s v="Female"/>
    <n v="20"/>
    <x v="5"/>
    <s v="Diagnostic Test"/>
    <d v="2025-08-27T00:00:00"/>
    <d v="2025-09-26T00:00:00"/>
    <s v="Friday"/>
    <s v="Afternoon"/>
    <x v="3"/>
    <n v="30"/>
    <n v="2"/>
    <x v="0"/>
    <x v="0"/>
    <s v="SMS"/>
    <n v="5.2"/>
    <x v="17"/>
    <x v="1"/>
  </r>
  <r>
    <s v="HC-04416"/>
    <s v="P-0852"/>
    <s v="Female"/>
    <n v="20"/>
    <x v="5"/>
    <s v="Specialist Consultation"/>
    <d v="2025-08-04T00:00:00"/>
    <d v="2025-08-30T00:00:00"/>
    <s v="Saturday"/>
    <s v="Morning"/>
    <x v="3"/>
    <n v="26"/>
    <n v="2"/>
    <x v="0"/>
    <x v="0"/>
    <s v="SMS"/>
    <n v="19.100000000000001"/>
    <x v="7"/>
    <x v="0"/>
  </r>
  <r>
    <s v="HC-04417"/>
    <s v="P-1469"/>
    <s v="Female"/>
    <n v="74"/>
    <x v="4"/>
    <s v="Specialist Consultation"/>
    <d v="2025-08-20T00:00:00"/>
    <d v="2025-09-15T00:00:00"/>
    <s v="Monday"/>
    <s v="Morning"/>
    <x v="3"/>
    <n v="26"/>
    <n v="4"/>
    <x v="1"/>
    <x v="0"/>
    <s v="SMS"/>
    <n v="29.2"/>
    <x v="0"/>
    <x v="0"/>
  </r>
  <r>
    <s v="HC-04418"/>
    <s v="P-1073"/>
    <s v="Male"/>
    <n v="28"/>
    <x v="1"/>
    <s v="Follow-up"/>
    <d v="2025-03-17T00:00:00"/>
    <d v="2025-03-27T00:00:00"/>
    <s v="Thursday"/>
    <s v="Morning"/>
    <x v="0"/>
    <n v="10"/>
    <n v="1"/>
    <x v="0"/>
    <x v="0"/>
    <s v="WhatsApp"/>
    <n v="11.6"/>
    <x v="0"/>
    <x v="0"/>
  </r>
  <r>
    <s v="HC-04419"/>
    <s v="P-0098"/>
    <s v="Female"/>
    <n v="40"/>
    <x v="0"/>
    <s v="Diagnostic Test"/>
    <d v="2026-01-21T00:00:00"/>
    <d v="2026-01-25T00:00:00"/>
    <s v="Sunday"/>
    <s v="Morning"/>
    <x v="1"/>
    <n v="4"/>
    <n v="1"/>
    <x v="0"/>
    <x v="0"/>
    <s v="SMS"/>
    <n v="7.9"/>
    <x v="13"/>
    <x v="1"/>
  </r>
  <r>
    <s v="HC-04420"/>
    <s v="P-0660"/>
    <s v="Male"/>
    <n v="57"/>
    <x v="3"/>
    <s v="Follow-up"/>
    <d v="2025-02-05T00:00:00"/>
    <d v="2025-02-26T00:00:00"/>
    <s v="Wednesday"/>
    <s v="Morning"/>
    <x v="3"/>
    <n v="21"/>
    <n v="2"/>
    <x v="0"/>
    <x v="0"/>
    <s v="WhatsApp"/>
    <n v="3.1"/>
    <x v="7"/>
    <x v="0"/>
  </r>
  <r>
    <s v="HC-04421"/>
    <s v="P-0123"/>
    <s v="Female"/>
    <n v="54"/>
    <x v="2"/>
    <s v="Specialist Consultation"/>
    <d v="2026-01-01T00:00:00"/>
    <d v="2026-01-29T00:00:00"/>
    <s v="Thursday"/>
    <s v="Morning"/>
    <x v="3"/>
    <n v="28"/>
    <n v="2"/>
    <x v="1"/>
    <x v="0"/>
    <s v="SMS"/>
    <n v="6.5"/>
    <x v="13"/>
    <x v="0"/>
  </r>
  <r>
    <s v="HC-04422"/>
    <s v="P-0400"/>
    <s v="Female"/>
    <n v="50"/>
    <x v="2"/>
    <s v="Follow-up"/>
    <d v="2026-05-13T00:00:00"/>
    <d v="2026-06-30T00:00:00"/>
    <s v="Tuesday"/>
    <s v="Afternoon"/>
    <x v="2"/>
    <n v="48"/>
    <n v="4"/>
    <x v="0"/>
    <x v="0"/>
    <s v="Email"/>
    <n v="3.1"/>
    <x v="27"/>
    <x v="0"/>
  </r>
  <r>
    <s v="HC-04423"/>
    <s v="P-0145"/>
    <s v="Male"/>
    <n v="79"/>
    <x v="4"/>
    <s v="Specialist Consultation"/>
    <d v="2026-01-25T00:00:00"/>
    <d v="2026-02-22T00:00:00"/>
    <s v="Sunday"/>
    <s v="Afternoon"/>
    <x v="3"/>
    <n v="28"/>
    <n v="2"/>
    <x v="1"/>
    <x v="1"/>
    <s v="None"/>
    <n v="11.5"/>
    <x v="13"/>
    <x v="1"/>
  </r>
  <r>
    <s v="HC-04424"/>
    <s v="P-0141"/>
    <s v="Male"/>
    <n v="67"/>
    <x v="4"/>
    <s v="Specialist Consultation"/>
    <d v="2025-08-22T00:00:00"/>
    <d v="2025-09-06T00:00:00"/>
    <s v="Saturday"/>
    <s v="Afternoon"/>
    <x v="3"/>
    <n v="15"/>
    <n v="4"/>
    <x v="0"/>
    <x v="0"/>
    <s v="WhatsApp"/>
    <n v="34.700000000000003"/>
    <x v="20"/>
    <x v="0"/>
  </r>
  <r>
    <s v="HC-04425"/>
    <s v="P-0707"/>
    <s v="Male"/>
    <n v="77"/>
    <x v="4"/>
    <s v="General Consultation"/>
    <d v="2025-06-05T00:00:00"/>
    <d v="2025-06-21T00:00:00"/>
    <s v="Saturday"/>
    <s v="Afternoon"/>
    <x v="3"/>
    <n v="16"/>
    <n v="3"/>
    <x v="0"/>
    <x v="0"/>
    <s v="Email"/>
    <n v="12.3"/>
    <x v="3"/>
    <x v="0"/>
  </r>
  <r>
    <s v="HC-04426"/>
    <s v="P-0501"/>
    <s v="Female"/>
    <n v="59"/>
    <x v="3"/>
    <s v="General Consultation"/>
    <d v="2026-03-16T00:00:00"/>
    <d v="2026-04-22T00:00:00"/>
    <s v="Wednesday"/>
    <s v="Evening"/>
    <x v="2"/>
    <n v="37"/>
    <n v="1"/>
    <x v="0"/>
    <x v="1"/>
    <s v="None"/>
    <n v="19.2"/>
    <x v="27"/>
    <x v="1"/>
  </r>
  <r>
    <s v="HC-04427"/>
    <s v="P-1146"/>
    <s v="Female"/>
    <n v="79"/>
    <x v="4"/>
    <s v="General Consultation"/>
    <d v="2025-04-25T00:00:00"/>
    <d v="2025-05-21T00:00:00"/>
    <s v="Wednesday"/>
    <s v="Evening"/>
    <x v="3"/>
    <n v="26"/>
    <n v="4"/>
    <x v="1"/>
    <x v="1"/>
    <s v="None"/>
    <n v="7.7"/>
    <x v="47"/>
    <x v="0"/>
  </r>
  <r>
    <s v="HC-04428"/>
    <s v="P-0940"/>
    <s v="Female"/>
    <n v="55"/>
    <x v="3"/>
    <s v="Specialist Consultation"/>
    <d v="2025-07-29T00:00:00"/>
    <d v="2025-09-21T00:00:00"/>
    <s v="Sunday"/>
    <s v="Morning"/>
    <x v="2"/>
    <n v="54"/>
    <n v="7"/>
    <x v="3"/>
    <x v="0"/>
    <s v="Email"/>
    <n v="11.2"/>
    <x v="46"/>
    <x v="0"/>
  </r>
  <r>
    <s v="HC-04429"/>
    <s v="P-1617"/>
    <s v="Male"/>
    <n v="52"/>
    <x v="2"/>
    <s v="Specialist Consultation"/>
    <d v="2026-01-30T00:00:00"/>
    <d v="2026-02-25T00:00:00"/>
    <s v="Wednesday"/>
    <s v="Morning"/>
    <x v="3"/>
    <n v="26"/>
    <n v="7"/>
    <x v="1"/>
    <x v="0"/>
    <s v="SMS"/>
    <n v="7"/>
    <x v="5"/>
    <x v="1"/>
  </r>
  <r>
    <s v="HC-04430"/>
    <s v="P-0304"/>
    <s v="Male"/>
    <n v="69"/>
    <x v="4"/>
    <s v="Specialist Consultation"/>
    <d v="2026-04-15T00:00:00"/>
    <d v="2026-05-19T00:00:00"/>
    <s v="Tuesday"/>
    <s v="Morning"/>
    <x v="2"/>
    <n v="34"/>
    <n v="1"/>
    <x v="0"/>
    <x v="0"/>
    <s v="WhatsApp"/>
    <n v="2.4"/>
    <x v="28"/>
    <x v="0"/>
  </r>
  <r>
    <s v="HC-04431"/>
    <s v="P-0481"/>
    <s v="Female"/>
    <n v="72"/>
    <x v="4"/>
    <s v="Specialist Consultation"/>
    <d v="2026-05-15T00:00:00"/>
    <d v="2026-05-18T00:00:00"/>
    <s v="Monday"/>
    <s v="Evening"/>
    <x v="1"/>
    <n v="3"/>
    <n v="3"/>
    <x v="1"/>
    <x v="0"/>
    <s v="SMS"/>
    <n v="1.4"/>
    <x v="0"/>
    <x v="0"/>
  </r>
  <r>
    <s v="HC-04432"/>
    <s v="P-1577"/>
    <s v="Male"/>
    <n v="22"/>
    <x v="5"/>
    <s v="Follow-up"/>
    <d v="2025-02-06T00:00:00"/>
    <d v="2025-02-17T00:00:00"/>
    <s v="Monday"/>
    <s v="Morning"/>
    <x v="0"/>
    <n v="11"/>
    <n v="1"/>
    <x v="0"/>
    <x v="0"/>
    <s v="Email"/>
    <n v="32.700000000000003"/>
    <x v="19"/>
    <x v="0"/>
  </r>
  <r>
    <s v="HC-04433"/>
    <s v="P-1672"/>
    <s v="Male"/>
    <n v="75"/>
    <x v="4"/>
    <s v="General Consultation"/>
    <d v="2026-03-16T00:00:00"/>
    <d v="2026-05-06T00:00:00"/>
    <s v="Wednesday"/>
    <s v="Morning"/>
    <x v="2"/>
    <n v="51"/>
    <n v="6"/>
    <x v="1"/>
    <x v="1"/>
    <s v="None"/>
    <n v="5.6"/>
    <x v="3"/>
    <x v="0"/>
  </r>
  <r>
    <s v="HC-04434"/>
    <s v="P-1273"/>
    <s v="Female"/>
    <n v="61"/>
    <x v="3"/>
    <s v="Follow-up"/>
    <d v="2025-02-11T00:00:00"/>
    <d v="2025-03-04T00:00:00"/>
    <s v="Tuesday"/>
    <s v="Afternoon"/>
    <x v="3"/>
    <n v="21"/>
    <n v="7"/>
    <x v="0"/>
    <x v="0"/>
    <s v="SMS"/>
    <n v="7.8"/>
    <x v="26"/>
    <x v="1"/>
  </r>
  <r>
    <s v="HC-04435"/>
    <s v="P-1768"/>
    <s v="Female"/>
    <n v="74"/>
    <x v="4"/>
    <s v="Diagnostic Test"/>
    <d v="2025-10-22T00:00:00"/>
    <d v="2025-11-16T00:00:00"/>
    <s v="Sunday"/>
    <s v="Afternoon"/>
    <x v="3"/>
    <n v="25"/>
    <n v="4"/>
    <x v="1"/>
    <x v="0"/>
    <s v="SMS"/>
    <n v="1.4"/>
    <x v="38"/>
    <x v="1"/>
  </r>
  <r>
    <s v="HC-04436"/>
    <s v="P-0184"/>
    <s v="Male"/>
    <n v="63"/>
    <x v="3"/>
    <s v="Follow-up"/>
    <d v="2026-04-17T00:00:00"/>
    <d v="2026-05-23T00:00:00"/>
    <s v="Saturday"/>
    <s v="Afternoon"/>
    <x v="2"/>
    <n v="36"/>
    <n v="3"/>
    <x v="1"/>
    <x v="0"/>
    <s v="SMS"/>
    <n v="7"/>
    <x v="11"/>
    <x v="0"/>
  </r>
  <r>
    <s v="HC-04437"/>
    <s v="P-1739"/>
    <s v="Female"/>
    <n v="76"/>
    <x v="4"/>
    <s v="Diagnostic Test"/>
    <d v="2025-12-21T00:00:00"/>
    <d v="2025-12-24T00:00:00"/>
    <s v="Wednesday"/>
    <s v="Afternoon"/>
    <x v="1"/>
    <n v="3"/>
    <n v="5"/>
    <x v="0"/>
    <x v="0"/>
    <s v="SMS"/>
    <n v="14"/>
    <x v="16"/>
    <x v="1"/>
  </r>
  <r>
    <s v="HC-04438"/>
    <s v="P-0365"/>
    <s v="Female"/>
    <n v="35"/>
    <x v="0"/>
    <s v="Diagnostic Test"/>
    <d v="2026-05-03T00:00:00"/>
    <d v="2026-06-02T00:00:00"/>
    <s v="Tuesday"/>
    <s v="Afternoon"/>
    <x v="3"/>
    <n v="30"/>
    <n v="2"/>
    <x v="0"/>
    <x v="0"/>
    <s v="Email"/>
    <n v="13.2"/>
    <x v="17"/>
    <x v="0"/>
  </r>
  <r>
    <s v="HC-04439"/>
    <s v="P-1659"/>
    <s v="Female"/>
    <n v="29"/>
    <x v="1"/>
    <s v="General Consultation"/>
    <d v="2025-06-17T00:00:00"/>
    <d v="2025-07-08T00:00:00"/>
    <s v="Tuesday"/>
    <s v="Afternoon"/>
    <x v="3"/>
    <n v="21"/>
    <n v="3"/>
    <x v="1"/>
    <x v="1"/>
    <s v="None"/>
    <n v="9"/>
    <x v="13"/>
    <x v="0"/>
  </r>
  <r>
    <s v="HC-04440"/>
    <s v="P-0093"/>
    <s v="Male"/>
    <n v="30"/>
    <x v="1"/>
    <s v="Specialist Consultation"/>
    <d v="2025-06-12T00:00:00"/>
    <d v="2025-06-21T00:00:00"/>
    <s v="Saturday"/>
    <s v="Morning"/>
    <x v="0"/>
    <n v="9"/>
    <n v="1"/>
    <x v="0"/>
    <x v="1"/>
    <s v="None"/>
    <n v="14.6"/>
    <x v="13"/>
    <x v="0"/>
  </r>
  <r>
    <s v="HC-04441"/>
    <s v="P-1643"/>
    <s v="Male"/>
    <n v="33"/>
    <x v="1"/>
    <s v="Follow-up"/>
    <d v="2025-06-03T00:00:00"/>
    <d v="2025-06-28T00:00:00"/>
    <s v="Saturday"/>
    <s v="Afternoon"/>
    <x v="3"/>
    <n v="25"/>
    <n v="2"/>
    <x v="0"/>
    <x v="0"/>
    <s v="SMS"/>
    <n v="5.8"/>
    <x v="22"/>
    <x v="1"/>
  </r>
  <r>
    <s v="HC-04442"/>
    <s v="P-1541"/>
    <s v="Male"/>
    <n v="31"/>
    <x v="1"/>
    <s v="Follow-up"/>
    <d v="2025-06-16T00:00:00"/>
    <d v="2025-07-13T00:00:00"/>
    <s v="Sunday"/>
    <s v="Afternoon"/>
    <x v="3"/>
    <n v="27"/>
    <n v="4"/>
    <x v="1"/>
    <x v="1"/>
    <s v="None"/>
    <n v="19.600000000000001"/>
    <x v="10"/>
    <x v="0"/>
  </r>
  <r>
    <s v="HC-04443"/>
    <s v="P-0744"/>
    <s v="Female"/>
    <n v="45"/>
    <x v="2"/>
    <s v="General Consultation"/>
    <d v="2025-12-28T00:00:00"/>
    <d v="2026-01-08T00:00:00"/>
    <s v="Thursday"/>
    <s v="Morning"/>
    <x v="0"/>
    <n v="11"/>
    <n v="1"/>
    <x v="0"/>
    <x v="0"/>
    <s v="SMS"/>
    <n v="41.3"/>
    <x v="4"/>
    <x v="0"/>
  </r>
  <r>
    <s v="HC-04444"/>
    <s v="P-0417"/>
    <s v="Male"/>
    <n v="30"/>
    <x v="1"/>
    <s v="General Consultation"/>
    <d v="2025-08-03T00:00:00"/>
    <d v="2025-09-05T00:00:00"/>
    <s v="Friday"/>
    <s v="Evening"/>
    <x v="2"/>
    <n v="33"/>
    <n v="3"/>
    <x v="1"/>
    <x v="0"/>
    <s v="Email"/>
    <n v="17.600000000000001"/>
    <x v="35"/>
    <x v="0"/>
  </r>
  <r>
    <s v="HC-04445"/>
    <s v="P-0168"/>
    <s v="Female"/>
    <n v="27"/>
    <x v="1"/>
    <s v="General Consultation"/>
    <d v="2025-12-24T00:00:00"/>
    <d v="2026-02-07T00:00:00"/>
    <s v="Saturday"/>
    <s v="Evening"/>
    <x v="2"/>
    <n v="45"/>
    <n v="3"/>
    <x v="0"/>
    <x v="1"/>
    <s v="None"/>
    <n v="7.9"/>
    <x v="11"/>
    <x v="0"/>
  </r>
  <r>
    <s v="HC-04446"/>
    <s v="P-1742"/>
    <s v="Male"/>
    <n v="50"/>
    <x v="2"/>
    <s v="Follow-up"/>
    <d v="2025-07-31T00:00:00"/>
    <d v="2025-08-16T00:00:00"/>
    <s v="Saturday"/>
    <s v="Afternoon"/>
    <x v="3"/>
    <n v="16"/>
    <n v="3"/>
    <x v="0"/>
    <x v="1"/>
    <s v="None"/>
    <n v="4.8"/>
    <x v="45"/>
    <x v="1"/>
  </r>
  <r>
    <s v="HC-04447"/>
    <s v="P-1673"/>
    <s v="Prefer not to say"/>
    <n v="67"/>
    <x v="4"/>
    <s v="General Consultation"/>
    <d v="2025-04-21T00:00:00"/>
    <d v="2025-06-18T00:00:00"/>
    <s v="Wednesday"/>
    <s v="Evening"/>
    <x v="2"/>
    <n v="58"/>
    <n v="4"/>
    <x v="0"/>
    <x v="0"/>
    <s v="SMS"/>
    <n v="3.2"/>
    <x v="3"/>
    <x v="0"/>
  </r>
  <r>
    <s v="HC-04448"/>
    <s v="P-1758"/>
    <s v="Male"/>
    <n v="26"/>
    <x v="1"/>
    <s v="Follow-up"/>
    <d v="2025-03-08T00:00:00"/>
    <d v="2025-04-14T00:00:00"/>
    <s v="Monday"/>
    <s v="Morning"/>
    <x v="2"/>
    <n v="37"/>
    <n v="2"/>
    <x v="0"/>
    <x v="0"/>
    <s v="SMS"/>
    <n v="8.6999999999999993"/>
    <x v="42"/>
    <x v="0"/>
  </r>
  <r>
    <s v="HC-04449"/>
    <s v="P-1481"/>
    <s v="Female"/>
    <n v="50"/>
    <x v="2"/>
    <s v="Follow-up"/>
    <d v="2025-09-11T00:00:00"/>
    <d v="2025-10-28T00:00:00"/>
    <s v="Tuesday"/>
    <s v="Morning"/>
    <x v="2"/>
    <n v="47"/>
    <n v="3"/>
    <x v="1"/>
    <x v="0"/>
    <s v="SMS"/>
    <n v="3.2"/>
    <x v="6"/>
    <x v="1"/>
  </r>
  <r>
    <s v="HC-04450"/>
    <s v="P-0440"/>
    <s v="Male"/>
    <n v="59"/>
    <x v="3"/>
    <s v="Follow-up"/>
    <d v="2026-05-02T00:00:00"/>
    <d v="2026-05-06T00:00:00"/>
    <s v="Wednesday"/>
    <s v="Morning"/>
    <x v="1"/>
    <n v="4"/>
    <n v="3"/>
    <x v="0"/>
    <x v="0"/>
    <s v="SMS"/>
    <n v="10.4"/>
    <x v="27"/>
    <x v="0"/>
  </r>
  <r>
    <s v="HC-04451"/>
    <s v="P-1394"/>
    <s v="Female"/>
    <n v="62"/>
    <x v="3"/>
    <s v="Specialist Consultation"/>
    <d v="2026-02-27T00:00:00"/>
    <d v="2026-04-14T00:00:00"/>
    <s v="Tuesday"/>
    <s v="Evening"/>
    <x v="2"/>
    <n v="46"/>
    <n v="2"/>
    <x v="0"/>
    <x v="0"/>
    <s v="WhatsApp"/>
    <n v="8.1"/>
    <x v="19"/>
    <x v="0"/>
  </r>
  <r>
    <s v="HC-04452"/>
    <s v="P-1666"/>
    <s v="Female"/>
    <n v="24"/>
    <x v="5"/>
    <s v="Follow-up"/>
    <d v="2025-04-29T00:00:00"/>
    <d v="2025-05-19T00:00:00"/>
    <s v="Monday"/>
    <s v="Afternoon"/>
    <x v="3"/>
    <n v="20"/>
    <n v="8"/>
    <x v="3"/>
    <x v="0"/>
    <s v="WhatsApp"/>
    <n v="4.7"/>
    <x v="8"/>
    <x v="0"/>
  </r>
  <r>
    <s v="HC-04453"/>
    <s v="P-1399"/>
    <s v="Male"/>
    <n v="64"/>
    <x v="3"/>
    <s v="General Consultation"/>
    <d v="2025-08-06T00:00:00"/>
    <d v="2025-09-18T00:00:00"/>
    <s v="Thursday"/>
    <s v="Evening"/>
    <x v="2"/>
    <n v="43"/>
    <n v="2"/>
    <x v="0"/>
    <x v="1"/>
    <s v="None"/>
    <n v="9.4"/>
    <x v="10"/>
    <x v="1"/>
  </r>
  <r>
    <s v="HC-04454"/>
    <s v="P-0636"/>
    <s v="Female"/>
    <n v="19"/>
    <x v="5"/>
    <s v="Diagnostic Test"/>
    <d v="2025-12-03T00:00:00"/>
    <d v="2026-01-21T00:00:00"/>
    <s v="Wednesday"/>
    <s v="Afternoon"/>
    <x v="2"/>
    <n v="49"/>
    <n v="2"/>
    <x v="1"/>
    <x v="0"/>
    <s v="WhatsApp"/>
    <n v="10.1"/>
    <x v="49"/>
    <x v="0"/>
  </r>
  <r>
    <s v="HC-04455"/>
    <s v="P-1009"/>
    <s v="Female"/>
    <n v="32"/>
    <x v="1"/>
    <s v="Specialist Consultation"/>
    <d v="2025-11-16T00:00:00"/>
    <d v="2025-12-01T00:00:00"/>
    <s v="Monday"/>
    <s v="Afternoon"/>
    <x v="3"/>
    <n v="15"/>
    <n v="4"/>
    <x v="2"/>
    <x v="0"/>
    <s v="Email"/>
    <n v="12.3"/>
    <x v="19"/>
    <x v="1"/>
  </r>
  <r>
    <s v="HC-04456"/>
    <s v="P-0599"/>
    <s v="Male"/>
    <n v="38"/>
    <x v="0"/>
    <s v="Follow-up"/>
    <d v="2025-01-22T00:00:00"/>
    <d v="2025-02-06T00:00:00"/>
    <s v="Thursday"/>
    <s v="Morning"/>
    <x v="3"/>
    <n v="15"/>
    <n v="2"/>
    <x v="1"/>
    <x v="0"/>
    <s v="WhatsApp"/>
    <n v="8.4"/>
    <x v="12"/>
    <x v="0"/>
  </r>
  <r>
    <s v="HC-04457"/>
    <s v="P-1206"/>
    <s v="Male"/>
    <n v="71"/>
    <x v="4"/>
    <s v="Specialist Consultation"/>
    <d v="2025-11-16T00:00:00"/>
    <d v="2025-11-19T00:00:00"/>
    <s v="Wednesday"/>
    <s v="Morning"/>
    <x v="1"/>
    <n v="3"/>
    <n v="3"/>
    <x v="0"/>
    <x v="1"/>
    <s v="None"/>
    <n v="11.6"/>
    <x v="7"/>
    <x v="1"/>
  </r>
  <r>
    <s v="HC-04458"/>
    <s v="P-1637"/>
    <s v="Male"/>
    <n v="30"/>
    <x v="1"/>
    <s v="General Consultation"/>
    <d v="2024-12-17T00:00:00"/>
    <d v="2025-01-22T00:00:00"/>
    <s v="Wednesday"/>
    <s v="Afternoon"/>
    <x v="2"/>
    <n v="36"/>
    <n v="3"/>
    <x v="0"/>
    <x v="1"/>
    <s v="None"/>
    <n v="18.600000000000001"/>
    <x v="11"/>
    <x v="1"/>
  </r>
  <r>
    <s v="HC-04459"/>
    <s v="P-0090"/>
    <s v="Female"/>
    <n v="67"/>
    <x v="4"/>
    <s v="Specialist Consultation"/>
    <d v="2025-01-17T00:00:00"/>
    <d v="2025-03-05T00:00:00"/>
    <s v="Wednesday"/>
    <s v="Afternoon"/>
    <x v="2"/>
    <n v="47"/>
    <n v="3"/>
    <x v="0"/>
    <x v="1"/>
    <s v="None"/>
    <n v="3.5"/>
    <x v="39"/>
    <x v="1"/>
  </r>
  <r>
    <s v="HC-04460"/>
    <s v="P-1070"/>
    <s v="Male"/>
    <n v="80"/>
    <x v="4"/>
    <s v="General Consultation"/>
    <d v="2025-11-28T00:00:00"/>
    <d v="2025-12-23T00:00:00"/>
    <s v="Tuesday"/>
    <s v="Morning"/>
    <x v="3"/>
    <n v="25"/>
    <n v="1"/>
    <x v="0"/>
    <x v="0"/>
    <s v="SMS"/>
    <n v="3.3"/>
    <x v="8"/>
    <x v="0"/>
  </r>
  <r>
    <s v="HC-04461"/>
    <s v="P-0576"/>
    <s v="Female"/>
    <n v="78"/>
    <x v="4"/>
    <s v="Follow-up"/>
    <d v="2025-02-16T00:00:00"/>
    <d v="2025-02-25T00:00:00"/>
    <s v="Tuesday"/>
    <s v="Evening"/>
    <x v="0"/>
    <n v="9"/>
    <n v="3"/>
    <x v="0"/>
    <x v="1"/>
    <s v="None"/>
    <n v="14.2"/>
    <x v="39"/>
    <x v="1"/>
  </r>
  <r>
    <s v="HC-04462"/>
    <s v="P-1233"/>
    <s v="Male"/>
    <n v="37"/>
    <x v="0"/>
    <s v="General Consultation"/>
    <d v="2025-06-16T00:00:00"/>
    <d v="2025-07-05T00:00:00"/>
    <s v="Saturday"/>
    <s v="Afternoon"/>
    <x v="3"/>
    <n v="19"/>
    <n v="6"/>
    <x v="0"/>
    <x v="1"/>
    <s v="None"/>
    <n v="5.6"/>
    <x v="10"/>
    <x v="1"/>
  </r>
  <r>
    <s v="HC-04463"/>
    <s v="P-0805"/>
    <s v="Female"/>
    <n v="24"/>
    <x v="5"/>
    <s v="Specialist Consultation"/>
    <d v="2025-10-25T00:00:00"/>
    <d v="2025-11-18T00:00:00"/>
    <s v="Tuesday"/>
    <s v="Morning"/>
    <x v="3"/>
    <n v="24"/>
    <n v="0"/>
    <x v="0"/>
    <x v="0"/>
    <s v="SMS"/>
    <n v="18.899999999999999"/>
    <x v="20"/>
    <x v="0"/>
  </r>
  <r>
    <s v="HC-04464"/>
    <s v="P-0748"/>
    <s v="Female"/>
    <n v="31"/>
    <x v="1"/>
    <s v="General Consultation"/>
    <d v="2025-10-30T00:00:00"/>
    <d v="2025-12-24T00:00:00"/>
    <s v="Wednesday"/>
    <s v="Evening"/>
    <x v="2"/>
    <n v="55"/>
    <n v="3"/>
    <x v="0"/>
    <x v="0"/>
    <s v="Email"/>
    <n v="16.100000000000001"/>
    <x v="15"/>
    <x v="0"/>
  </r>
  <r>
    <s v="HC-04465"/>
    <s v="P-0444"/>
    <s v="Male"/>
    <n v="66"/>
    <x v="4"/>
    <s v="General Consultation"/>
    <d v="2025-08-25T00:00:00"/>
    <d v="2025-09-01T00:00:00"/>
    <s v="Monday"/>
    <s v="Afternoon"/>
    <x v="1"/>
    <n v="7"/>
    <n v="1"/>
    <x v="0"/>
    <x v="0"/>
    <s v="Email"/>
    <n v="19.3"/>
    <x v="10"/>
    <x v="1"/>
  </r>
  <r>
    <s v="HC-04466"/>
    <s v="P-0941"/>
    <s v="Female"/>
    <n v="30"/>
    <x v="1"/>
    <s v="General Consultation"/>
    <d v="2025-02-01T00:00:00"/>
    <d v="2025-02-21T00:00:00"/>
    <s v="Friday"/>
    <s v="Afternoon"/>
    <x v="3"/>
    <n v="20"/>
    <n v="2"/>
    <x v="0"/>
    <x v="0"/>
    <s v="SMS"/>
    <n v="2.2999999999999998"/>
    <x v="12"/>
    <x v="1"/>
  </r>
  <r>
    <s v="HC-04467"/>
    <s v="P-0910"/>
    <s v="Male"/>
    <n v="58"/>
    <x v="3"/>
    <s v="Specialist Consultation"/>
    <d v="2026-02-03T00:00:00"/>
    <d v="2026-03-13T00:00:00"/>
    <s v="Friday"/>
    <s v="Morning"/>
    <x v="2"/>
    <n v="38"/>
    <n v="3"/>
    <x v="1"/>
    <x v="1"/>
    <s v="None"/>
    <n v="8.1999999999999993"/>
    <x v="1"/>
    <x v="0"/>
  </r>
  <r>
    <s v="HC-04468"/>
    <s v="P-1394"/>
    <s v="Female"/>
    <n v="41"/>
    <x v="0"/>
    <s v="General Consultation"/>
    <d v="2026-05-20T00:00:00"/>
    <d v="2026-06-03T00:00:00"/>
    <s v="Wednesday"/>
    <s v="Morning"/>
    <x v="0"/>
    <n v="14"/>
    <n v="2"/>
    <x v="1"/>
    <x v="1"/>
    <s v="None"/>
    <n v="11.7"/>
    <x v="35"/>
    <x v="1"/>
  </r>
  <r>
    <s v="HC-04469"/>
    <s v="P-0515"/>
    <s v="Female"/>
    <n v="66"/>
    <x v="4"/>
    <s v="Follow-up"/>
    <d v="2026-03-09T00:00:00"/>
    <d v="2026-05-01T00:00:00"/>
    <s v="Friday"/>
    <s v="Morning"/>
    <x v="2"/>
    <n v="53"/>
    <n v="4"/>
    <x v="1"/>
    <x v="0"/>
    <s v="SMS"/>
    <n v="3.9"/>
    <x v="20"/>
    <x v="0"/>
  </r>
  <r>
    <s v="HC-04470"/>
    <s v="P-0307"/>
    <s v="Female"/>
    <n v="56"/>
    <x v="3"/>
    <s v="General Consultation"/>
    <d v="2025-12-20T00:00:00"/>
    <d v="2026-02-13T00:00:00"/>
    <s v="Friday"/>
    <s v="Afternoon"/>
    <x v="2"/>
    <n v="55"/>
    <n v="1"/>
    <x v="1"/>
    <x v="0"/>
    <s v="WhatsApp"/>
    <n v="7.9"/>
    <x v="51"/>
    <x v="1"/>
  </r>
  <r>
    <s v="HC-04471"/>
    <s v="P-0355"/>
    <s v="Female"/>
    <n v="54"/>
    <x v="2"/>
    <s v="Specialist Consultation"/>
    <d v="2025-07-16T00:00:00"/>
    <d v="2025-08-08T00:00:00"/>
    <s v="Friday"/>
    <s v="Afternoon"/>
    <x v="3"/>
    <n v="23"/>
    <n v="5"/>
    <x v="0"/>
    <x v="0"/>
    <s v="SMS"/>
    <n v="10.8"/>
    <x v="25"/>
    <x v="1"/>
  </r>
  <r>
    <s v="HC-04472"/>
    <s v="P-1778"/>
    <s v="Female"/>
    <n v="67"/>
    <x v="4"/>
    <s v="General Consultation"/>
    <d v="2026-03-10T00:00:00"/>
    <d v="2026-04-24T00:00:00"/>
    <s v="Friday"/>
    <s v="Evening"/>
    <x v="2"/>
    <n v="45"/>
    <n v="2"/>
    <x v="1"/>
    <x v="1"/>
    <s v="None"/>
    <n v="5"/>
    <x v="23"/>
    <x v="0"/>
  </r>
  <r>
    <s v="HC-04473"/>
    <s v="P-1024"/>
    <s v="Female"/>
    <n v="78"/>
    <x v="4"/>
    <s v="Diagnostic Test"/>
    <d v="2025-08-09T00:00:00"/>
    <d v="2025-09-24T00:00:00"/>
    <s v="Wednesday"/>
    <s v="Evening"/>
    <x v="2"/>
    <n v="46"/>
    <n v="4"/>
    <x v="0"/>
    <x v="0"/>
    <s v="SMS"/>
    <n v="3.9"/>
    <x v="16"/>
    <x v="1"/>
  </r>
  <r>
    <s v="HC-04474"/>
    <s v="P-1441"/>
    <s v="Female"/>
    <n v="40"/>
    <x v="0"/>
    <s v="General Consultation"/>
    <d v="2025-02-03T00:00:00"/>
    <d v="2025-03-16T00:00:00"/>
    <s v="Sunday"/>
    <s v="Morning"/>
    <x v="2"/>
    <n v="41"/>
    <n v="3"/>
    <x v="0"/>
    <x v="0"/>
    <s v="WhatsApp"/>
    <n v="6.7"/>
    <x v="13"/>
    <x v="1"/>
  </r>
  <r>
    <s v="HC-04475"/>
    <s v="P-0985"/>
    <s v="Male"/>
    <n v="51"/>
    <x v="2"/>
    <s v="General Consultation"/>
    <d v="2026-03-30T00:00:00"/>
    <d v="2026-04-10T00:00:00"/>
    <s v="Friday"/>
    <s v="Evening"/>
    <x v="0"/>
    <n v="11"/>
    <n v="2"/>
    <x v="0"/>
    <x v="0"/>
    <s v="WhatsApp"/>
    <n v="19.899999999999999"/>
    <x v="22"/>
    <x v="0"/>
  </r>
  <r>
    <s v="HC-04476"/>
    <s v="P-0483"/>
    <s v="Male"/>
    <n v="57"/>
    <x v="3"/>
    <s v="General Consultation"/>
    <d v="2025-06-21T00:00:00"/>
    <d v="2025-06-24T00:00:00"/>
    <s v="Tuesday"/>
    <s v="Morning"/>
    <x v="1"/>
    <n v="3"/>
    <n v="7"/>
    <x v="2"/>
    <x v="0"/>
    <s v="Email"/>
    <n v="12.2"/>
    <x v="14"/>
    <x v="1"/>
  </r>
  <r>
    <s v="HC-04477"/>
    <s v="P-0835"/>
    <s v="Female"/>
    <n v="69"/>
    <x v="4"/>
    <s v="General Consultation"/>
    <d v="2026-05-07T00:00:00"/>
    <d v="2026-05-28T00:00:00"/>
    <s v="Thursday"/>
    <s v="Morning"/>
    <x v="3"/>
    <n v="21"/>
    <n v="2"/>
    <x v="0"/>
    <x v="0"/>
    <s v="WhatsApp"/>
    <n v="9.9"/>
    <x v="0"/>
    <x v="0"/>
  </r>
  <r>
    <s v="HC-04478"/>
    <s v="P-1261"/>
    <s v="Female"/>
    <n v="48"/>
    <x v="2"/>
    <s v="Follow-up"/>
    <d v="2025-07-13T00:00:00"/>
    <d v="2025-07-21T00:00:00"/>
    <s v="Monday"/>
    <s v="Afternoon"/>
    <x v="0"/>
    <n v="8"/>
    <n v="4"/>
    <x v="0"/>
    <x v="1"/>
    <s v="None"/>
    <n v="15.5"/>
    <x v="13"/>
    <x v="1"/>
  </r>
  <r>
    <s v="HC-04479"/>
    <s v="P-1446"/>
    <s v="Female"/>
    <n v="41"/>
    <x v="0"/>
    <s v="General Consultation"/>
    <d v="2026-04-03T00:00:00"/>
    <d v="2026-04-20T00:00:00"/>
    <s v="Monday"/>
    <s v="Evening"/>
    <x v="3"/>
    <n v="17"/>
    <n v="3"/>
    <x v="1"/>
    <x v="0"/>
    <s v="SMS"/>
    <n v="8.4"/>
    <x v="22"/>
    <x v="0"/>
  </r>
  <r>
    <s v="HC-04480"/>
    <s v="P-0024"/>
    <s v="Female"/>
    <n v="71"/>
    <x v="4"/>
    <s v="Diagnostic Test"/>
    <d v="2025-09-13T00:00:00"/>
    <d v="2025-10-21T00:00:00"/>
    <s v="Tuesday"/>
    <s v="Evening"/>
    <x v="2"/>
    <n v="38"/>
    <n v="1"/>
    <x v="0"/>
    <x v="0"/>
    <s v="WhatsApp"/>
    <n v="6"/>
    <x v="1"/>
    <x v="0"/>
  </r>
  <r>
    <s v="HC-04481"/>
    <s v="P-1304"/>
    <s v="Female"/>
    <n v="78"/>
    <x v="4"/>
    <s v="Follow-up"/>
    <d v="2025-08-09T00:00:00"/>
    <d v="2025-09-13T00:00:00"/>
    <s v="Saturday"/>
    <s v="Afternoon"/>
    <x v="2"/>
    <n v="35"/>
    <n v="2"/>
    <x v="0"/>
    <x v="0"/>
    <s v="SMS"/>
    <n v="4.0999999999999996"/>
    <x v="4"/>
    <x v="0"/>
  </r>
  <r>
    <s v="HC-04482"/>
    <s v="P-1352"/>
    <s v="Female"/>
    <n v="53"/>
    <x v="2"/>
    <s v="General Consultation"/>
    <d v="2025-05-31T00:00:00"/>
    <d v="2025-06-12T00:00:00"/>
    <s v="Thursday"/>
    <s v="Morning"/>
    <x v="0"/>
    <n v="12"/>
    <n v="3"/>
    <x v="0"/>
    <x v="0"/>
    <s v="WhatsApp"/>
    <n v="7.4"/>
    <x v="20"/>
    <x v="1"/>
  </r>
  <r>
    <s v="HC-04483"/>
    <s v="P-1402"/>
    <s v="Male"/>
    <n v="24"/>
    <x v="5"/>
    <s v="Follow-up"/>
    <d v="2026-04-01T00:00:00"/>
    <d v="2026-04-02T00:00:00"/>
    <s v="Thursday"/>
    <s v="Morning"/>
    <x v="1"/>
    <n v="1"/>
    <n v="2"/>
    <x v="0"/>
    <x v="0"/>
    <s v="SMS"/>
    <n v="13.6"/>
    <x v="51"/>
    <x v="1"/>
  </r>
  <r>
    <s v="HC-04484"/>
    <s v="P-1436"/>
    <s v="Male"/>
    <n v="36"/>
    <x v="0"/>
    <s v="General Consultation"/>
    <d v="2025-01-21T00:00:00"/>
    <d v="2025-02-03T00:00:00"/>
    <s v="Monday"/>
    <s v="Morning"/>
    <x v="0"/>
    <n v="13"/>
    <n v="3"/>
    <x v="0"/>
    <x v="0"/>
    <s v="SMS"/>
    <n v="0.9"/>
    <x v="10"/>
    <x v="1"/>
  </r>
  <r>
    <s v="HC-04485"/>
    <s v="P-0856"/>
    <s v="Female"/>
    <n v="47"/>
    <x v="2"/>
    <s v="General Consultation"/>
    <d v="2025-08-18T00:00:00"/>
    <d v="2025-09-14T00:00:00"/>
    <s v="Sunday"/>
    <s v="Afternoon"/>
    <x v="3"/>
    <n v="27"/>
    <n v="4"/>
    <x v="1"/>
    <x v="0"/>
    <s v="SMS"/>
    <n v="6.1"/>
    <x v="8"/>
    <x v="1"/>
  </r>
  <r>
    <s v="HC-04486"/>
    <s v="P-0253"/>
    <s v="Female"/>
    <n v="62"/>
    <x v="3"/>
    <s v="General Consultation"/>
    <d v="2025-06-04T00:00:00"/>
    <d v="2025-07-21T00:00:00"/>
    <s v="Monday"/>
    <s v="Afternoon"/>
    <x v="2"/>
    <n v="47"/>
    <n v="3"/>
    <x v="0"/>
    <x v="0"/>
    <s v="WhatsApp"/>
    <n v="7.7"/>
    <x v="19"/>
    <x v="0"/>
  </r>
  <r>
    <s v="HC-04487"/>
    <s v="P-1333"/>
    <s v="Female"/>
    <n v="60"/>
    <x v="3"/>
    <s v="General Consultation"/>
    <d v="2025-10-02T00:00:00"/>
    <d v="2025-10-24T00:00:00"/>
    <s v="Friday"/>
    <s v="Morning"/>
    <x v="3"/>
    <n v="22"/>
    <n v="4"/>
    <x v="1"/>
    <x v="0"/>
    <s v="WhatsApp"/>
    <n v="6"/>
    <x v="4"/>
    <x v="1"/>
  </r>
  <r>
    <s v="HC-04488"/>
    <s v="P-0550"/>
    <s v="Female"/>
    <n v="69"/>
    <x v="4"/>
    <s v="General Consultation"/>
    <d v="2025-05-02T00:00:00"/>
    <d v="2025-05-19T00:00:00"/>
    <s v="Monday"/>
    <s v="Afternoon"/>
    <x v="3"/>
    <n v="17"/>
    <n v="1"/>
    <x v="0"/>
    <x v="0"/>
    <s v="WhatsApp"/>
    <n v="15.8"/>
    <x v="8"/>
    <x v="0"/>
  </r>
  <r>
    <s v="HC-04489"/>
    <s v="P-0163"/>
    <s v="Male"/>
    <n v="19"/>
    <x v="5"/>
    <s v="Diagnostic Test"/>
    <d v="2025-11-26T00:00:00"/>
    <d v="2025-12-29T00:00:00"/>
    <s v="Monday"/>
    <s v="Afternoon"/>
    <x v="2"/>
    <n v="33"/>
    <n v="3"/>
    <x v="0"/>
    <x v="0"/>
    <s v="WhatsApp"/>
    <n v="11.7"/>
    <x v="49"/>
    <x v="1"/>
  </r>
  <r>
    <s v="HC-04490"/>
    <s v="P-1168"/>
    <s v="Female"/>
    <n v="47"/>
    <x v="2"/>
    <s v="Follow-up"/>
    <d v="2025-07-26T00:00:00"/>
    <d v="2025-07-30T00:00:00"/>
    <s v="Wednesday"/>
    <s v="Afternoon"/>
    <x v="1"/>
    <n v="4"/>
    <n v="4"/>
    <x v="0"/>
    <x v="1"/>
    <s v="None"/>
    <n v="6.3"/>
    <x v="8"/>
    <x v="1"/>
  </r>
  <r>
    <s v="HC-04491"/>
    <s v="P-0086"/>
    <s v="Female"/>
    <n v="62"/>
    <x v="3"/>
    <s v="Diagnostic Test"/>
    <d v="2025-03-31T00:00:00"/>
    <d v="2025-04-13T00:00:00"/>
    <s v="Sunday"/>
    <s v="Morning"/>
    <x v="0"/>
    <n v="13"/>
    <n v="4"/>
    <x v="2"/>
    <x v="0"/>
    <s v="SMS"/>
    <n v="15"/>
    <x v="26"/>
    <x v="1"/>
  </r>
  <r>
    <s v="HC-04492"/>
    <s v="P-1273"/>
    <s v="Female"/>
    <n v="80"/>
    <x v="4"/>
    <s v="General Consultation"/>
    <d v="2025-04-16T00:00:00"/>
    <d v="2025-04-18T00:00:00"/>
    <s v="Friday"/>
    <s v="Morning"/>
    <x v="1"/>
    <n v="2"/>
    <n v="1"/>
    <x v="1"/>
    <x v="1"/>
    <s v="None"/>
    <n v="2.7"/>
    <x v="5"/>
    <x v="1"/>
  </r>
  <r>
    <s v="HC-04493"/>
    <s v="P-0628"/>
    <s v="Male"/>
    <n v="26"/>
    <x v="1"/>
    <s v="Specialist Consultation"/>
    <d v="2025-12-15T00:00:00"/>
    <d v="2026-01-16T00:00:00"/>
    <s v="Friday"/>
    <s v="Afternoon"/>
    <x v="2"/>
    <n v="32"/>
    <n v="3"/>
    <x v="2"/>
    <x v="1"/>
    <s v="None"/>
    <n v="12"/>
    <x v="23"/>
    <x v="1"/>
  </r>
  <r>
    <s v="HC-04494"/>
    <s v="P-0124"/>
    <s v="Female"/>
    <n v="73"/>
    <x v="4"/>
    <s v="General Consultation"/>
    <d v="2025-04-26T00:00:00"/>
    <d v="2025-05-23T00:00:00"/>
    <s v="Friday"/>
    <s v="Afternoon"/>
    <x v="3"/>
    <n v="27"/>
    <n v="4"/>
    <x v="1"/>
    <x v="0"/>
    <s v="Email"/>
    <n v="4.5"/>
    <x v="51"/>
    <x v="0"/>
  </r>
  <r>
    <s v="HC-04495"/>
    <s v="P-1611"/>
    <s v="Male"/>
    <n v="18"/>
    <x v="5"/>
    <s v="General Consultation"/>
    <d v="2025-05-13T00:00:00"/>
    <d v="2025-06-17T00:00:00"/>
    <s v="Tuesday"/>
    <s v="Morning"/>
    <x v="2"/>
    <n v="35"/>
    <n v="5"/>
    <x v="2"/>
    <x v="0"/>
    <s v="WhatsApp"/>
    <n v="12.6"/>
    <x v="15"/>
    <x v="0"/>
  </r>
  <r>
    <s v="HC-04496"/>
    <s v="P-0768"/>
    <s v="Female"/>
    <n v="30"/>
    <x v="1"/>
    <s v="Specialist Consultation"/>
    <d v="2025-11-02T00:00:00"/>
    <d v="2025-12-09T00:00:00"/>
    <s v="Tuesday"/>
    <s v="Morning"/>
    <x v="2"/>
    <n v="37"/>
    <n v="1"/>
    <x v="0"/>
    <x v="1"/>
    <s v="None"/>
    <n v="10.199999999999999"/>
    <x v="47"/>
    <x v="0"/>
  </r>
  <r>
    <s v="HC-04497"/>
    <s v="P-0139"/>
    <s v="Female"/>
    <n v="71"/>
    <x v="4"/>
    <s v="General Consultation"/>
    <d v="2025-06-06T00:00:00"/>
    <d v="2025-06-30T00:00:00"/>
    <s v="Monday"/>
    <s v="Evening"/>
    <x v="3"/>
    <n v="24"/>
    <n v="3"/>
    <x v="0"/>
    <x v="0"/>
    <s v="SMS"/>
    <n v="10.4"/>
    <x v="20"/>
    <x v="1"/>
  </r>
  <r>
    <s v="HC-04498"/>
    <s v="P-0865"/>
    <s v="Female"/>
    <n v="67"/>
    <x v="4"/>
    <s v="General Consultation"/>
    <d v="2025-06-08T00:00:00"/>
    <d v="2025-07-31T00:00:00"/>
    <s v="Thursday"/>
    <s v="Afternoon"/>
    <x v="2"/>
    <n v="53"/>
    <n v="0"/>
    <x v="0"/>
    <x v="0"/>
    <s v="SMS"/>
    <n v="10.7"/>
    <x v="13"/>
    <x v="0"/>
  </r>
  <r>
    <s v="HC-04499"/>
    <s v="P-0531"/>
    <s v="Male"/>
    <n v="79"/>
    <x v="4"/>
    <s v="Specialist Consultation"/>
    <d v="2025-03-19T00:00:00"/>
    <d v="2025-05-14T00:00:00"/>
    <s v="Wednesday"/>
    <s v="Morning"/>
    <x v="2"/>
    <n v="56"/>
    <n v="7"/>
    <x v="1"/>
    <x v="0"/>
    <s v="SMS"/>
    <n v="7.7"/>
    <x v="51"/>
    <x v="0"/>
  </r>
  <r>
    <s v="HC-04500"/>
    <s v="P-1229"/>
    <s v="Female"/>
    <n v="55"/>
    <x v="3"/>
    <s v="Follow-up"/>
    <d v="2025-07-02T00:00:00"/>
    <d v="2025-07-08T00:00:00"/>
    <s v="Tuesday"/>
    <s v="Afternoon"/>
    <x v="1"/>
    <n v="6"/>
    <n v="7"/>
    <x v="0"/>
    <x v="1"/>
    <s v="None"/>
    <n v="10.199999999999999"/>
    <x v="46"/>
    <x v="0"/>
  </r>
  <r>
    <s v="HC-04501"/>
    <s v="P-1408"/>
    <s v="Female"/>
    <n v="56"/>
    <x v="3"/>
    <s v="Follow-up"/>
    <d v="2025-11-19T00:00:00"/>
    <d v="2026-01-14T00:00:00"/>
    <s v="Wednesday"/>
    <s v="Afternoon"/>
    <x v="2"/>
    <n v="56"/>
    <n v="5"/>
    <x v="1"/>
    <x v="0"/>
    <s v="Email"/>
    <n v="3.3"/>
    <x v="6"/>
    <x v="0"/>
  </r>
  <r>
    <s v="HC-04502"/>
    <s v="P-0630"/>
    <s v="Female"/>
    <n v="51"/>
    <x v="2"/>
    <s v="General Consultation"/>
    <d v="2025-10-08T00:00:00"/>
    <d v="2025-10-19T00:00:00"/>
    <s v="Sunday"/>
    <s v="Morning"/>
    <x v="0"/>
    <n v="11"/>
    <n v="4"/>
    <x v="0"/>
    <x v="1"/>
    <s v="None"/>
    <n v="7.8"/>
    <x v="25"/>
    <x v="0"/>
  </r>
  <r>
    <s v="HC-04503"/>
    <s v="P-0772"/>
    <s v="Female"/>
    <n v="50"/>
    <x v="2"/>
    <s v="General Consultation"/>
    <d v="2026-06-14T00:00:00"/>
    <d v="2026-06-29T00:00:00"/>
    <s v="Monday"/>
    <s v="Morning"/>
    <x v="3"/>
    <n v="15"/>
    <n v="2"/>
    <x v="0"/>
    <x v="0"/>
    <s v="SMS"/>
    <n v="3.2"/>
    <x v="36"/>
    <x v="1"/>
  </r>
  <r>
    <s v="HC-04504"/>
    <s v="P-0648"/>
    <s v="Female"/>
    <n v="50"/>
    <x v="2"/>
    <s v="Diagnostic Test"/>
    <d v="2026-01-25T00:00:00"/>
    <d v="2026-02-26T00:00:00"/>
    <s v="Thursday"/>
    <s v="Evening"/>
    <x v="2"/>
    <n v="32"/>
    <n v="3"/>
    <x v="1"/>
    <x v="0"/>
    <s v="SMS"/>
    <n v="23.2"/>
    <x v="2"/>
    <x v="0"/>
  </r>
  <r>
    <s v="HC-04505"/>
    <s v="P-0277"/>
    <s v="Male"/>
    <n v="36"/>
    <x v="0"/>
    <s v="General Consultation"/>
    <d v="2025-01-09T00:00:00"/>
    <d v="2025-01-10T00:00:00"/>
    <s v="Friday"/>
    <s v="Afternoon"/>
    <x v="1"/>
    <n v="1"/>
    <n v="6"/>
    <x v="2"/>
    <x v="0"/>
    <s v="Email"/>
    <n v="4.5"/>
    <x v="12"/>
    <x v="1"/>
  </r>
  <r>
    <s v="HC-04506"/>
    <s v="P-0391"/>
    <s v="Male"/>
    <n v="71"/>
    <x v="4"/>
    <s v="General Consultation"/>
    <d v="2025-07-04T00:00:00"/>
    <d v="2025-07-26T00:00:00"/>
    <s v="Saturday"/>
    <s v="Morning"/>
    <x v="3"/>
    <n v="22"/>
    <n v="0"/>
    <x v="0"/>
    <x v="0"/>
    <s v="SMS"/>
    <n v="20.8"/>
    <x v="19"/>
    <x v="0"/>
  </r>
  <r>
    <s v="HC-04507"/>
    <s v="P-1033"/>
    <s v="Male"/>
    <n v="40"/>
    <x v="0"/>
    <s v="General Consultation"/>
    <d v="2025-05-28T00:00:00"/>
    <d v="2025-06-08T00:00:00"/>
    <s v="Sunday"/>
    <s v="Afternoon"/>
    <x v="0"/>
    <n v="11"/>
    <n v="5"/>
    <x v="0"/>
    <x v="0"/>
    <s v="SMS"/>
    <n v="16.5"/>
    <x v="22"/>
    <x v="1"/>
  </r>
  <r>
    <s v="HC-04508"/>
    <s v="P-1638"/>
    <s v="Male"/>
    <n v="56"/>
    <x v="3"/>
    <s v="Diagnostic Test"/>
    <d v="2025-10-19T00:00:00"/>
    <d v="2025-11-17T00:00:00"/>
    <s v="Monday"/>
    <s v="Afternoon"/>
    <x v="3"/>
    <n v="29"/>
    <n v="0"/>
    <x v="0"/>
    <x v="1"/>
    <s v="None"/>
    <n v="6.7"/>
    <x v="19"/>
    <x v="1"/>
  </r>
  <r>
    <s v="HC-04509"/>
    <s v="P-1434"/>
    <s v="Female"/>
    <n v="60"/>
    <x v="3"/>
    <s v="Specialist Consultation"/>
    <d v="2025-04-07T00:00:00"/>
    <d v="2025-05-26T00:00:00"/>
    <s v="Monday"/>
    <s v="Afternoon"/>
    <x v="2"/>
    <n v="49"/>
    <n v="2"/>
    <x v="0"/>
    <x v="1"/>
    <s v="None"/>
    <n v="5.3"/>
    <x v="45"/>
    <x v="0"/>
  </r>
  <r>
    <s v="HC-04510"/>
    <s v="P-0171"/>
    <s v="Male"/>
    <n v="51"/>
    <x v="2"/>
    <s v="Follow-up"/>
    <d v="2026-04-17T00:00:00"/>
    <d v="2026-06-12T00:00:00"/>
    <s v="Friday"/>
    <s v="Morning"/>
    <x v="2"/>
    <n v="56"/>
    <n v="3"/>
    <x v="0"/>
    <x v="0"/>
    <s v="WhatsApp"/>
    <n v="7.3"/>
    <x v="17"/>
    <x v="0"/>
  </r>
  <r>
    <s v="HC-04511"/>
    <s v="P-1319"/>
    <s v="Female"/>
    <n v="56"/>
    <x v="3"/>
    <s v="Diagnostic Test"/>
    <d v="2025-06-01T00:00:00"/>
    <d v="2025-06-13T00:00:00"/>
    <s v="Friday"/>
    <s v="Morning"/>
    <x v="0"/>
    <n v="12"/>
    <n v="7"/>
    <x v="2"/>
    <x v="0"/>
    <s v="WhatsApp"/>
    <m/>
    <x v="51"/>
    <x v="1"/>
  </r>
  <r>
    <s v="HC-04512"/>
    <s v="P-0881"/>
    <s v="Female"/>
    <n v="21"/>
    <x v="5"/>
    <s v="General Consultation"/>
    <d v="2025-09-10T00:00:00"/>
    <d v="2025-10-13T00:00:00"/>
    <s v="Monday"/>
    <s v="Morning"/>
    <x v="2"/>
    <n v="33"/>
    <n v="6"/>
    <x v="3"/>
    <x v="0"/>
    <s v="SMS"/>
    <n v="6.3"/>
    <x v="12"/>
    <x v="1"/>
  </r>
  <r>
    <s v="HC-04513"/>
    <s v="P-0522"/>
    <s v="Male"/>
    <n v="37"/>
    <x v="0"/>
    <s v="Diagnostic Test"/>
    <d v="2025-02-09T00:00:00"/>
    <d v="2025-03-09T00:00:00"/>
    <s v="Sunday"/>
    <s v="Evening"/>
    <x v="3"/>
    <n v="28"/>
    <n v="3"/>
    <x v="0"/>
    <x v="0"/>
    <s v="SMS"/>
    <n v="18.5"/>
    <x v="17"/>
    <x v="0"/>
  </r>
  <r>
    <s v="HC-04514"/>
    <s v="P-0258"/>
    <s v="Female"/>
    <n v="46"/>
    <x v="2"/>
    <s v="General Consultation"/>
    <d v="2026-04-17T00:00:00"/>
    <d v="2026-05-12T00:00:00"/>
    <s v="Tuesday"/>
    <s v="Afternoon"/>
    <x v="3"/>
    <n v="25"/>
    <n v="6"/>
    <x v="0"/>
    <x v="1"/>
    <s v="None"/>
    <n v="20.6"/>
    <x v="24"/>
    <x v="0"/>
  </r>
  <r>
    <s v="HC-04515"/>
    <s v="P-0524"/>
    <s v="Female"/>
    <n v="42"/>
    <x v="0"/>
    <s v="General Consultation"/>
    <d v="2026-04-05T00:00:00"/>
    <d v="2026-05-13T00:00:00"/>
    <s v="Wednesday"/>
    <s v="Afternoon"/>
    <x v="2"/>
    <n v="38"/>
    <n v="2"/>
    <x v="0"/>
    <x v="0"/>
    <s v="WhatsApp"/>
    <n v="5.6"/>
    <x v="4"/>
    <x v="0"/>
  </r>
  <r>
    <s v="HC-04516"/>
    <s v="P-0055"/>
    <s v="Female"/>
    <n v="75"/>
    <x v="4"/>
    <s v="General Consultation"/>
    <d v="2026-01-09T00:00:00"/>
    <d v="2026-03-10T00:00:00"/>
    <s v="Tuesday"/>
    <s v="Morning"/>
    <x v="2"/>
    <n v="60"/>
    <n v="2"/>
    <x v="1"/>
    <x v="1"/>
    <s v="None"/>
    <n v="7.7"/>
    <x v="51"/>
    <x v="0"/>
  </r>
  <r>
    <s v="HC-04517"/>
    <s v="P-0818"/>
    <s v="Female"/>
    <n v="74"/>
    <x v="4"/>
    <s v="Diagnostic Test"/>
    <d v="2025-06-17T00:00:00"/>
    <d v="2025-07-11T00:00:00"/>
    <s v="Friday"/>
    <s v="Afternoon"/>
    <x v="3"/>
    <n v="24"/>
    <n v="1"/>
    <x v="0"/>
    <x v="0"/>
    <s v="Email"/>
    <n v="2.2999999999999998"/>
    <x v="47"/>
    <x v="1"/>
  </r>
  <r>
    <s v="HC-04518"/>
    <s v="P-1251"/>
    <s v="Female"/>
    <n v="62"/>
    <x v="3"/>
    <s v="Diagnostic Test"/>
    <d v="2025-01-30T00:00:00"/>
    <d v="2025-02-02T00:00:00"/>
    <s v="Sunday"/>
    <s v="Afternoon"/>
    <x v="1"/>
    <n v="3"/>
    <n v="5"/>
    <x v="1"/>
    <x v="0"/>
    <s v="WhatsApp"/>
    <n v="10"/>
    <x v="12"/>
    <x v="1"/>
  </r>
  <r>
    <s v="HC-04519"/>
    <s v="P-0707"/>
    <s v="Male"/>
    <n v="40"/>
    <x v="0"/>
    <s v="Follow-up"/>
    <d v="2025-11-30T00:00:00"/>
    <d v="2026-01-24T00:00:00"/>
    <s v="Saturday"/>
    <s v="Afternoon"/>
    <x v="2"/>
    <n v="55"/>
    <n v="7"/>
    <x v="1"/>
    <x v="0"/>
    <s v="SMS"/>
    <n v="10"/>
    <x v="18"/>
    <x v="1"/>
  </r>
  <r>
    <s v="HC-04520"/>
    <s v="P-0299"/>
    <s v="Female"/>
    <n v="21"/>
    <x v="5"/>
    <s v="General Consultation"/>
    <d v="2025-06-28T00:00:00"/>
    <d v="2025-08-23T00:00:00"/>
    <s v="Saturday"/>
    <s v="Morning"/>
    <x v="2"/>
    <n v="56"/>
    <n v="4"/>
    <x v="0"/>
    <x v="0"/>
    <s v="SMS"/>
    <n v="8.1999999999999993"/>
    <x v="51"/>
    <x v="1"/>
  </r>
  <r>
    <s v="HC-04521"/>
    <s v="P-0690"/>
    <s v="Female"/>
    <n v="65"/>
    <x v="4"/>
    <s v="General Consultation"/>
    <d v="2026-06-06T00:00:00"/>
    <d v="2026-06-25T00:00:00"/>
    <s v="Thursday"/>
    <s v="Afternoon"/>
    <x v="3"/>
    <n v="19"/>
    <n v="2"/>
    <x v="1"/>
    <x v="0"/>
    <s v="SMS"/>
    <n v="7.4"/>
    <x v="6"/>
    <x v="0"/>
  </r>
  <r>
    <s v="HC-04522"/>
    <s v="P-1049"/>
    <s v="Female"/>
    <n v="73"/>
    <x v="4"/>
    <s v="Follow-up"/>
    <d v="2025-12-18T00:00:00"/>
    <d v="2026-01-17T00:00:00"/>
    <s v="Saturday"/>
    <s v="Morning"/>
    <x v="3"/>
    <n v="30"/>
    <n v="2"/>
    <x v="0"/>
    <x v="0"/>
    <s v="WhatsApp"/>
    <n v="14.1"/>
    <x v="28"/>
    <x v="0"/>
  </r>
  <r>
    <s v="HC-04523"/>
    <s v="P-1112"/>
    <s v="Male"/>
    <n v="48"/>
    <x v="2"/>
    <s v="General Consultation"/>
    <d v="2025-08-31T00:00:00"/>
    <d v="2025-10-22T00:00:00"/>
    <s v="Wednesday"/>
    <s v="Morning"/>
    <x v="2"/>
    <n v="52"/>
    <n v="7"/>
    <x v="2"/>
    <x v="0"/>
    <s v="WhatsApp"/>
    <n v="16.7"/>
    <x v="6"/>
    <x v="1"/>
  </r>
  <r>
    <s v="HC-04524"/>
    <s v="P-1125"/>
    <s v="Male"/>
    <n v="70"/>
    <x v="4"/>
    <s v="General Consultation"/>
    <d v="2026-05-24T00:00:00"/>
    <d v="2026-06-23T00:00:00"/>
    <s v="Tuesday"/>
    <s v="Afternoon"/>
    <x v="3"/>
    <n v="30"/>
    <n v="4"/>
    <x v="0"/>
    <x v="0"/>
    <s v="WhatsApp"/>
    <n v="15.1"/>
    <x v="17"/>
    <x v="1"/>
  </r>
  <r>
    <s v="HC-04525"/>
    <s v="P-0331"/>
    <s v="Male"/>
    <n v="76"/>
    <x v="4"/>
    <s v="Follow-up"/>
    <d v="2026-02-13T00:00:00"/>
    <d v="2026-03-14T00:00:00"/>
    <s v="Saturday"/>
    <s v="Morning"/>
    <x v="3"/>
    <n v="29"/>
    <n v="4"/>
    <x v="1"/>
    <x v="0"/>
    <s v="SMS"/>
    <n v="8.3000000000000007"/>
    <x v="5"/>
    <x v="1"/>
  </r>
  <r>
    <s v="HC-04526"/>
    <s v="P-1757"/>
    <s v="Female"/>
    <n v="52"/>
    <x v="2"/>
    <s v="Follow-up"/>
    <d v="2025-07-14T00:00:00"/>
    <d v="2025-09-08T00:00:00"/>
    <s v="Monday"/>
    <s v="Morning"/>
    <x v="2"/>
    <n v="56"/>
    <n v="3"/>
    <x v="1"/>
    <x v="1"/>
    <s v="None"/>
    <n v="13.1"/>
    <x v="11"/>
    <x v="0"/>
  </r>
  <r>
    <s v="HC-04527"/>
    <s v="P-1168"/>
    <s v="Female"/>
    <n v="31"/>
    <x v="1"/>
    <s v="Diagnostic Test"/>
    <d v="2024-11-22T00:00:00"/>
    <d v="2025-01-11T00:00:00"/>
    <s v="Saturday"/>
    <s v="Evening"/>
    <x v="2"/>
    <n v="50"/>
    <n v="2"/>
    <x v="0"/>
    <x v="1"/>
    <s v="None"/>
    <n v="8.6999999999999993"/>
    <x v="0"/>
    <x v="0"/>
  </r>
  <r>
    <s v="HC-04528"/>
    <s v="P-0776"/>
    <s v="Female"/>
    <n v="19"/>
    <x v="5"/>
    <s v="Follow-up"/>
    <d v="2025-01-21T00:00:00"/>
    <d v="2025-02-20T00:00:00"/>
    <s v="Thursday"/>
    <s v="Morning"/>
    <x v="3"/>
    <n v="30"/>
    <n v="1"/>
    <x v="0"/>
    <x v="0"/>
    <s v="WhatsApp"/>
    <n v="7.1"/>
    <x v="44"/>
    <x v="2"/>
  </r>
  <r>
    <s v="HC-04529"/>
    <s v="P-1486"/>
    <s v="Male"/>
    <n v="65"/>
    <x v="4"/>
    <s v="General Consultation"/>
    <d v="2025-08-22T00:00:00"/>
    <d v="2025-08-31T00:00:00"/>
    <s v="Sunday"/>
    <s v="Afternoon"/>
    <x v="0"/>
    <n v="9"/>
    <n v="3"/>
    <x v="1"/>
    <x v="0"/>
    <s v="Email"/>
    <n v="9.1999999999999993"/>
    <x v="17"/>
    <x v="1"/>
  </r>
  <r>
    <s v="HC-04530"/>
    <s v="P-0136"/>
    <s v="Male"/>
    <n v="53"/>
    <x v="2"/>
    <s v="Follow-up"/>
    <d v="2025-10-08T00:00:00"/>
    <d v="2025-11-03T00:00:00"/>
    <s v="Monday"/>
    <s v="Afternoon"/>
    <x v="3"/>
    <n v="26"/>
    <n v="3"/>
    <x v="0"/>
    <x v="0"/>
    <s v="SMS"/>
    <n v="6.3"/>
    <x v="0"/>
    <x v="0"/>
  </r>
  <r>
    <s v="HC-04531"/>
    <s v="P-0572"/>
    <s v="Male"/>
    <n v="27"/>
    <x v="1"/>
    <s v="General Consultation"/>
    <d v="2024-12-07T00:00:00"/>
    <d v="2025-01-17T00:00:00"/>
    <s v="Friday"/>
    <s v="Afternoon"/>
    <x v="2"/>
    <n v="41"/>
    <n v="2"/>
    <x v="0"/>
    <x v="1"/>
    <s v="None"/>
    <n v="4.2"/>
    <x v="43"/>
    <x v="0"/>
  </r>
  <r>
    <s v="HC-04532"/>
    <s v="P-0829"/>
    <s v="Female"/>
    <n v="21"/>
    <x v="5"/>
    <s v="Follow-up"/>
    <d v="2025-02-23T00:00:00"/>
    <d v="2025-03-11T00:00:00"/>
    <s v="Tuesday"/>
    <s v="Morning"/>
    <x v="3"/>
    <n v="16"/>
    <n v="6"/>
    <x v="0"/>
    <x v="1"/>
    <s v="None"/>
    <n v="19.2"/>
    <x v="3"/>
    <x v="1"/>
  </r>
  <r>
    <s v="HC-04533"/>
    <s v="P-1761"/>
    <s v="Male"/>
    <n v="79"/>
    <x v="4"/>
    <s v="Specialist Consultation"/>
    <d v="2025-12-19T00:00:00"/>
    <d v="2026-01-20T00:00:00"/>
    <s v="Tuesday"/>
    <s v="Afternoon"/>
    <x v="2"/>
    <n v="32"/>
    <n v="2"/>
    <x v="1"/>
    <x v="1"/>
    <s v="None"/>
    <n v="14.2"/>
    <x v="18"/>
    <x v="0"/>
  </r>
  <r>
    <s v="HC-04534"/>
    <s v="P-0241"/>
    <s v="Female"/>
    <n v="38"/>
    <x v="0"/>
    <s v="General Consultation"/>
    <d v="2026-01-06T00:00:00"/>
    <d v="2026-02-15T00:00:00"/>
    <s v="Sunday"/>
    <s v="Afternoon"/>
    <x v="2"/>
    <n v="40"/>
    <n v="4"/>
    <x v="1"/>
    <x v="0"/>
    <s v="SMS"/>
    <n v="4.5999999999999996"/>
    <x v="27"/>
    <x v="0"/>
  </r>
  <r>
    <s v="HC-04535"/>
    <s v="P-1322"/>
    <s v="Female"/>
    <n v="38"/>
    <x v="0"/>
    <s v="General Consultation"/>
    <d v="2025-01-12T00:00:00"/>
    <d v="2025-01-17T00:00:00"/>
    <s v="Friday"/>
    <s v="Morning"/>
    <x v="1"/>
    <n v="5"/>
    <n v="3"/>
    <x v="0"/>
    <x v="1"/>
    <s v="None"/>
    <n v="4.9000000000000004"/>
    <x v="16"/>
    <x v="1"/>
  </r>
  <r>
    <s v="HC-04536"/>
    <s v="P-0933"/>
    <s v="Female"/>
    <n v="57"/>
    <x v="3"/>
    <s v="Specialist Consultation"/>
    <d v="2025-09-01T00:00:00"/>
    <d v="2025-10-05T00:00:00"/>
    <s v="Sunday"/>
    <s v="Afternoon"/>
    <x v="2"/>
    <n v="34"/>
    <n v="1"/>
    <x v="0"/>
    <x v="0"/>
    <s v="Email"/>
    <n v="10.3"/>
    <x v="9"/>
    <x v="0"/>
  </r>
  <r>
    <s v="HC-04537"/>
    <s v="P-0765"/>
    <s v="Male"/>
    <n v="40"/>
    <x v="0"/>
    <s v="Follow-up"/>
    <d v="2025-01-01T00:00:00"/>
    <d v="2025-02-14T00:00:00"/>
    <s v="Friday"/>
    <s v="Evening"/>
    <x v="2"/>
    <n v="44"/>
    <n v="4"/>
    <x v="1"/>
    <x v="0"/>
    <s v="SMS"/>
    <n v="8.6999999999999993"/>
    <x v="8"/>
    <x v="0"/>
  </r>
  <r>
    <s v="HC-04538"/>
    <s v="P-0863"/>
    <s v="Male"/>
    <n v="75"/>
    <x v="4"/>
    <s v="Follow-up"/>
    <d v="2026-01-17T00:00:00"/>
    <d v="2026-01-30T00:00:00"/>
    <s v="Friday"/>
    <s v="Morning"/>
    <x v="0"/>
    <n v="13"/>
    <n v="1"/>
    <x v="0"/>
    <x v="1"/>
    <s v="None"/>
    <n v="5.9"/>
    <x v="23"/>
    <x v="0"/>
  </r>
  <r>
    <s v="HC-04539"/>
    <s v="P-0902"/>
    <s v="Female"/>
    <n v="60"/>
    <x v="3"/>
    <s v="Specialist Consultation"/>
    <d v="2026-02-27T00:00:00"/>
    <d v="2026-04-01T00:00:00"/>
    <s v="Wednesday"/>
    <s v="Morning"/>
    <x v="2"/>
    <n v="33"/>
    <n v="5"/>
    <x v="0"/>
    <x v="0"/>
    <s v="SMS"/>
    <n v="6.7"/>
    <x v="31"/>
    <x v="1"/>
  </r>
  <r>
    <s v="HC-04540"/>
    <s v="P-0819"/>
    <s v="Male"/>
    <n v="40"/>
    <x v="0"/>
    <s v="Follow-up"/>
    <d v="2026-03-08T00:00:00"/>
    <d v="2026-04-20T00:00:00"/>
    <s v="Monday"/>
    <s v="Afternoon"/>
    <x v="2"/>
    <n v="43"/>
    <n v="2"/>
    <x v="0"/>
    <x v="0"/>
    <s v="Email"/>
    <n v="5.4"/>
    <x v="13"/>
    <x v="1"/>
  </r>
  <r>
    <s v="HC-04541"/>
    <s v="P-1071"/>
    <s v="Female"/>
    <n v="34"/>
    <x v="1"/>
    <s v="General Consultation"/>
    <d v="2025-11-21T00:00:00"/>
    <d v="2025-11-23T00:00:00"/>
    <s v="Sunday"/>
    <s v="Afternoon"/>
    <x v="1"/>
    <n v="2"/>
    <n v="3"/>
    <x v="1"/>
    <x v="1"/>
    <s v="None"/>
    <n v="10.7"/>
    <x v="10"/>
    <x v="1"/>
  </r>
  <r>
    <s v="HC-04542"/>
    <s v="P-1426"/>
    <s v="Female"/>
    <n v="72"/>
    <x v="4"/>
    <s v="Specialist Consultation"/>
    <d v="2025-11-01T00:00:00"/>
    <d v="2025-12-10T00:00:00"/>
    <s v="Wednesday"/>
    <s v="Afternoon"/>
    <x v="2"/>
    <n v="39"/>
    <n v="4"/>
    <x v="0"/>
    <x v="1"/>
    <s v="None"/>
    <n v="15.9"/>
    <x v="18"/>
    <x v="1"/>
  </r>
  <r>
    <s v="HC-04543"/>
    <s v="P-0972"/>
    <s v="Female"/>
    <n v="55"/>
    <x v="3"/>
    <s v="Diagnostic Test"/>
    <d v="2026-05-06T00:00:00"/>
    <d v="2026-05-21T00:00:00"/>
    <s v="Thursday"/>
    <s v="Morning"/>
    <x v="3"/>
    <n v="15"/>
    <n v="3"/>
    <x v="0"/>
    <x v="0"/>
    <s v="SMS"/>
    <n v="9.1"/>
    <x v="16"/>
    <x v="1"/>
  </r>
  <r>
    <s v="HC-04544"/>
    <s v="P-0672"/>
    <s v="Female"/>
    <n v="75"/>
    <x v="4"/>
    <s v="General Consultation"/>
    <d v="2025-11-07T00:00:00"/>
    <d v="2025-12-01T00:00:00"/>
    <s v="Monday"/>
    <s v="Morning"/>
    <x v="3"/>
    <n v="24"/>
    <n v="4"/>
    <x v="0"/>
    <x v="0"/>
    <s v="SMS"/>
    <n v="7.6"/>
    <x v="28"/>
    <x v="0"/>
  </r>
  <r>
    <s v="HC-04545"/>
    <s v="P-0553"/>
    <s v="Male"/>
    <n v="39"/>
    <x v="0"/>
    <s v="General Consultation"/>
    <d v="2025-07-24T00:00:00"/>
    <d v="2025-09-01T00:00:00"/>
    <s v="Monday"/>
    <s v="Afternoon"/>
    <x v="2"/>
    <n v="39"/>
    <n v="5"/>
    <x v="1"/>
    <x v="0"/>
    <s v="SMS"/>
    <n v="4.0999999999999996"/>
    <x v="4"/>
    <x v="0"/>
  </r>
  <r>
    <s v="HC-04546"/>
    <s v="P-1369"/>
    <s v="Female"/>
    <n v="19"/>
    <x v="5"/>
    <s v="Specialist Consultation"/>
    <d v="2026-02-16T00:00:00"/>
    <d v="2026-02-16T00:00:00"/>
    <s v="Monday"/>
    <s v="Evening"/>
    <x v="1"/>
    <n v="0"/>
    <n v="3"/>
    <x v="0"/>
    <x v="0"/>
    <s v="SMS"/>
    <n v="2.7"/>
    <x v="22"/>
    <x v="0"/>
  </r>
  <r>
    <s v="HC-04547"/>
    <s v="P-0137"/>
    <s v="Female"/>
    <n v="74"/>
    <x v="4"/>
    <s v="Follow-up"/>
    <d v="2025-11-18T00:00:00"/>
    <d v="2025-11-19T00:00:00"/>
    <s v="Wednesday"/>
    <s v="Morning"/>
    <x v="1"/>
    <n v="1"/>
    <n v="4"/>
    <x v="0"/>
    <x v="0"/>
    <s v="WhatsApp"/>
    <n v="3.3"/>
    <x v="22"/>
    <x v="1"/>
  </r>
  <r>
    <s v="HC-04548"/>
    <s v="P-1408"/>
    <s v="Female"/>
    <n v="33"/>
    <x v="1"/>
    <s v="General Consultation"/>
    <d v="2026-03-09T00:00:00"/>
    <d v="2026-04-05T00:00:00"/>
    <s v="Sunday"/>
    <s v="Afternoon"/>
    <x v="3"/>
    <n v="27"/>
    <n v="3"/>
    <x v="0"/>
    <x v="0"/>
    <s v="WhatsApp"/>
    <n v="10.8"/>
    <x v="21"/>
    <x v="1"/>
  </r>
  <r>
    <s v="HC-04549"/>
    <s v="P-0322"/>
    <s v="Male"/>
    <n v="71"/>
    <x v="4"/>
    <s v="Follow-up"/>
    <d v="2025-08-18T00:00:00"/>
    <d v="2025-10-14T00:00:00"/>
    <s v="Tuesday"/>
    <s v="Morning"/>
    <x v="2"/>
    <n v="57"/>
    <n v="3"/>
    <x v="0"/>
    <x v="0"/>
    <s v="WhatsApp"/>
    <n v="11"/>
    <x v="14"/>
    <x v="0"/>
  </r>
  <r>
    <s v="HC-04550"/>
    <s v="P-0657"/>
    <s v="Male"/>
    <n v="62"/>
    <x v="3"/>
    <s v="Specialist Consultation"/>
    <d v="2026-04-20T00:00:00"/>
    <d v="2026-04-20T00:00:00"/>
    <s v="Monday"/>
    <s v="Morning"/>
    <x v="1"/>
    <n v="0"/>
    <n v="1"/>
    <x v="0"/>
    <x v="1"/>
    <s v="None"/>
    <n v="2"/>
    <x v="18"/>
    <x v="1"/>
  </r>
  <r>
    <s v="HC-04551"/>
    <s v="P-1629"/>
    <s v="Male"/>
    <n v="32"/>
    <x v="1"/>
    <s v="Follow-up"/>
    <d v="2024-12-08T00:00:00"/>
    <d v="2025-01-25T00:00:00"/>
    <s v="Saturday"/>
    <s v="Afternoon"/>
    <x v="2"/>
    <n v="48"/>
    <n v="7"/>
    <x v="2"/>
    <x v="0"/>
    <s v="SMS"/>
    <n v="3.2"/>
    <x v="8"/>
    <x v="0"/>
  </r>
  <r>
    <s v="HC-04552"/>
    <s v="P-0568"/>
    <s v="Female"/>
    <n v="65"/>
    <x v="4"/>
    <s v="General Consultation"/>
    <d v="2025-01-16T00:00:00"/>
    <d v="2025-01-20T00:00:00"/>
    <s v="Monday"/>
    <s v="Morning"/>
    <x v="1"/>
    <n v="4"/>
    <n v="1"/>
    <x v="0"/>
    <x v="0"/>
    <s v="SMS"/>
    <n v="6.2"/>
    <x v="22"/>
    <x v="1"/>
  </r>
  <r>
    <s v="HC-04553"/>
    <s v="P-0534"/>
    <s v="Female"/>
    <n v="23"/>
    <x v="5"/>
    <s v="General Consultation"/>
    <d v="2025-01-26T00:00:00"/>
    <d v="2025-02-24T00:00:00"/>
    <s v="Monday"/>
    <s v="Afternoon"/>
    <x v="3"/>
    <n v="29"/>
    <n v="5"/>
    <x v="0"/>
    <x v="0"/>
    <s v="Email"/>
    <n v="6.5"/>
    <x v="2"/>
    <x v="1"/>
  </r>
  <r>
    <s v="HC-04554"/>
    <s v="P-0036"/>
    <s v="Female"/>
    <n v="42"/>
    <x v="0"/>
    <s v="Follow-up"/>
    <d v="2025-10-05T00:00:00"/>
    <d v="2025-10-31T00:00:00"/>
    <s v="Friday"/>
    <s v="Morning"/>
    <x v="3"/>
    <n v="26"/>
    <n v="6"/>
    <x v="4"/>
    <x v="1"/>
    <s v="None"/>
    <n v="31.4"/>
    <x v="46"/>
    <x v="0"/>
  </r>
  <r>
    <s v="HC-04555"/>
    <s v="P-1797"/>
    <s v="Male"/>
    <n v="40"/>
    <x v="0"/>
    <s v="Diagnostic Test"/>
    <d v="2025-12-26T00:00:00"/>
    <d v="2026-01-23T00:00:00"/>
    <s v="Friday"/>
    <s v="Afternoon"/>
    <x v="3"/>
    <n v="28"/>
    <n v="1"/>
    <x v="0"/>
    <x v="1"/>
    <s v="None"/>
    <n v="1.5"/>
    <x v="13"/>
    <x v="1"/>
  </r>
  <r>
    <s v="HC-04556"/>
    <s v="P-1401"/>
    <s v="Female"/>
    <n v="59"/>
    <x v="3"/>
    <s v="Follow-up"/>
    <d v="2025-04-25T00:00:00"/>
    <d v="2025-04-29T00:00:00"/>
    <s v="Tuesday"/>
    <s v="Morning"/>
    <x v="1"/>
    <n v="4"/>
    <n v="2"/>
    <x v="1"/>
    <x v="0"/>
    <s v="WhatsApp"/>
    <n v="7.2"/>
    <x v="36"/>
    <x v="1"/>
  </r>
  <r>
    <s v="HC-04557"/>
    <s v="P-0549"/>
    <s v="Male"/>
    <n v="51"/>
    <x v="2"/>
    <s v="General Consultation"/>
    <d v="2025-02-10T00:00:00"/>
    <d v="2025-03-27T00:00:00"/>
    <s v="Thursday"/>
    <s v="Afternoon"/>
    <x v="2"/>
    <n v="45"/>
    <n v="0"/>
    <x v="0"/>
    <x v="0"/>
    <s v="WhatsApp"/>
    <n v="2.9"/>
    <x v="26"/>
    <x v="0"/>
  </r>
  <r>
    <s v="HC-04558"/>
    <s v="P-1324"/>
    <s v="Male"/>
    <n v="56"/>
    <x v="3"/>
    <s v="Diagnostic Test"/>
    <d v="2026-03-30T00:00:00"/>
    <d v="2026-04-15T00:00:00"/>
    <s v="Wednesday"/>
    <s v="Evening"/>
    <x v="3"/>
    <n v="16"/>
    <n v="0"/>
    <x v="0"/>
    <x v="0"/>
    <s v="WhatsApp"/>
    <n v="10.4"/>
    <x v="48"/>
    <x v="0"/>
  </r>
  <r>
    <s v="HC-04559"/>
    <s v="P-1543"/>
    <s v="Male"/>
    <n v="48"/>
    <x v="2"/>
    <s v="General Consultation"/>
    <d v="2025-12-29T00:00:00"/>
    <d v="2026-02-14T00:00:00"/>
    <s v="Saturday"/>
    <s v="Morning"/>
    <x v="2"/>
    <n v="47"/>
    <n v="5"/>
    <x v="0"/>
    <x v="0"/>
    <s v="SMS"/>
    <n v="5.7"/>
    <x v="31"/>
    <x v="0"/>
  </r>
  <r>
    <s v="HC-04560"/>
    <s v="P-0272"/>
    <s v="Male"/>
    <n v="64"/>
    <x v="3"/>
    <s v="Follow-up"/>
    <d v="2025-11-12T00:00:00"/>
    <d v="2025-12-21T00:00:00"/>
    <s v="Sunday"/>
    <s v="Morning"/>
    <x v="2"/>
    <n v="39"/>
    <n v="4"/>
    <x v="1"/>
    <x v="0"/>
    <s v="SMS"/>
    <n v="6.5"/>
    <x v="19"/>
    <x v="1"/>
  </r>
  <r>
    <s v="HC-04561"/>
    <s v="P-0073"/>
    <s v="Female"/>
    <n v="28"/>
    <x v="1"/>
    <s v="General Consultation"/>
    <d v="2025-08-22T00:00:00"/>
    <d v="2025-09-24T00:00:00"/>
    <s v="Wednesday"/>
    <s v="Evening"/>
    <x v="2"/>
    <n v="33"/>
    <n v="5"/>
    <x v="1"/>
    <x v="0"/>
    <s v="WhatsApp"/>
    <n v="0.8"/>
    <x v="46"/>
    <x v="1"/>
  </r>
  <r>
    <s v="HC-04562"/>
    <s v="P-0283"/>
    <s v="Female"/>
    <n v="63"/>
    <x v="3"/>
    <s v="Specialist Consultation"/>
    <d v="2025-07-31T00:00:00"/>
    <d v="2025-08-18T00:00:00"/>
    <s v="Monday"/>
    <s v="Morning"/>
    <x v="3"/>
    <n v="18"/>
    <n v="5"/>
    <x v="3"/>
    <x v="1"/>
    <s v="None"/>
    <n v="13.5"/>
    <x v="17"/>
    <x v="0"/>
  </r>
  <r>
    <s v="HC-04563"/>
    <s v="P-0830"/>
    <s v="Female"/>
    <n v="21"/>
    <x v="5"/>
    <s v="Specialist Consultation"/>
    <d v="2024-12-04T00:00:00"/>
    <d v="2025-01-12T00:00:00"/>
    <s v="Sunday"/>
    <s v="Afternoon"/>
    <x v="2"/>
    <n v="39"/>
    <n v="4"/>
    <x v="1"/>
    <x v="0"/>
    <s v="SMS"/>
    <n v="28.6"/>
    <x v="26"/>
    <x v="0"/>
  </r>
  <r>
    <s v="HC-04564"/>
    <s v="P-1382"/>
    <s v="Female"/>
    <n v="23"/>
    <x v="5"/>
    <s v="Specialist Consultation"/>
    <d v="2025-02-12T00:00:00"/>
    <d v="2025-04-13T00:00:00"/>
    <s v="Sunday"/>
    <s v="Afternoon"/>
    <x v="2"/>
    <n v="60"/>
    <n v="3"/>
    <x v="2"/>
    <x v="1"/>
    <s v="None"/>
    <n v="8.1"/>
    <x v="36"/>
    <x v="0"/>
  </r>
  <r>
    <s v="HC-04565"/>
    <s v="P-0849"/>
    <s v="Male"/>
    <n v="63"/>
    <x v="3"/>
    <s v="General Consultation"/>
    <d v="2026-03-10T00:00:00"/>
    <d v="2026-05-05T00:00:00"/>
    <s v="Tuesday"/>
    <s v="Evening"/>
    <x v="2"/>
    <n v="56"/>
    <n v="2"/>
    <x v="0"/>
    <x v="1"/>
    <s v="None"/>
    <n v="9"/>
    <x v="4"/>
    <x v="1"/>
  </r>
  <r>
    <s v="HC-04566"/>
    <s v="P-0231"/>
    <s v="Female"/>
    <n v="27"/>
    <x v="1"/>
    <s v="Follow-up"/>
    <d v="2025-05-11T00:00:00"/>
    <d v="2025-07-05T00:00:00"/>
    <s v="Saturday"/>
    <s v="Morning"/>
    <x v="2"/>
    <n v="55"/>
    <n v="3"/>
    <x v="0"/>
    <x v="1"/>
    <s v="None"/>
    <n v="14.6"/>
    <x v="35"/>
    <x v="0"/>
  </r>
  <r>
    <s v="HC-04567"/>
    <s v="P-0391"/>
    <s v="Male"/>
    <n v="66"/>
    <x v="4"/>
    <s v="General Consultation"/>
    <d v="2026-01-07T00:00:00"/>
    <d v="2026-01-20T00:00:00"/>
    <s v="Tuesday"/>
    <s v="Morning"/>
    <x v="0"/>
    <n v="13"/>
    <n v="3"/>
    <x v="2"/>
    <x v="0"/>
    <s v="SMS"/>
    <n v="8.6"/>
    <x v="47"/>
    <x v="0"/>
  </r>
  <r>
    <s v="HC-04568"/>
    <s v="P-1434"/>
    <s v="Male"/>
    <n v="26"/>
    <x v="1"/>
    <s v="Diagnostic Test"/>
    <d v="2025-12-16T00:00:00"/>
    <d v="2026-01-20T00:00:00"/>
    <s v="Tuesday"/>
    <s v="Morning"/>
    <x v="2"/>
    <n v="35"/>
    <n v="2"/>
    <x v="1"/>
    <x v="0"/>
    <s v="SMS"/>
    <n v="8.5"/>
    <x v="19"/>
    <x v="0"/>
  </r>
  <r>
    <s v="HC-04569"/>
    <s v="P-1438"/>
    <s v="Female"/>
    <n v="27"/>
    <x v="1"/>
    <s v="General Consultation"/>
    <d v="2025-05-25T00:00:00"/>
    <d v="2025-06-18T00:00:00"/>
    <s v="Wednesday"/>
    <s v="Morning"/>
    <x v="3"/>
    <n v="24"/>
    <n v="0"/>
    <x v="0"/>
    <x v="0"/>
    <s v="SMS"/>
    <n v="13.4"/>
    <x v="24"/>
    <x v="0"/>
  </r>
  <r>
    <s v="HC-04570"/>
    <s v="P-0399"/>
    <s v="Female"/>
    <n v="76"/>
    <x v="4"/>
    <s v="Follow-up"/>
    <d v="2025-02-23T00:00:00"/>
    <d v="2025-04-22T00:00:00"/>
    <s v="Tuesday"/>
    <s v="Morning"/>
    <x v="2"/>
    <n v="58"/>
    <n v="2"/>
    <x v="0"/>
    <x v="0"/>
    <s v="WhatsApp"/>
    <n v="1.7"/>
    <x v="26"/>
    <x v="0"/>
  </r>
  <r>
    <s v="HC-04571"/>
    <s v="P-0375"/>
    <s v="Female"/>
    <n v="29"/>
    <x v="1"/>
    <s v="Specialist Consultation"/>
    <d v="2025-11-17T00:00:00"/>
    <d v="2026-01-13T00:00:00"/>
    <s v="Tuesday"/>
    <s v="Evening"/>
    <x v="2"/>
    <n v="57"/>
    <n v="6"/>
    <x v="0"/>
    <x v="0"/>
    <s v="SMS"/>
    <n v="10.199999999999999"/>
    <x v="12"/>
    <x v="2"/>
  </r>
  <r>
    <s v="HC-04572"/>
    <s v="P-0869"/>
    <s v="Female"/>
    <n v="75"/>
    <x v="4"/>
    <s v="General Consultation"/>
    <d v="2024-12-31T00:00:00"/>
    <d v="2025-02-21T00:00:00"/>
    <s v="Friday"/>
    <s v="Morning"/>
    <x v="2"/>
    <n v="52"/>
    <n v="2"/>
    <x v="1"/>
    <x v="0"/>
    <s v="SMS"/>
    <n v="5.6"/>
    <x v="12"/>
    <x v="1"/>
  </r>
  <r>
    <s v="HC-04573"/>
    <s v="P-0126"/>
    <s v="Male"/>
    <n v="39"/>
    <x v="0"/>
    <s v="General Consultation"/>
    <d v="2025-09-19T00:00:00"/>
    <d v="2025-09-28T00:00:00"/>
    <s v="Sunday"/>
    <s v="Morning"/>
    <x v="0"/>
    <n v="9"/>
    <n v="5"/>
    <x v="1"/>
    <x v="0"/>
    <s v="SMS"/>
    <n v="18.8"/>
    <x v="20"/>
    <x v="2"/>
  </r>
  <r>
    <s v="HC-04574"/>
    <s v="P-0341"/>
    <s v="Male"/>
    <n v="68"/>
    <x v="4"/>
    <s v="General Consultation"/>
    <d v="2026-04-11T00:00:00"/>
    <d v="2026-04-30T00:00:00"/>
    <s v="Thursday"/>
    <s v="Morning"/>
    <x v="3"/>
    <n v="19"/>
    <n v="2"/>
    <x v="0"/>
    <x v="0"/>
    <s v="SMS"/>
    <n v="10.199999999999999"/>
    <x v="25"/>
    <x v="2"/>
  </r>
  <r>
    <s v="HC-04575"/>
    <s v="P-1160"/>
    <s v="Male"/>
    <n v="77"/>
    <x v="4"/>
    <s v="Follow-up"/>
    <d v="2025-12-12T00:00:00"/>
    <d v="2026-01-24T00:00:00"/>
    <s v="Saturday"/>
    <s v="Morning"/>
    <x v="2"/>
    <n v="43"/>
    <n v="2"/>
    <x v="1"/>
    <x v="0"/>
    <s v="SMS"/>
    <n v="5.6"/>
    <x v="36"/>
    <x v="0"/>
  </r>
  <r>
    <s v="HC-04576"/>
    <s v="P-0460"/>
    <s v="Female"/>
    <n v="25"/>
    <x v="1"/>
    <s v="Diagnostic Test"/>
    <d v="2026-01-08T00:00:00"/>
    <d v="2026-02-22T00:00:00"/>
    <s v="Sunday"/>
    <s v="Afternoon"/>
    <x v="2"/>
    <n v="45"/>
    <n v="7"/>
    <x v="1"/>
    <x v="0"/>
    <s v="SMS"/>
    <n v="12.1"/>
    <x v="5"/>
    <x v="0"/>
  </r>
  <r>
    <s v="HC-04577"/>
    <s v="P-1433"/>
    <s v="Male"/>
    <n v="38"/>
    <x v="0"/>
    <s v="Follow-up"/>
    <d v="2025-01-25T00:00:00"/>
    <d v="2025-02-15T00:00:00"/>
    <s v="Saturday"/>
    <s v="Morning"/>
    <x v="3"/>
    <n v="21"/>
    <n v="2"/>
    <x v="0"/>
    <x v="0"/>
    <s v="WhatsApp"/>
    <n v="14.7"/>
    <x v="35"/>
    <x v="1"/>
  </r>
  <r>
    <s v="HC-04578"/>
    <s v="P-1042"/>
    <s v="Male"/>
    <n v="54"/>
    <x v="2"/>
    <s v="Diagnostic Test"/>
    <d v="2025-04-12T00:00:00"/>
    <d v="2025-04-20T00:00:00"/>
    <s v="Sunday"/>
    <s v="Afternoon"/>
    <x v="0"/>
    <n v="8"/>
    <n v="5"/>
    <x v="1"/>
    <x v="0"/>
    <s v="WhatsApp"/>
    <n v="8.6999999999999993"/>
    <x v="53"/>
    <x v="1"/>
  </r>
  <r>
    <s v="HC-04579"/>
    <s v="P-0611"/>
    <s v="Prefer not to say"/>
    <n v="72"/>
    <x v="4"/>
    <s v="General Consultation"/>
    <d v="2025-05-23T00:00:00"/>
    <d v="2025-05-31T00:00:00"/>
    <s v="Saturday"/>
    <s v="Afternoon"/>
    <x v="0"/>
    <n v="8"/>
    <n v="4"/>
    <x v="0"/>
    <x v="0"/>
    <s v="SMS"/>
    <n v="20.6"/>
    <x v="42"/>
    <x v="1"/>
  </r>
  <r>
    <s v="HC-04580"/>
    <s v="P-1535"/>
    <s v="Male"/>
    <n v="29"/>
    <x v="1"/>
    <s v="General Consultation"/>
    <d v="2025-04-29T00:00:00"/>
    <d v="2025-06-09T00:00:00"/>
    <s v="Monday"/>
    <s v="Morning"/>
    <x v="2"/>
    <n v="41"/>
    <n v="6"/>
    <x v="0"/>
    <x v="1"/>
    <s v="None"/>
    <n v="18"/>
    <x v="20"/>
    <x v="1"/>
  </r>
  <r>
    <s v="HC-04581"/>
    <s v="P-0828"/>
    <s v="Male"/>
    <n v="29"/>
    <x v="1"/>
    <s v="Diagnostic Test"/>
    <d v="2025-03-20T00:00:00"/>
    <d v="2025-04-16T00:00:00"/>
    <s v="Wednesday"/>
    <s v="Afternoon"/>
    <x v="3"/>
    <n v="27"/>
    <n v="3"/>
    <x v="1"/>
    <x v="1"/>
    <s v="None"/>
    <n v="10"/>
    <x v="10"/>
    <x v="0"/>
  </r>
  <r>
    <s v="HC-04582"/>
    <s v="P-1065"/>
    <s v="Female"/>
    <n v="41"/>
    <x v="0"/>
    <s v="Specialist Consultation"/>
    <d v="2026-05-17T00:00:00"/>
    <d v="2026-06-15T00:00:00"/>
    <s v="Monday"/>
    <s v="Morning"/>
    <x v="3"/>
    <n v="29"/>
    <n v="0"/>
    <x v="0"/>
    <x v="1"/>
    <s v="None"/>
    <n v="6.1"/>
    <x v="13"/>
    <x v="0"/>
  </r>
  <r>
    <s v="HC-04583"/>
    <s v="P-0925"/>
    <s v="Male"/>
    <n v="30"/>
    <x v="1"/>
    <s v="General Consultation"/>
    <d v="2025-02-11T00:00:00"/>
    <d v="2025-04-01T00:00:00"/>
    <s v="Tuesday"/>
    <s v="Morning"/>
    <x v="2"/>
    <n v="49"/>
    <n v="7"/>
    <x v="3"/>
    <x v="0"/>
    <s v="SMS"/>
    <n v="1.8"/>
    <x v="31"/>
    <x v="0"/>
  </r>
  <r>
    <s v="HC-04584"/>
    <s v="P-0380"/>
    <s v="Female"/>
    <n v="34"/>
    <x v="1"/>
    <s v="Follow-up"/>
    <d v="2026-01-21T00:00:00"/>
    <d v="2026-01-22T00:00:00"/>
    <s v="Thursday"/>
    <s v="Evening"/>
    <x v="1"/>
    <n v="1"/>
    <n v="4"/>
    <x v="0"/>
    <x v="1"/>
    <s v="None"/>
    <n v="7.1"/>
    <x v="20"/>
    <x v="1"/>
  </r>
  <r>
    <s v="HC-04585"/>
    <s v="P-0576"/>
    <s v="Female"/>
    <n v="26"/>
    <x v="1"/>
    <s v="Diagnostic Test"/>
    <d v="2025-10-02T00:00:00"/>
    <d v="2025-11-17T00:00:00"/>
    <s v="Monday"/>
    <s v="Evening"/>
    <x v="2"/>
    <n v="46"/>
    <n v="2"/>
    <x v="0"/>
    <x v="1"/>
    <s v="None"/>
    <n v="5.7"/>
    <x v="8"/>
    <x v="0"/>
  </r>
  <r>
    <s v="HC-04586"/>
    <s v="P-0996"/>
    <s v="Female"/>
    <n v="70"/>
    <x v="4"/>
    <s v="Specialist Consultation"/>
    <d v="2025-11-14T00:00:00"/>
    <d v="2025-11-30T00:00:00"/>
    <s v="Sunday"/>
    <s v="Morning"/>
    <x v="3"/>
    <n v="16"/>
    <n v="0"/>
    <x v="0"/>
    <x v="1"/>
    <s v="None"/>
    <n v="9.8000000000000007"/>
    <x v="23"/>
    <x v="1"/>
  </r>
  <r>
    <s v="HC-04587"/>
    <s v="P-0021"/>
    <s v="Female"/>
    <n v="68"/>
    <x v="4"/>
    <s v="Follow-up"/>
    <d v="2025-03-03T00:00:00"/>
    <d v="2025-04-28T00:00:00"/>
    <s v="Monday"/>
    <s v="Afternoon"/>
    <x v="2"/>
    <n v="56"/>
    <n v="1"/>
    <x v="0"/>
    <x v="0"/>
    <s v="WhatsApp"/>
    <n v="8"/>
    <x v="7"/>
    <x v="0"/>
  </r>
  <r>
    <s v="HC-04588"/>
    <s v="P-0316"/>
    <s v="Female"/>
    <n v="27"/>
    <x v="1"/>
    <s v="General Consultation"/>
    <d v="2025-04-20T00:00:00"/>
    <d v="2025-06-17T00:00:00"/>
    <s v="Tuesday"/>
    <s v="Morning"/>
    <x v="2"/>
    <n v="58"/>
    <n v="6"/>
    <x v="1"/>
    <x v="1"/>
    <s v="None"/>
    <n v="8.8000000000000007"/>
    <x v="25"/>
    <x v="0"/>
  </r>
  <r>
    <s v="HC-04589"/>
    <s v="P-0055"/>
    <s v="Female"/>
    <n v="51"/>
    <x v="2"/>
    <s v="General Consultation"/>
    <d v="2025-10-29T00:00:00"/>
    <d v="2025-11-28T00:00:00"/>
    <s v="Friday"/>
    <s v="Afternoon"/>
    <x v="3"/>
    <n v="30"/>
    <n v="2"/>
    <x v="1"/>
    <x v="0"/>
    <s v="SMS"/>
    <n v="9.9"/>
    <x v="25"/>
    <x v="1"/>
  </r>
  <r>
    <s v="HC-04590"/>
    <s v="P-0930"/>
    <s v="Male"/>
    <n v="58"/>
    <x v="3"/>
    <s v="Follow-up"/>
    <d v="2025-05-25T00:00:00"/>
    <d v="2025-06-13T00:00:00"/>
    <s v="Friday"/>
    <s v="Afternoon"/>
    <x v="3"/>
    <n v="19"/>
    <n v="1"/>
    <x v="0"/>
    <x v="0"/>
    <s v="SMS"/>
    <n v="16.8"/>
    <x v="49"/>
    <x v="1"/>
  </r>
  <r>
    <s v="HC-04591"/>
    <s v="P-0608"/>
    <s v="Male"/>
    <n v="57"/>
    <x v="3"/>
    <s v="Follow-up"/>
    <d v="2025-12-31T00:00:00"/>
    <d v="2026-01-14T00:00:00"/>
    <s v="Wednesday"/>
    <s v="Morning"/>
    <x v="0"/>
    <n v="14"/>
    <n v="2"/>
    <x v="0"/>
    <x v="0"/>
    <s v="SMS"/>
    <n v="6.3"/>
    <x v="28"/>
    <x v="2"/>
  </r>
  <r>
    <s v="HC-04592"/>
    <s v="P-0399"/>
    <s v="Male"/>
    <n v="79"/>
    <x v="4"/>
    <s v="General Consultation"/>
    <d v="2025-01-11T00:00:00"/>
    <d v="2025-01-22T00:00:00"/>
    <s v="Wednesday"/>
    <s v="Evening"/>
    <x v="0"/>
    <n v="11"/>
    <n v="3"/>
    <x v="0"/>
    <x v="0"/>
    <s v="WhatsApp"/>
    <n v="6.6"/>
    <x v="47"/>
    <x v="1"/>
  </r>
  <r>
    <s v="HC-04593"/>
    <s v="P-1748"/>
    <s v="Male"/>
    <n v="58"/>
    <x v="3"/>
    <s v="General Consultation"/>
    <d v="2024-12-11T00:00:00"/>
    <d v="2025-02-09T00:00:00"/>
    <s v="Sunday"/>
    <s v="Afternoon"/>
    <x v="2"/>
    <n v="60"/>
    <n v="5"/>
    <x v="1"/>
    <x v="1"/>
    <s v="None"/>
    <n v="13.3"/>
    <x v="36"/>
    <x v="0"/>
  </r>
  <r>
    <s v="HC-04594"/>
    <s v="P-1409"/>
    <s v="Female"/>
    <n v="61"/>
    <x v="3"/>
    <s v="General Consultation"/>
    <d v="2026-01-22T00:00:00"/>
    <d v="2026-02-02T00:00:00"/>
    <s v="Monday"/>
    <s v="Morning"/>
    <x v="0"/>
    <n v="11"/>
    <n v="3"/>
    <x v="0"/>
    <x v="1"/>
    <s v="None"/>
    <n v="21.3"/>
    <x v="22"/>
    <x v="0"/>
  </r>
  <r>
    <s v="HC-04595"/>
    <s v="P-0944"/>
    <s v="Male"/>
    <n v="20"/>
    <x v="5"/>
    <s v="Follow-up"/>
    <d v="2025-11-06T00:00:00"/>
    <d v="2025-12-03T00:00:00"/>
    <s v="Wednesday"/>
    <s v="Afternoon"/>
    <x v="3"/>
    <n v="27"/>
    <n v="5"/>
    <x v="0"/>
    <x v="0"/>
    <s v="SMS"/>
    <n v="11.3"/>
    <x v="3"/>
    <x v="1"/>
  </r>
  <r>
    <s v="HC-04596"/>
    <s v="P-1536"/>
    <s v="Male"/>
    <n v="22"/>
    <x v="5"/>
    <s v="General Consultation"/>
    <d v="2024-12-26T00:00:00"/>
    <d v="2025-01-24T00:00:00"/>
    <s v="Friday"/>
    <s v="Afternoon"/>
    <x v="3"/>
    <n v="29"/>
    <n v="5"/>
    <x v="1"/>
    <x v="0"/>
    <s v="SMS"/>
    <n v="31.2"/>
    <x v="25"/>
    <x v="0"/>
  </r>
  <r>
    <s v="HC-04597"/>
    <s v="P-0016"/>
    <s v="Female"/>
    <n v="56"/>
    <x v="3"/>
    <s v="General Consultation"/>
    <d v="2026-03-26T00:00:00"/>
    <d v="2026-05-06T00:00:00"/>
    <s v="Wednesday"/>
    <s v="Morning"/>
    <x v="2"/>
    <n v="41"/>
    <n v="3"/>
    <x v="1"/>
    <x v="0"/>
    <s v="WhatsApp"/>
    <n v="8.4"/>
    <x v="23"/>
    <x v="0"/>
  </r>
  <r>
    <s v="HC-04598"/>
    <s v="P-1124"/>
    <s v="Male"/>
    <n v="75"/>
    <x v="4"/>
    <s v="General Consultation"/>
    <d v="2024-11-13T00:00:00"/>
    <d v="2025-01-03T00:00:00"/>
    <s v="Friday"/>
    <s v="Afternoon"/>
    <x v="2"/>
    <n v="51"/>
    <n v="5"/>
    <x v="0"/>
    <x v="0"/>
    <s v="WhatsApp"/>
    <n v="11.8"/>
    <x v="36"/>
    <x v="0"/>
  </r>
  <r>
    <s v="HC-04599"/>
    <s v="P-1768"/>
    <s v="Male"/>
    <n v="43"/>
    <x v="0"/>
    <s v="Specialist Consultation"/>
    <d v="2026-05-03T00:00:00"/>
    <d v="2026-06-06T00:00:00"/>
    <s v="Saturday"/>
    <s v="Afternoon"/>
    <x v="2"/>
    <n v="34"/>
    <n v="3"/>
    <x v="1"/>
    <x v="0"/>
    <s v="SMS"/>
    <n v="6.4"/>
    <x v="15"/>
    <x v="0"/>
  </r>
  <r>
    <s v="HC-04600"/>
    <s v="P-0711"/>
    <s v="Female"/>
    <n v="58"/>
    <x v="3"/>
    <s v="Follow-up"/>
    <d v="2025-12-19T00:00:00"/>
    <d v="2026-02-03T00:00:00"/>
    <s v="Tuesday"/>
    <s v="Evening"/>
    <x v="2"/>
    <n v="46"/>
    <n v="3"/>
    <x v="1"/>
    <x v="0"/>
    <s v="SMS"/>
    <n v="36.1"/>
    <x v="26"/>
    <x v="0"/>
  </r>
  <r>
    <s v="HC-04601"/>
    <s v="P-1740"/>
    <s v="Male"/>
    <n v="31"/>
    <x v="1"/>
    <s v="General Consultation"/>
    <d v="2026-05-21T00:00:00"/>
    <d v="2026-06-24T00:00:00"/>
    <s v="Wednesday"/>
    <s v="Morning"/>
    <x v="2"/>
    <n v="34"/>
    <n v="5"/>
    <x v="0"/>
    <x v="0"/>
    <s v="WhatsApp"/>
    <n v="14.9"/>
    <x v="26"/>
    <x v="1"/>
  </r>
  <r>
    <s v="HC-04602"/>
    <s v="P-1509"/>
    <s v="Female"/>
    <n v="46"/>
    <x v="2"/>
    <s v="Follow-up"/>
    <d v="2026-05-08T00:00:00"/>
    <d v="2026-06-03T00:00:00"/>
    <s v="Wednesday"/>
    <s v="Afternoon"/>
    <x v="3"/>
    <n v="26"/>
    <n v="0"/>
    <x v="0"/>
    <x v="0"/>
    <s v="SMS"/>
    <n v="10.8"/>
    <x v="45"/>
    <x v="0"/>
  </r>
  <r>
    <s v="HC-04603"/>
    <s v="P-1367"/>
    <s v="Male"/>
    <n v="65"/>
    <x v="4"/>
    <s v="General Consultation"/>
    <d v="2025-06-11T00:00:00"/>
    <d v="2025-06-20T00:00:00"/>
    <s v="Friday"/>
    <s v="Afternoon"/>
    <x v="0"/>
    <n v="9"/>
    <n v="4"/>
    <x v="0"/>
    <x v="0"/>
    <s v="SMS"/>
    <n v="37.5"/>
    <x v="22"/>
    <x v="1"/>
  </r>
  <r>
    <s v="HC-04604"/>
    <s v="P-0655"/>
    <s v="Male"/>
    <n v="59"/>
    <x v="3"/>
    <s v="Follow-up"/>
    <d v="2026-02-06T00:00:00"/>
    <d v="2026-02-18T00:00:00"/>
    <s v="Wednesday"/>
    <s v="Evening"/>
    <x v="0"/>
    <n v="12"/>
    <n v="3"/>
    <x v="0"/>
    <x v="0"/>
    <s v="SMS"/>
    <n v="5.9"/>
    <x v="14"/>
    <x v="1"/>
  </r>
  <r>
    <s v="HC-04605"/>
    <s v="P-0896"/>
    <s v="Female"/>
    <n v="25"/>
    <x v="1"/>
    <s v="Follow-up"/>
    <d v="2025-03-31T00:00:00"/>
    <d v="2025-04-26T00:00:00"/>
    <s v="Saturday"/>
    <s v="Morning"/>
    <x v="3"/>
    <n v="26"/>
    <n v="5"/>
    <x v="0"/>
    <x v="0"/>
    <s v="SMS"/>
    <n v="1.3"/>
    <x v="6"/>
    <x v="1"/>
  </r>
  <r>
    <s v="HC-04606"/>
    <s v="P-0634"/>
    <s v="Male"/>
    <n v="73"/>
    <x v="4"/>
    <s v="Follow-up"/>
    <d v="2025-09-13T00:00:00"/>
    <d v="2025-09-15T00:00:00"/>
    <s v="Monday"/>
    <s v="Afternoon"/>
    <x v="1"/>
    <n v="2"/>
    <n v="1"/>
    <x v="0"/>
    <x v="1"/>
    <s v="None"/>
    <n v="4.5"/>
    <x v="10"/>
    <x v="2"/>
  </r>
  <r>
    <s v="HC-04607"/>
    <s v="P-1196"/>
    <s v="Male"/>
    <n v="76"/>
    <x v="4"/>
    <s v="Follow-up"/>
    <d v="2025-04-23T00:00:00"/>
    <d v="2025-05-12T00:00:00"/>
    <s v="Monday"/>
    <s v="Evening"/>
    <x v="3"/>
    <n v="19"/>
    <n v="6"/>
    <x v="1"/>
    <x v="0"/>
    <s v="Email"/>
    <n v="5.5"/>
    <x v="45"/>
    <x v="1"/>
  </r>
  <r>
    <s v="HC-04608"/>
    <s v="P-0225"/>
    <s v="Female"/>
    <n v="48"/>
    <x v="2"/>
    <s v="General Consultation"/>
    <d v="2025-08-26T00:00:00"/>
    <d v="2025-09-23T00:00:00"/>
    <s v="Tuesday"/>
    <s v="Morning"/>
    <x v="3"/>
    <n v="28"/>
    <n v="2"/>
    <x v="1"/>
    <x v="0"/>
    <s v="WhatsApp"/>
    <n v="11.3"/>
    <x v="20"/>
    <x v="0"/>
  </r>
  <r>
    <s v="HC-04609"/>
    <s v="P-1318"/>
    <s v="Male"/>
    <n v="39"/>
    <x v="0"/>
    <s v="General Consultation"/>
    <d v="2026-03-25T00:00:00"/>
    <d v="2026-04-22T00:00:00"/>
    <s v="Wednesday"/>
    <s v="Morning"/>
    <x v="3"/>
    <n v="28"/>
    <n v="2"/>
    <x v="0"/>
    <x v="0"/>
    <s v="WhatsApp"/>
    <n v="14.4"/>
    <x v="27"/>
    <x v="1"/>
  </r>
  <r>
    <s v="HC-04610"/>
    <s v="P-1563"/>
    <s v="Male"/>
    <n v="51"/>
    <x v="2"/>
    <s v="General Consultation"/>
    <d v="2025-07-09T00:00:00"/>
    <d v="2025-08-27T00:00:00"/>
    <s v="Wednesday"/>
    <s v="Afternoon"/>
    <x v="2"/>
    <n v="49"/>
    <n v="5"/>
    <x v="1"/>
    <x v="1"/>
    <s v="None"/>
    <n v="2.8"/>
    <x v="8"/>
    <x v="1"/>
  </r>
  <r>
    <s v="HC-04611"/>
    <s v="P-1157"/>
    <s v="Female"/>
    <n v="68"/>
    <x v="4"/>
    <s v="Follow-up"/>
    <d v="2024-12-23T00:00:00"/>
    <d v="2025-02-20T00:00:00"/>
    <s v="Thursday"/>
    <s v="Afternoon"/>
    <x v="2"/>
    <n v="59"/>
    <n v="0"/>
    <x v="0"/>
    <x v="0"/>
    <s v="SMS"/>
    <n v="12.2"/>
    <x v="13"/>
    <x v="1"/>
  </r>
  <r>
    <s v="HC-04612"/>
    <s v="P-0250"/>
    <s v="Male"/>
    <n v="46"/>
    <x v="2"/>
    <s v="Follow-up"/>
    <d v="2025-05-14T00:00:00"/>
    <d v="2025-06-27T00:00:00"/>
    <s v="Friday"/>
    <s v="Afternoon"/>
    <x v="2"/>
    <n v="44"/>
    <n v="3"/>
    <x v="0"/>
    <x v="0"/>
    <s v="WhatsApp"/>
    <n v="1.6"/>
    <x v="7"/>
    <x v="0"/>
  </r>
  <r>
    <s v="HC-04613"/>
    <s v="P-0037"/>
    <s v="Female"/>
    <n v="19"/>
    <x v="5"/>
    <s v="Specialist Consultation"/>
    <d v="2026-03-02T00:00:00"/>
    <d v="2026-03-06T00:00:00"/>
    <s v="Friday"/>
    <s v="Morning"/>
    <x v="1"/>
    <n v="4"/>
    <n v="5"/>
    <x v="1"/>
    <x v="0"/>
    <s v="Email"/>
    <n v="3.9"/>
    <x v="37"/>
    <x v="1"/>
  </r>
  <r>
    <s v="HC-04614"/>
    <s v="P-1706"/>
    <s v="Female"/>
    <n v="22"/>
    <x v="5"/>
    <s v="General Consultation"/>
    <d v="2025-09-18T00:00:00"/>
    <d v="2025-10-12T00:00:00"/>
    <s v="Sunday"/>
    <s v="Afternoon"/>
    <x v="3"/>
    <n v="24"/>
    <n v="3"/>
    <x v="1"/>
    <x v="0"/>
    <s v="SMS"/>
    <n v="15.9"/>
    <x v="38"/>
    <x v="0"/>
  </r>
  <r>
    <s v="HC-04615"/>
    <s v="P-0608"/>
    <s v="Male"/>
    <n v="69"/>
    <x v="4"/>
    <s v="Follow-up"/>
    <d v="2025-09-19T00:00:00"/>
    <d v="2025-11-02T00:00:00"/>
    <s v="Sunday"/>
    <s v="Morning"/>
    <x v="2"/>
    <n v="44"/>
    <n v="1"/>
    <x v="1"/>
    <x v="1"/>
    <s v="None"/>
    <n v="21.3"/>
    <x v="20"/>
    <x v="1"/>
  </r>
  <r>
    <s v="HC-04616"/>
    <s v="P-1318"/>
    <s v="Female"/>
    <n v="67"/>
    <x v="4"/>
    <s v="General Consultation"/>
    <d v="2025-07-19T00:00:00"/>
    <d v="2025-08-24T00:00:00"/>
    <s v="Sunday"/>
    <s v="Afternoon"/>
    <x v="2"/>
    <n v="36"/>
    <n v="4"/>
    <x v="1"/>
    <x v="1"/>
    <s v="None"/>
    <n v="16.2"/>
    <x v="26"/>
    <x v="1"/>
  </r>
  <r>
    <s v="HC-04617"/>
    <s v="P-1142"/>
    <s v="Female"/>
    <n v="66"/>
    <x v="4"/>
    <s v="General Consultation"/>
    <d v="2025-05-13T00:00:00"/>
    <d v="2025-06-09T00:00:00"/>
    <s v="Monday"/>
    <s v="Morning"/>
    <x v="3"/>
    <n v="27"/>
    <n v="4"/>
    <x v="1"/>
    <x v="0"/>
    <s v="WhatsApp"/>
    <n v="7"/>
    <x v="47"/>
    <x v="0"/>
  </r>
  <r>
    <s v="HC-04618"/>
    <s v="P-1515"/>
    <s v="Male"/>
    <n v="25"/>
    <x v="1"/>
    <s v="Specialist Consultation"/>
    <d v="2025-10-28T00:00:00"/>
    <d v="2025-11-23T00:00:00"/>
    <s v="Sunday"/>
    <s v="Morning"/>
    <x v="3"/>
    <n v="26"/>
    <n v="5"/>
    <x v="2"/>
    <x v="0"/>
    <s v="Email"/>
    <n v="5.0999999999999996"/>
    <x v="12"/>
    <x v="1"/>
  </r>
  <r>
    <s v="HC-04619"/>
    <s v="P-0338"/>
    <s v="Male"/>
    <n v="28"/>
    <x v="1"/>
    <s v="General Consultation"/>
    <d v="2025-11-18T00:00:00"/>
    <d v="2025-12-12T00:00:00"/>
    <s v="Friday"/>
    <s v="Evening"/>
    <x v="3"/>
    <n v="24"/>
    <n v="1"/>
    <x v="1"/>
    <x v="0"/>
    <s v="SMS"/>
    <m/>
    <x v="7"/>
    <x v="0"/>
  </r>
  <r>
    <s v="HC-04620"/>
    <s v="P-0873"/>
    <s v="Male"/>
    <n v="42"/>
    <x v="0"/>
    <s v="General Consultation"/>
    <d v="2026-04-01T00:00:00"/>
    <d v="2026-05-06T00:00:00"/>
    <s v="Wednesday"/>
    <s v="Afternoon"/>
    <x v="2"/>
    <n v="35"/>
    <n v="1"/>
    <x v="1"/>
    <x v="1"/>
    <s v="None"/>
    <n v="4.5"/>
    <x v="31"/>
    <x v="1"/>
  </r>
  <r>
    <s v="HC-04621"/>
    <s v="P-0890"/>
    <s v="Male"/>
    <n v="32"/>
    <x v="1"/>
    <s v="General Consultation"/>
    <d v="2025-11-24T00:00:00"/>
    <d v="2025-12-04T00:00:00"/>
    <s v="Thursday"/>
    <s v="Morning"/>
    <x v="0"/>
    <n v="10"/>
    <n v="3"/>
    <x v="0"/>
    <x v="0"/>
    <s v="Email"/>
    <n v="12.3"/>
    <x v="10"/>
    <x v="0"/>
  </r>
  <r>
    <s v="HC-04622"/>
    <s v="P-0453"/>
    <s v="Male"/>
    <n v="42"/>
    <x v="0"/>
    <s v="Specialist Consultation"/>
    <d v="2026-05-28T00:00:00"/>
    <d v="2026-06-28T00:00:00"/>
    <s v="Sunday"/>
    <s v="Morning"/>
    <x v="2"/>
    <n v="31"/>
    <n v="1"/>
    <x v="0"/>
    <x v="1"/>
    <s v="None"/>
    <n v="6"/>
    <x v="47"/>
    <x v="0"/>
  </r>
  <r>
    <s v="HC-04623"/>
    <s v="P-1692"/>
    <s v="Male"/>
    <n v="53"/>
    <x v="2"/>
    <s v="General Consultation"/>
    <d v="2026-03-16T00:00:00"/>
    <d v="2026-03-28T00:00:00"/>
    <s v="Saturday"/>
    <s v="Afternoon"/>
    <x v="0"/>
    <n v="12"/>
    <n v="2"/>
    <x v="0"/>
    <x v="1"/>
    <s v="None"/>
    <n v="11.6"/>
    <x v="21"/>
    <x v="1"/>
  </r>
  <r>
    <s v="HC-04624"/>
    <s v="P-0884"/>
    <s v="Female"/>
    <n v="35"/>
    <x v="0"/>
    <s v="Diagnostic Test"/>
    <d v="2025-01-02T00:00:00"/>
    <d v="2025-02-12T00:00:00"/>
    <s v="Wednesday"/>
    <s v="Evening"/>
    <x v="2"/>
    <n v="41"/>
    <n v="5"/>
    <x v="1"/>
    <x v="0"/>
    <s v="SMS"/>
    <m/>
    <x v="11"/>
    <x v="1"/>
  </r>
  <r>
    <s v="HC-04625"/>
    <s v="P-1485"/>
    <s v="Female"/>
    <n v="25"/>
    <x v="1"/>
    <s v="Diagnostic Test"/>
    <d v="2025-06-12T00:00:00"/>
    <d v="2025-08-03T00:00:00"/>
    <s v="Sunday"/>
    <s v="Morning"/>
    <x v="2"/>
    <n v="52"/>
    <n v="1"/>
    <x v="0"/>
    <x v="0"/>
    <s v="WhatsApp"/>
    <n v="22.3"/>
    <x v="4"/>
    <x v="0"/>
  </r>
  <r>
    <s v="HC-04626"/>
    <s v="P-1444"/>
    <s v="Female"/>
    <n v="43"/>
    <x v="0"/>
    <s v="Specialist Consultation"/>
    <d v="2025-06-30T00:00:00"/>
    <d v="2025-07-30T00:00:00"/>
    <s v="Wednesday"/>
    <s v="Evening"/>
    <x v="3"/>
    <n v="30"/>
    <n v="4"/>
    <x v="0"/>
    <x v="0"/>
    <s v="SMS"/>
    <n v="3"/>
    <x v="49"/>
    <x v="0"/>
  </r>
  <r>
    <s v="HC-04627"/>
    <s v="P-0626"/>
    <s v="Female"/>
    <n v="63"/>
    <x v="3"/>
    <s v="General Consultation"/>
    <d v="2024-12-10T00:00:00"/>
    <d v="2025-01-02T00:00:00"/>
    <s v="Thursday"/>
    <s v="Morning"/>
    <x v="3"/>
    <n v="23"/>
    <n v="3"/>
    <x v="1"/>
    <x v="0"/>
    <s v="SMS"/>
    <n v="4.3"/>
    <x v="26"/>
    <x v="1"/>
  </r>
  <r>
    <s v="HC-04628"/>
    <s v="P-0848"/>
    <s v="Female"/>
    <n v="56"/>
    <x v="3"/>
    <s v="Follow-up"/>
    <d v="2025-02-11T00:00:00"/>
    <d v="2025-04-09T00:00:00"/>
    <s v="Wednesday"/>
    <s v="Afternoon"/>
    <x v="2"/>
    <n v="57"/>
    <n v="0"/>
    <x v="0"/>
    <x v="1"/>
    <s v="None"/>
    <n v="9.8000000000000007"/>
    <x v="51"/>
    <x v="0"/>
  </r>
  <r>
    <s v="HC-04629"/>
    <s v="P-0679"/>
    <s v="Male"/>
    <n v="38"/>
    <x v="0"/>
    <s v="General Consultation"/>
    <d v="2026-01-12T00:00:00"/>
    <d v="2026-02-21T00:00:00"/>
    <s v="Saturday"/>
    <s v="Morning"/>
    <x v="2"/>
    <n v="40"/>
    <n v="3"/>
    <x v="1"/>
    <x v="0"/>
    <s v="SMS"/>
    <n v="20.2"/>
    <x v="18"/>
    <x v="0"/>
  </r>
  <r>
    <s v="HC-04630"/>
    <s v="P-0495"/>
    <s v="Male"/>
    <n v="37"/>
    <x v="0"/>
    <s v="Specialist Consultation"/>
    <d v="2025-06-16T00:00:00"/>
    <d v="2025-07-12T00:00:00"/>
    <s v="Saturday"/>
    <s v="Morning"/>
    <x v="3"/>
    <n v="26"/>
    <n v="4"/>
    <x v="0"/>
    <x v="0"/>
    <s v="SMS"/>
    <n v="3.7"/>
    <x v="10"/>
    <x v="1"/>
  </r>
  <r>
    <s v="HC-04631"/>
    <s v="P-0203"/>
    <s v="Male"/>
    <n v="54"/>
    <x v="2"/>
    <s v="Follow-up"/>
    <d v="2025-03-21T00:00:00"/>
    <d v="2025-03-22T00:00:00"/>
    <s v="Saturday"/>
    <s v="Evening"/>
    <x v="1"/>
    <n v="1"/>
    <n v="5"/>
    <x v="0"/>
    <x v="0"/>
    <s v="SMS"/>
    <n v="7.1"/>
    <x v="13"/>
    <x v="0"/>
  </r>
  <r>
    <s v="HC-04632"/>
    <s v="P-1008"/>
    <s v="Female"/>
    <n v="28"/>
    <x v="1"/>
    <s v="General Consultation"/>
    <d v="2025-06-06T00:00:00"/>
    <d v="2025-06-06T00:00:00"/>
    <s v="Friday"/>
    <s v="Morning"/>
    <x v="1"/>
    <n v="0"/>
    <n v="2"/>
    <x v="0"/>
    <x v="0"/>
    <s v="WhatsApp"/>
    <n v="8.6"/>
    <x v="4"/>
    <x v="1"/>
  </r>
  <r>
    <s v="HC-04633"/>
    <s v="P-0308"/>
    <s v="Female"/>
    <n v="70"/>
    <x v="4"/>
    <s v="General Consultation"/>
    <d v="2025-05-17T00:00:00"/>
    <d v="2025-05-30T00:00:00"/>
    <s v="Friday"/>
    <s v="Evening"/>
    <x v="0"/>
    <n v="13"/>
    <n v="2"/>
    <x v="1"/>
    <x v="0"/>
    <s v="SMS"/>
    <n v="16.3"/>
    <x v="37"/>
    <x v="1"/>
  </r>
  <r>
    <s v="HC-04634"/>
    <s v="P-0057"/>
    <s v="Female"/>
    <n v="72"/>
    <x v="4"/>
    <s v="Specialist Consultation"/>
    <d v="2025-03-23T00:00:00"/>
    <d v="2025-04-06T00:00:00"/>
    <s v="Sunday"/>
    <s v="Morning"/>
    <x v="0"/>
    <n v="14"/>
    <n v="4"/>
    <x v="1"/>
    <x v="1"/>
    <s v="None"/>
    <n v="3.3"/>
    <x v="25"/>
    <x v="1"/>
  </r>
  <r>
    <s v="HC-04635"/>
    <s v="P-0490"/>
    <s v="Female"/>
    <n v="19"/>
    <x v="5"/>
    <s v="Specialist Consultation"/>
    <d v="2025-01-12T00:00:00"/>
    <d v="2025-02-25T00:00:00"/>
    <s v="Tuesday"/>
    <s v="Morning"/>
    <x v="2"/>
    <n v="44"/>
    <n v="4"/>
    <x v="1"/>
    <x v="0"/>
    <s v="SMS"/>
    <n v="13.2"/>
    <x v="22"/>
    <x v="1"/>
  </r>
  <r>
    <s v="HC-04636"/>
    <s v="P-1336"/>
    <s v="Female"/>
    <n v="79"/>
    <x v="4"/>
    <s v="Follow-up"/>
    <d v="2026-01-23T00:00:00"/>
    <d v="2026-02-22T00:00:00"/>
    <s v="Sunday"/>
    <s v="Evening"/>
    <x v="3"/>
    <n v="30"/>
    <n v="1"/>
    <x v="0"/>
    <x v="0"/>
    <s v="Email"/>
    <n v="18.7"/>
    <x v="24"/>
    <x v="0"/>
  </r>
  <r>
    <s v="HC-04637"/>
    <s v="P-0512"/>
    <s v="Male"/>
    <n v="19"/>
    <x v="5"/>
    <s v="Follow-up"/>
    <d v="2026-01-26T00:00:00"/>
    <d v="2026-03-27T00:00:00"/>
    <s v="Friday"/>
    <s v="Afternoon"/>
    <x v="2"/>
    <n v="60"/>
    <n v="4"/>
    <x v="0"/>
    <x v="1"/>
    <s v="None"/>
    <n v="10.5"/>
    <x v="37"/>
    <x v="2"/>
  </r>
  <r>
    <s v="HC-04638"/>
    <s v="P-1197"/>
    <s v="Female"/>
    <n v="46"/>
    <x v="2"/>
    <s v="Specialist Consultation"/>
    <d v="2025-08-27T00:00:00"/>
    <d v="2025-09-28T00:00:00"/>
    <s v="Sunday"/>
    <s v="Morning"/>
    <x v="2"/>
    <n v="32"/>
    <n v="2"/>
    <x v="0"/>
    <x v="0"/>
    <s v="SMS"/>
    <n v="2.2999999999999998"/>
    <x v="12"/>
    <x v="0"/>
  </r>
  <r>
    <s v="HC-04639"/>
    <s v="P-1723"/>
    <s v="Male"/>
    <n v="60"/>
    <x v="3"/>
    <s v="Specialist Consultation"/>
    <d v="2025-10-09T00:00:00"/>
    <d v="2025-12-03T00:00:00"/>
    <s v="Wednesday"/>
    <s v="Afternoon"/>
    <x v="2"/>
    <n v="55"/>
    <n v="2"/>
    <x v="0"/>
    <x v="0"/>
    <s v="Email"/>
    <n v="13.9"/>
    <x v="36"/>
    <x v="1"/>
  </r>
  <r>
    <s v="HC-04640"/>
    <s v="P-0404"/>
    <s v="Female"/>
    <n v="38"/>
    <x v="0"/>
    <s v="Specialist Consultation"/>
    <d v="2026-04-14T00:00:00"/>
    <d v="2026-05-17T00:00:00"/>
    <s v="Sunday"/>
    <s v="Morning"/>
    <x v="2"/>
    <n v="33"/>
    <n v="1"/>
    <x v="0"/>
    <x v="1"/>
    <s v="None"/>
    <n v="19.600000000000001"/>
    <x v="49"/>
    <x v="1"/>
  </r>
  <r>
    <s v="HC-04641"/>
    <s v="P-1744"/>
    <s v="Male"/>
    <n v="30"/>
    <x v="1"/>
    <s v="General Consultation"/>
    <d v="2026-03-16T00:00:00"/>
    <d v="2026-04-06T00:00:00"/>
    <s v="Monday"/>
    <s v="Evening"/>
    <x v="3"/>
    <n v="21"/>
    <n v="4"/>
    <x v="1"/>
    <x v="0"/>
    <s v="WhatsApp"/>
    <n v="7"/>
    <x v="37"/>
    <x v="1"/>
  </r>
  <r>
    <s v="HC-04642"/>
    <s v="P-0392"/>
    <s v="Male"/>
    <n v="20"/>
    <x v="5"/>
    <s v="Follow-up"/>
    <d v="2024-12-06T00:00:00"/>
    <d v="2025-01-18T00:00:00"/>
    <s v="Saturday"/>
    <s v="Morning"/>
    <x v="2"/>
    <n v="43"/>
    <n v="2"/>
    <x v="0"/>
    <x v="1"/>
    <s v="None"/>
    <n v="2.8"/>
    <x v="30"/>
    <x v="0"/>
  </r>
  <r>
    <s v="HC-04643"/>
    <s v="P-1248"/>
    <s v="Male"/>
    <n v="63"/>
    <x v="3"/>
    <s v="Specialist Consultation"/>
    <d v="2026-05-09T00:00:00"/>
    <d v="2026-06-05T00:00:00"/>
    <s v="Friday"/>
    <s v="Afternoon"/>
    <x v="3"/>
    <n v="27"/>
    <n v="2"/>
    <x v="0"/>
    <x v="1"/>
    <s v="None"/>
    <n v="10.7"/>
    <x v="8"/>
    <x v="0"/>
  </r>
  <r>
    <s v="HC-04644"/>
    <s v="P-1394"/>
    <s v="Female"/>
    <n v="20"/>
    <x v="5"/>
    <s v="General Consultation"/>
    <d v="2025-01-21T00:00:00"/>
    <d v="2025-02-06T00:00:00"/>
    <s v="Thursday"/>
    <s v="Morning"/>
    <x v="3"/>
    <n v="16"/>
    <n v="1"/>
    <x v="0"/>
    <x v="0"/>
    <s v="Email"/>
    <n v="8.4"/>
    <x v="23"/>
    <x v="0"/>
  </r>
  <r>
    <s v="HC-04645"/>
    <s v="P-0241"/>
    <s v="Male"/>
    <n v="48"/>
    <x v="2"/>
    <s v="General Consultation"/>
    <d v="2024-12-18T00:00:00"/>
    <d v="2025-01-15T00:00:00"/>
    <s v="Wednesday"/>
    <s v="Afternoon"/>
    <x v="3"/>
    <n v="28"/>
    <n v="6"/>
    <x v="1"/>
    <x v="0"/>
    <s v="WhatsApp"/>
    <n v="3.5"/>
    <x v="18"/>
    <x v="0"/>
  </r>
  <r>
    <s v="HC-04646"/>
    <s v="P-0530"/>
    <s v="Female"/>
    <n v="42"/>
    <x v="0"/>
    <s v="General Consultation"/>
    <d v="2025-06-30T00:00:00"/>
    <d v="2025-08-09T00:00:00"/>
    <s v="Saturday"/>
    <s v="Evening"/>
    <x v="2"/>
    <n v="40"/>
    <n v="2"/>
    <x v="2"/>
    <x v="1"/>
    <s v="None"/>
    <n v="13.6"/>
    <x v="20"/>
    <x v="0"/>
  </r>
  <r>
    <s v="HC-04647"/>
    <s v="P-0819"/>
    <s v="Male"/>
    <n v="78"/>
    <x v="4"/>
    <s v="General Consultation"/>
    <d v="2026-01-21T00:00:00"/>
    <d v="2026-02-12T00:00:00"/>
    <s v="Thursday"/>
    <s v="Afternoon"/>
    <x v="3"/>
    <n v="22"/>
    <n v="5"/>
    <x v="1"/>
    <x v="0"/>
    <s v="SMS"/>
    <n v="10.9"/>
    <x v="10"/>
    <x v="0"/>
  </r>
  <r>
    <s v="HC-04648"/>
    <s v="P-1017"/>
    <s v="Female"/>
    <n v="76"/>
    <x v="4"/>
    <s v="Specialist Consultation"/>
    <d v="2025-01-02T00:00:00"/>
    <d v="2025-02-13T00:00:00"/>
    <s v="Thursday"/>
    <s v="Morning"/>
    <x v="2"/>
    <n v="42"/>
    <n v="2"/>
    <x v="0"/>
    <x v="1"/>
    <s v="None"/>
    <n v="8.1999999999999993"/>
    <x v="11"/>
    <x v="0"/>
  </r>
  <r>
    <s v="HC-04649"/>
    <s v="P-1308"/>
    <s v="Male"/>
    <n v="69"/>
    <x v="4"/>
    <s v="General Consultation"/>
    <d v="2025-04-11T00:00:00"/>
    <d v="2025-06-09T00:00:00"/>
    <s v="Monday"/>
    <s v="Morning"/>
    <x v="2"/>
    <n v="59"/>
    <n v="3"/>
    <x v="0"/>
    <x v="1"/>
    <s v="None"/>
    <n v="7.6"/>
    <x v="15"/>
    <x v="0"/>
  </r>
  <r>
    <s v="HC-04650"/>
    <s v="P-1003"/>
    <s v="Male"/>
    <n v="64"/>
    <x v="3"/>
    <s v="Follow-up"/>
    <d v="2025-04-29T00:00:00"/>
    <d v="2025-05-24T00:00:00"/>
    <s v="Saturday"/>
    <s v="Morning"/>
    <x v="3"/>
    <n v="25"/>
    <n v="2"/>
    <x v="0"/>
    <x v="0"/>
    <s v="SMS"/>
    <n v="10.7"/>
    <x v="11"/>
    <x v="0"/>
  </r>
  <r>
    <s v="HC-04651"/>
    <s v="P-0144"/>
    <s v="Male"/>
    <n v="52"/>
    <x v="2"/>
    <s v="General Consultation"/>
    <d v="2025-07-18T00:00:00"/>
    <d v="2025-08-05T00:00:00"/>
    <s v="Tuesday"/>
    <s v="Evening"/>
    <x v="3"/>
    <n v="18"/>
    <n v="2"/>
    <x v="0"/>
    <x v="0"/>
    <s v="WhatsApp"/>
    <n v="3.9"/>
    <x v="9"/>
    <x v="1"/>
  </r>
  <r>
    <s v="HC-04652"/>
    <s v="P-1093"/>
    <s v="Male"/>
    <n v="40"/>
    <x v="0"/>
    <s v="Diagnostic Test"/>
    <d v="2026-05-30T00:00:00"/>
    <d v="2026-06-23T00:00:00"/>
    <s v="Tuesday"/>
    <s v="Morning"/>
    <x v="3"/>
    <n v="24"/>
    <n v="3"/>
    <x v="1"/>
    <x v="0"/>
    <s v="SMS"/>
    <n v="16.3"/>
    <x v="14"/>
    <x v="1"/>
  </r>
  <r>
    <s v="HC-04653"/>
    <s v="P-0170"/>
    <s v="Female"/>
    <n v="28"/>
    <x v="1"/>
    <s v="Specialist Consultation"/>
    <d v="2025-05-10T00:00:00"/>
    <d v="2025-06-30T00:00:00"/>
    <s v="Monday"/>
    <s v="Afternoon"/>
    <x v="2"/>
    <n v="51"/>
    <n v="1"/>
    <x v="1"/>
    <x v="0"/>
    <s v="Email"/>
    <n v="18.8"/>
    <x v="0"/>
    <x v="0"/>
  </r>
  <r>
    <s v="HC-04654"/>
    <s v="P-0069"/>
    <s v="Male"/>
    <n v="78"/>
    <x v="4"/>
    <s v="Follow-up"/>
    <d v="2025-04-15T00:00:00"/>
    <d v="2025-04-25T00:00:00"/>
    <s v="Friday"/>
    <s v="Morning"/>
    <x v="0"/>
    <n v="10"/>
    <n v="2"/>
    <x v="0"/>
    <x v="0"/>
    <s v="SMS"/>
    <n v="7.6"/>
    <x v="15"/>
    <x v="1"/>
  </r>
  <r>
    <s v="HC-04655"/>
    <s v="P-1166"/>
    <s v="Female"/>
    <n v="42"/>
    <x v="0"/>
    <s v="Specialist Consultation"/>
    <d v="2025-01-08T00:00:00"/>
    <d v="2025-03-08T00:00:00"/>
    <s v="Saturday"/>
    <s v="Evening"/>
    <x v="2"/>
    <n v="59"/>
    <n v="4"/>
    <x v="0"/>
    <x v="0"/>
    <s v="SMS"/>
    <n v="6.7"/>
    <x v="13"/>
    <x v="0"/>
  </r>
  <r>
    <s v="HC-04656"/>
    <s v="P-0829"/>
    <s v="Female"/>
    <n v="45"/>
    <x v="2"/>
    <s v="General Consultation"/>
    <d v="2025-03-25T00:00:00"/>
    <d v="2025-04-19T00:00:00"/>
    <s v="Saturday"/>
    <s v="Afternoon"/>
    <x v="3"/>
    <n v="25"/>
    <n v="3"/>
    <x v="0"/>
    <x v="0"/>
    <s v="SMS"/>
    <n v="4.5999999999999996"/>
    <x v="11"/>
    <x v="0"/>
  </r>
  <r>
    <s v="HC-04657"/>
    <s v="P-0651"/>
    <s v="Female"/>
    <n v="26"/>
    <x v="1"/>
    <s v="Specialist Consultation"/>
    <d v="2025-01-22T00:00:00"/>
    <d v="2025-03-14T00:00:00"/>
    <s v="Friday"/>
    <s v="Afternoon"/>
    <x v="2"/>
    <n v="51"/>
    <n v="2"/>
    <x v="0"/>
    <x v="0"/>
    <s v="SMS"/>
    <n v="3"/>
    <x v="36"/>
    <x v="0"/>
  </r>
  <r>
    <s v="HC-04658"/>
    <s v="P-1392"/>
    <s v="Female"/>
    <n v="35"/>
    <x v="0"/>
    <s v="Specialist Consultation"/>
    <d v="2025-09-24T00:00:00"/>
    <d v="2025-11-10T00:00:00"/>
    <s v="Monday"/>
    <s v="Evening"/>
    <x v="2"/>
    <n v="47"/>
    <n v="1"/>
    <x v="1"/>
    <x v="0"/>
    <s v="Email"/>
    <n v="6.1"/>
    <x v="23"/>
    <x v="0"/>
  </r>
  <r>
    <s v="HC-04659"/>
    <s v="P-0644"/>
    <s v="Female"/>
    <n v="57"/>
    <x v="3"/>
    <s v="General Consultation"/>
    <d v="2025-07-02T00:00:00"/>
    <d v="2025-08-18T00:00:00"/>
    <s v="Monday"/>
    <s v="Evening"/>
    <x v="2"/>
    <n v="47"/>
    <n v="1"/>
    <x v="0"/>
    <x v="1"/>
    <s v="None"/>
    <n v="9.1999999999999993"/>
    <x v="49"/>
    <x v="0"/>
  </r>
  <r>
    <s v="HC-04660"/>
    <s v="P-1350"/>
    <s v="Male"/>
    <n v="44"/>
    <x v="0"/>
    <s v="Diagnostic Test"/>
    <d v="2025-08-05T00:00:00"/>
    <d v="2025-09-29T00:00:00"/>
    <s v="Monday"/>
    <s v="Afternoon"/>
    <x v="2"/>
    <n v="55"/>
    <n v="0"/>
    <x v="0"/>
    <x v="1"/>
    <s v="None"/>
    <n v="14"/>
    <x v="23"/>
    <x v="0"/>
  </r>
  <r>
    <s v="HC-04661"/>
    <s v="P-0576"/>
    <s v="Female"/>
    <n v="54"/>
    <x v="2"/>
    <s v="General Consultation"/>
    <d v="2026-03-20T00:00:00"/>
    <d v="2026-03-31T00:00:00"/>
    <s v="Tuesday"/>
    <s v="Afternoon"/>
    <x v="0"/>
    <n v="11"/>
    <n v="4"/>
    <x v="0"/>
    <x v="0"/>
    <s v="SMS"/>
    <n v="3.4"/>
    <x v="23"/>
    <x v="0"/>
  </r>
  <r>
    <s v="HC-04662"/>
    <s v="P-0779"/>
    <s v="Male"/>
    <n v="31"/>
    <x v="1"/>
    <s v="Follow-up"/>
    <d v="2025-10-08T00:00:00"/>
    <d v="2025-11-13T00:00:00"/>
    <s v="Thursday"/>
    <s v="Afternoon"/>
    <x v="2"/>
    <n v="36"/>
    <n v="3"/>
    <x v="1"/>
    <x v="0"/>
    <s v="SMS"/>
    <n v="7.9"/>
    <x v="26"/>
    <x v="1"/>
  </r>
  <r>
    <s v="HC-04663"/>
    <s v="P-0528"/>
    <s v="Female"/>
    <n v="23"/>
    <x v="5"/>
    <s v="General Consultation"/>
    <d v="2025-03-20T00:00:00"/>
    <d v="2025-03-26T00:00:00"/>
    <s v="Wednesday"/>
    <s v="Morning"/>
    <x v="1"/>
    <n v="6"/>
    <n v="2"/>
    <x v="0"/>
    <x v="1"/>
    <s v="None"/>
    <n v="8.1999999999999993"/>
    <x v="19"/>
    <x v="1"/>
  </r>
  <r>
    <s v="HC-04664"/>
    <s v="P-0206"/>
    <s v="Male"/>
    <n v="73"/>
    <x v="4"/>
    <s v="Specialist Consultation"/>
    <d v="2025-07-07T00:00:00"/>
    <d v="2025-07-25T00:00:00"/>
    <s v="Friday"/>
    <s v="Morning"/>
    <x v="3"/>
    <n v="18"/>
    <n v="2"/>
    <x v="0"/>
    <x v="0"/>
    <s v="WhatsApp"/>
    <n v="12"/>
    <x v="21"/>
    <x v="0"/>
  </r>
  <r>
    <s v="HC-04665"/>
    <s v="P-0427"/>
    <s v="Female"/>
    <n v="45"/>
    <x v="2"/>
    <s v="General Consultation"/>
    <d v="2025-06-18T00:00:00"/>
    <d v="2025-06-20T00:00:00"/>
    <s v="Friday"/>
    <s v="Afternoon"/>
    <x v="1"/>
    <n v="2"/>
    <n v="4"/>
    <x v="1"/>
    <x v="1"/>
    <s v="None"/>
    <n v="5.6"/>
    <x v="2"/>
    <x v="1"/>
  </r>
  <r>
    <s v="HC-04666"/>
    <s v="P-0958"/>
    <s v="Female"/>
    <n v="40"/>
    <x v="0"/>
    <s v="General Consultation"/>
    <d v="2026-02-15T00:00:00"/>
    <d v="2026-03-28T00:00:00"/>
    <s v="Saturday"/>
    <s v="Afternoon"/>
    <x v="2"/>
    <n v="41"/>
    <n v="1"/>
    <x v="0"/>
    <x v="0"/>
    <s v="Email"/>
    <n v="20.5"/>
    <x v="18"/>
    <x v="1"/>
  </r>
  <r>
    <s v="HC-04667"/>
    <s v="P-0786"/>
    <s v="Male"/>
    <n v="36"/>
    <x v="0"/>
    <s v="Follow-up"/>
    <d v="2025-05-11T00:00:00"/>
    <d v="2025-06-17T00:00:00"/>
    <s v="Tuesday"/>
    <s v="Morning"/>
    <x v="2"/>
    <n v="37"/>
    <n v="1"/>
    <x v="0"/>
    <x v="0"/>
    <s v="SMS"/>
    <m/>
    <x v="2"/>
    <x v="1"/>
  </r>
  <r>
    <s v="HC-04668"/>
    <s v="P-1095"/>
    <s v="Male"/>
    <n v="59"/>
    <x v="3"/>
    <s v="Diagnostic Test"/>
    <d v="2025-01-31T00:00:00"/>
    <d v="2025-03-17T00:00:00"/>
    <s v="Monday"/>
    <s v="Morning"/>
    <x v="2"/>
    <n v="45"/>
    <n v="2"/>
    <x v="0"/>
    <x v="0"/>
    <s v="SMS"/>
    <n v="9.8000000000000007"/>
    <x v="47"/>
    <x v="0"/>
  </r>
  <r>
    <s v="HC-04669"/>
    <s v="P-1730"/>
    <s v="Prefer not to say"/>
    <n v="53"/>
    <x v="2"/>
    <s v="General Consultation"/>
    <d v="2026-01-27T00:00:00"/>
    <d v="2026-02-06T00:00:00"/>
    <s v="Friday"/>
    <s v="Afternoon"/>
    <x v="0"/>
    <n v="10"/>
    <n v="2"/>
    <x v="0"/>
    <x v="0"/>
    <s v="SMS"/>
    <n v="19.2"/>
    <x v="15"/>
    <x v="0"/>
  </r>
  <r>
    <s v="HC-04670"/>
    <s v="P-1473"/>
    <s v="Female"/>
    <n v="42"/>
    <x v="0"/>
    <s v="Follow-up"/>
    <d v="2025-08-02T00:00:00"/>
    <d v="2025-08-22T00:00:00"/>
    <s v="Friday"/>
    <s v="Morning"/>
    <x v="3"/>
    <n v="20"/>
    <n v="1"/>
    <x v="0"/>
    <x v="1"/>
    <s v="None"/>
    <n v="12.4"/>
    <x v="27"/>
    <x v="0"/>
  </r>
  <r>
    <s v="HC-04671"/>
    <s v="P-1752"/>
    <s v="Male"/>
    <n v="76"/>
    <x v="4"/>
    <s v="Follow-up"/>
    <d v="2025-01-12T00:00:00"/>
    <d v="2025-02-22T00:00:00"/>
    <s v="Saturday"/>
    <s v="Afternoon"/>
    <x v="2"/>
    <n v="41"/>
    <n v="4"/>
    <x v="0"/>
    <x v="1"/>
    <s v="None"/>
    <n v="17.7"/>
    <x v="13"/>
    <x v="0"/>
  </r>
  <r>
    <s v="HC-04672"/>
    <s v="P-1383"/>
    <s v="Male"/>
    <n v="74"/>
    <x v="4"/>
    <s v="Specialist Consultation"/>
    <d v="2025-11-23T00:00:00"/>
    <d v="2026-01-12T00:00:00"/>
    <s v="Monday"/>
    <s v="Afternoon"/>
    <x v="2"/>
    <n v="50"/>
    <n v="2"/>
    <x v="0"/>
    <x v="0"/>
    <s v="SMS"/>
    <n v="15"/>
    <x v="9"/>
    <x v="1"/>
  </r>
  <r>
    <s v="HC-04673"/>
    <s v="P-0448"/>
    <s v="Male"/>
    <n v="30"/>
    <x v="1"/>
    <s v="General Consultation"/>
    <d v="2025-03-02T00:00:00"/>
    <d v="2025-04-25T00:00:00"/>
    <s v="Friday"/>
    <s v="Morning"/>
    <x v="2"/>
    <n v="54"/>
    <n v="2"/>
    <x v="0"/>
    <x v="0"/>
    <s v="WhatsApp"/>
    <n v="11.4"/>
    <x v="6"/>
    <x v="0"/>
  </r>
  <r>
    <s v="HC-04674"/>
    <s v="P-0670"/>
    <s v="Female"/>
    <n v="58"/>
    <x v="3"/>
    <s v="Follow-up"/>
    <d v="2026-04-16T00:00:00"/>
    <d v="2026-04-20T00:00:00"/>
    <s v="Monday"/>
    <s v="Morning"/>
    <x v="1"/>
    <n v="4"/>
    <n v="1"/>
    <x v="0"/>
    <x v="0"/>
    <s v="SMS"/>
    <n v="11.6"/>
    <x v="15"/>
    <x v="1"/>
  </r>
  <r>
    <s v="HC-04675"/>
    <s v="P-0694"/>
    <s v="Female"/>
    <n v="79"/>
    <x v="4"/>
    <s v="Diagnostic Test"/>
    <d v="2026-03-07T00:00:00"/>
    <d v="2026-03-31T00:00:00"/>
    <s v="Tuesday"/>
    <s v="Morning"/>
    <x v="3"/>
    <n v="24"/>
    <n v="4"/>
    <x v="0"/>
    <x v="1"/>
    <s v="None"/>
    <n v="10"/>
    <x v="8"/>
    <x v="1"/>
  </r>
  <r>
    <s v="HC-04676"/>
    <s v="P-1126"/>
    <s v="Female"/>
    <n v="48"/>
    <x v="2"/>
    <s v="General Consultation"/>
    <d v="2025-07-21T00:00:00"/>
    <d v="2025-07-21T00:00:00"/>
    <s v="Monday"/>
    <s v="Morning"/>
    <x v="1"/>
    <n v="0"/>
    <n v="4"/>
    <x v="1"/>
    <x v="0"/>
    <s v="SMS"/>
    <n v="32.1"/>
    <x v="15"/>
    <x v="0"/>
  </r>
  <r>
    <s v="HC-04677"/>
    <s v="P-0183"/>
    <s v="Male"/>
    <n v="19"/>
    <x v="5"/>
    <s v="Follow-up"/>
    <d v="2025-09-12T00:00:00"/>
    <d v="2025-10-31T00:00:00"/>
    <s v="Friday"/>
    <s v="Afternoon"/>
    <x v="2"/>
    <n v="49"/>
    <n v="2"/>
    <x v="0"/>
    <x v="0"/>
    <s v="WhatsApp"/>
    <n v="16.5"/>
    <x v="28"/>
    <x v="0"/>
  </r>
  <r>
    <s v="HC-04678"/>
    <s v="P-0948"/>
    <s v="Female"/>
    <n v="26"/>
    <x v="1"/>
    <s v="Diagnostic Test"/>
    <d v="2025-10-30T00:00:00"/>
    <d v="2025-11-06T00:00:00"/>
    <s v="Thursday"/>
    <s v="Afternoon"/>
    <x v="1"/>
    <n v="7"/>
    <n v="2"/>
    <x v="1"/>
    <x v="0"/>
    <s v="SMS"/>
    <n v="9.4"/>
    <x v="28"/>
    <x v="0"/>
  </r>
  <r>
    <s v="HC-04679"/>
    <s v="P-1634"/>
    <s v="Female"/>
    <n v="60"/>
    <x v="3"/>
    <s v="General Consultation"/>
    <d v="2025-11-03T00:00:00"/>
    <d v="2025-12-23T00:00:00"/>
    <s v="Tuesday"/>
    <s v="Afternoon"/>
    <x v="2"/>
    <n v="50"/>
    <n v="2"/>
    <x v="0"/>
    <x v="0"/>
    <s v="SMS"/>
    <n v="20.100000000000001"/>
    <x v="12"/>
    <x v="0"/>
  </r>
  <r>
    <s v="HC-04680"/>
    <s v="P-0397"/>
    <s v="Male"/>
    <n v="74"/>
    <x v="4"/>
    <s v="General Consultation"/>
    <d v="2025-01-29T00:00:00"/>
    <d v="2025-02-07T00:00:00"/>
    <s v="Friday"/>
    <s v="Morning"/>
    <x v="0"/>
    <n v="9"/>
    <n v="6"/>
    <x v="2"/>
    <x v="1"/>
    <s v="None"/>
    <n v="5.6"/>
    <x v="15"/>
    <x v="0"/>
  </r>
  <r>
    <s v="HC-04681"/>
    <s v="P-0936"/>
    <s v="Male"/>
    <n v="26"/>
    <x v="1"/>
    <s v="General Consultation"/>
    <d v="2025-06-27T00:00:00"/>
    <d v="2025-06-27T00:00:00"/>
    <s v="Friday"/>
    <s v="Afternoon"/>
    <x v="1"/>
    <n v="0"/>
    <n v="2"/>
    <x v="0"/>
    <x v="1"/>
    <s v="None"/>
    <n v="10.4"/>
    <x v="11"/>
    <x v="1"/>
  </r>
  <r>
    <s v="HC-04682"/>
    <s v="P-0478"/>
    <s v="Male"/>
    <n v="52"/>
    <x v="2"/>
    <s v="Specialist Consultation"/>
    <d v="2025-02-09T00:00:00"/>
    <d v="2025-04-03T00:00:00"/>
    <s v="Thursday"/>
    <s v="Morning"/>
    <x v="2"/>
    <n v="53"/>
    <n v="4"/>
    <x v="1"/>
    <x v="1"/>
    <s v="None"/>
    <n v="5.7"/>
    <x v="26"/>
    <x v="1"/>
  </r>
  <r>
    <s v="HC-04683"/>
    <s v="P-1178"/>
    <s v="Male"/>
    <n v="49"/>
    <x v="2"/>
    <s v="Diagnostic Test"/>
    <d v="2025-12-21T00:00:00"/>
    <d v="2026-01-16T00:00:00"/>
    <s v="Friday"/>
    <s v="Afternoon"/>
    <x v="3"/>
    <n v="26"/>
    <n v="2"/>
    <x v="0"/>
    <x v="0"/>
    <s v="SMS"/>
    <n v="9"/>
    <x v="35"/>
    <x v="0"/>
  </r>
  <r>
    <s v="HC-04684"/>
    <s v="P-1279"/>
    <s v="Female"/>
    <n v="35"/>
    <x v="0"/>
    <s v="Follow-up"/>
    <d v="2025-01-13T00:00:00"/>
    <d v="2025-02-07T00:00:00"/>
    <s v="Friday"/>
    <s v="Morning"/>
    <x v="3"/>
    <n v="25"/>
    <n v="6"/>
    <x v="3"/>
    <x v="1"/>
    <s v="None"/>
    <n v="6.9"/>
    <x v="14"/>
    <x v="0"/>
  </r>
  <r>
    <s v="HC-04685"/>
    <s v="P-1075"/>
    <s v="Male"/>
    <n v="57"/>
    <x v="3"/>
    <s v="Follow-up"/>
    <d v="2025-09-01T00:00:00"/>
    <d v="2025-10-10T00:00:00"/>
    <s v="Friday"/>
    <s v="Afternoon"/>
    <x v="2"/>
    <n v="39"/>
    <n v="3"/>
    <x v="1"/>
    <x v="0"/>
    <s v="WhatsApp"/>
    <n v="9.4"/>
    <x v="51"/>
    <x v="1"/>
  </r>
  <r>
    <s v="HC-04686"/>
    <s v="P-1303"/>
    <s v="Female"/>
    <n v="73"/>
    <x v="4"/>
    <s v="General Consultation"/>
    <d v="2026-01-17T00:00:00"/>
    <d v="2026-02-02T00:00:00"/>
    <s v="Monday"/>
    <s v="Afternoon"/>
    <x v="3"/>
    <n v="16"/>
    <n v="4"/>
    <x v="0"/>
    <x v="0"/>
    <s v="WhatsApp"/>
    <n v="5.6"/>
    <x v="20"/>
    <x v="1"/>
  </r>
  <r>
    <s v="HC-04687"/>
    <s v="P-0473"/>
    <s v="Female"/>
    <n v="33"/>
    <x v="1"/>
    <s v="General Consultation"/>
    <d v="2026-04-21T00:00:00"/>
    <d v="2026-06-02T00:00:00"/>
    <s v="Tuesday"/>
    <s v="Morning"/>
    <x v="2"/>
    <n v="42"/>
    <n v="5"/>
    <x v="1"/>
    <x v="0"/>
    <s v="SMS"/>
    <n v="10.5"/>
    <x v="0"/>
    <x v="1"/>
  </r>
  <r>
    <s v="HC-04688"/>
    <s v="P-1293"/>
    <s v="Female"/>
    <n v="21"/>
    <x v="5"/>
    <s v="General Consultation"/>
    <d v="2025-05-12T00:00:00"/>
    <d v="2025-06-07T00:00:00"/>
    <s v="Saturday"/>
    <s v="Evening"/>
    <x v="3"/>
    <n v="26"/>
    <n v="3"/>
    <x v="0"/>
    <x v="0"/>
    <s v="SMS"/>
    <n v="3.1"/>
    <x v="18"/>
    <x v="2"/>
  </r>
  <r>
    <s v="HC-04689"/>
    <s v="P-0131"/>
    <s v="Female"/>
    <n v="40"/>
    <x v="0"/>
    <s v="General Consultation"/>
    <d v="2024-12-20T00:00:00"/>
    <d v="2025-01-05T00:00:00"/>
    <s v="Sunday"/>
    <s v="Morning"/>
    <x v="3"/>
    <n v="16"/>
    <n v="2"/>
    <x v="1"/>
    <x v="1"/>
    <s v="None"/>
    <n v="7.4"/>
    <x v="6"/>
    <x v="0"/>
  </r>
  <r>
    <s v="HC-04690"/>
    <s v="P-0609"/>
    <s v="Male"/>
    <n v="37"/>
    <x v="0"/>
    <s v="General Consultation"/>
    <d v="2026-01-07T00:00:00"/>
    <d v="2026-01-31T00:00:00"/>
    <s v="Saturday"/>
    <s v="Morning"/>
    <x v="3"/>
    <n v="24"/>
    <n v="2"/>
    <x v="0"/>
    <x v="1"/>
    <s v="None"/>
    <n v="6.1"/>
    <x v="14"/>
    <x v="0"/>
  </r>
  <r>
    <s v="HC-04691"/>
    <s v="P-0787"/>
    <s v="Male"/>
    <n v="63"/>
    <x v="3"/>
    <s v="Follow-up"/>
    <d v="2025-01-01T00:00:00"/>
    <d v="2025-01-01T00:00:00"/>
    <s v="Wednesday"/>
    <s v="Afternoon"/>
    <x v="1"/>
    <n v="0"/>
    <n v="4"/>
    <x v="1"/>
    <x v="0"/>
    <s v="SMS"/>
    <n v="0.7"/>
    <x v="34"/>
    <x v="1"/>
  </r>
  <r>
    <s v="HC-04692"/>
    <s v="P-0917"/>
    <s v="Female"/>
    <n v="51"/>
    <x v="2"/>
    <s v="General Consultation"/>
    <d v="2025-01-19T00:00:00"/>
    <d v="2025-02-06T00:00:00"/>
    <s v="Thursday"/>
    <s v="Afternoon"/>
    <x v="3"/>
    <n v="18"/>
    <n v="4"/>
    <x v="0"/>
    <x v="0"/>
    <s v="SMS"/>
    <n v="17.100000000000001"/>
    <x v="2"/>
    <x v="1"/>
  </r>
  <r>
    <s v="HC-04693"/>
    <s v="P-1024"/>
    <s v="Female"/>
    <n v="19"/>
    <x v="5"/>
    <s v="General Consultation"/>
    <d v="2026-05-20T00:00:00"/>
    <d v="2026-06-25T00:00:00"/>
    <s v="Thursday"/>
    <s v="Morning"/>
    <x v="2"/>
    <n v="36"/>
    <n v="1"/>
    <x v="1"/>
    <x v="0"/>
    <s v="SMS"/>
    <n v="24.2"/>
    <x v="49"/>
    <x v="0"/>
  </r>
  <r>
    <s v="HC-04694"/>
    <s v="P-0355"/>
    <s v="Female"/>
    <n v="39"/>
    <x v="0"/>
    <s v="General Consultation"/>
    <d v="2026-04-08T00:00:00"/>
    <d v="2026-04-16T00:00:00"/>
    <s v="Thursday"/>
    <s v="Morning"/>
    <x v="0"/>
    <n v="8"/>
    <n v="3"/>
    <x v="2"/>
    <x v="0"/>
    <s v="WhatsApp"/>
    <n v="11.9"/>
    <x v="6"/>
    <x v="1"/>
  </r>
  <r>
    <s v="HC-04695"/>
    <s v="P-0970"/>
    <s v="Female"/>
    <n v="64"/>
    <x v="3"/>
    <s v="General Consultation"/>
    <d v="2026-01-15T00:00:00"/>
    <d v="2026-01-22T00:00:00"/>
    <s v="Thursday"/>
    <s v="Morning"/>
    <x v="1"/>
    <n v="7"/>
    <n v="5"/>
    <x v="1"/>
    <x v="0"/>
    <s v="SMS"/>
    <m/>
    <x v="40"/>
    <x v="0"/>
  </r>
  <r>
    <s v="HC-04696"/>
    <s v="P-1245"/>
    <s v="Male"/>
    <n v="48"/>
    <x v="2"/>
    <s v="General Consultation"/>
    <d v="2026-02-21T00:00:00"/>
    <d v="2026-04-02T00:00:00"/>
    <s v="Thursday"/>
    <s v="Afternoon"/>
    <x v="2"/>
    <n v="40"/>
    <n v="1"/>
    <x v="0"/>
    <x v="1"/>
    <s v="None"/>
    <n v="6.1"/>
    <x v="45"/>
    <x v="0"/>
  </r>
  <r>
    <s v="HC-04697"/>
    <s v="P-0660"/>
    <s v="Male"/>
    <n v="53"/>
    <x v="2"/>
    <s v="General Consultation"/>
    <d v="2025-01-16T00:00:00"/>
    <d v="2025-02-11T00:00:00"/>
    <s v="Tuesday"/>
    <s v="Afternoon"/>
    <x v="3"/>
    <n v="26"/>
    <n v="2"/>
    <x v="1"/>
    <x v="0"/>
    <s v="WhatsApp"/>
    <n v="10.3"/>
    <x v="38"/>
    <x v="1"/>
  </r>
  <r>
    <s v="HC-04698"/>
    <s v="P-0642"/>
    <s v="Female"/>
    <n v="34"/>
    <x v="1"/>
    <s v="General Consultation"/>
    <d v="2025-02-10T00:00:00"/>
    <d v="2025-02-18T00:00:00"/>
    <s v="Tuesday"/>
    <s v="Morning"/>
    <x v="0"/>
    <n v="8"/>
    <n v="3"/>
    <x v="0"/>
    <x v="1"/>
    <s v="None"/>
    <n v="13.9"/>
    <x v="1"/>
    <x v="1"/>
  </r>
  <r>
    <s v="HC-04699"/>
    <s v="P-0641"/>
    <s v="Female"/>
    <n v="38"/>
    <x v="0"/>
    <s v="Follow-up"/>
    <d v="2025-04-30T00:00:00"/>
    <d v="2025-06-14T00:00:00"/>
    <s v="Saturday"/>
    <s v="Morning"/>
    <x v="2"/>
    <n v="45"/>
    <n v="2"/>
    <x v="1"/>
    <x v="1"/>
    <s v="None"/>
    <n v="16.600000000000001"/>
    <x v="12"/>
    <x v="0"/>
  </r>
  <r>
    <s v="HC-04700"/>
    <s v="P-0584"/>
    <s v="Male"/>
    <n v="26"/>
    <x v="1"/>
    <s v="Specialist Consultation"/>
    <d v="2024-11-27T00:00:00"/>
    <d v="2025-01-13T00:00:00"/>
    <s v="Monday"/>
    <s v="Evening"/>
    <x v="2"/>
    <n v="47"/>
    <n v="2"/>
    <x v="0"/>
    <x v="0"/>
    <s v="SMS"/>
    <n v="14"/>
    <x v="10"/>
    <x v="0"/>
  </r>
  <r>
    <s v="HC-04701"/>
    <s v="P-1193"/>
    <s v="Male"/>
    <n v="23"/>
    <x v="5"/>
    <s v="Specialist Consultation"/>
    <d v="2026-04-29T00:00:00"/>
    <d v="2026-05-01T00:00:00"/>
    <s v="Friday"/>
    <s v="Evening"/>
    <x v="1"/>
    <n v="2"/>
    <n v="4"/>
    <x v="1"/>
    <x v="0"/>
    <s v="SMS"/>
    <n v="5.5"/>
    <x v="52"/>
    <x v="1"/>
  </r>
  <r>
    <s v="HC-04702"/>
    <s v="P-0627"/>
    <s v="Male"/>
    <n v="20"/>
    <x v="5"/>
    <s v="Specialist Consultation"/>
    <d v="2025-01-19T00:00:00"/>
    <d v="2025-01-31T00:00:00"/>
    <s v="Friday"/>
    <s v="Morning"/>
    <x v="0"/>
    <n v="12"/>
    <n v="2"/>
    <x v="0"/>
    <x v="0"/>
    <s v="SMS"/>
    <n v="6.5"/>
    <x v="10"/>
    <x v="1"/>
  </r>
  <r>
    <s v="HC-04703"/>
    <s v="P-0328"/>
    <s v="Female"/>
    <n v="57"/>
    <x v="3"/>
    <s v="Follow-up"/>
    <d v="2025-10-03T00:00:00"/>
    <d v="2025-10-25T00:00:00"/>
    <s v="Saturday"/>
    <s v="Afternoon"/>
    <x v="3"/>
    <n v="22"/>
    <n v="3"/>
    <x v="2"/>
    <x v="0"/>
    <s v="SMS"/>
    <n v="4"/>
    <x v="5"/>
    <x v="0"/>
  </r>
  <r>
    <s v="HC-04704"/>
    <s v="P-0087"/>
    <s v="Male"/>
    <n v="27"/>
    <x v="1"/>
    <s v="Diagnostic Test"/>
    <d v="2026-02-27T00:00:00"/>
    <d v="2026-04-12T00:00:00"/>
    <s v="Sunday"/>
    <s v="Morning"/>
    <x v="2"/>
    <n v="44"/>
    <n v="1"/>
    <x v="0"/>
    <x v="1"/>
    <s v="None"/>
    <n v="5"/>
    <x v="49"/>
    <x v="1"/>
  </r>
  <r>
    <s v="HC-04705"/>
    <s v="P-0910"/>
    <s v="Female"/>
    <n v="54"/>
    <x v="2"/>
    <s v="Follow-up"/>
    <d v="2026-02-02T00:00:00"/>
    <d v="2026-02-06T00:00:00"/>
    <s v="Friday"/>
    <s v="Morning"/>
    <x v="1"/>
    <n v="4"/>
    <n v="1"/>
    <x v="1"/>
    <x v="0"/>
    <s v="SMS"/>
    <n v="13.7"/>
    <x v="12"/>
    <x v="1"/>
  </r>
  <r>
    <s v="HC-04706"/>
    <s v="P-0794"/>
    <s v="Male"/>
    <n v="78"/>
    <x v="4"/>
    <s v="Follow-up"/>
    <d v="2025-03-21T00:00:00"/>
    <d v="2025-05-09T00:00:00"/>
    <s v="Friday"/>
    <s v="Afternoon"/>
    <x v="2"/>
    <n v="49"/>
    <n v="8"/>
    <x v="1"/>
    <x v="1"/>
    <s v="None"/>
    <n v="8.6"/>
    <x v="12"/>
    <x v="2"/>
  </r>
  <r>
    <s v="HC-04707"/>
    <s v="P-1614"/>
    <s v="Female"/>
    <n v="61"/>
    <x v="3"/>
    <s v="General Consultation"/>
    <d v="2025-08-26T00:00:00"/>
    <d v="2025-09-14T00:00:00"/>
    <s v="Sunday"/>
    <s v="Evening"/>
    <x v="3"/>
    <n v="19"/>
    <n v="5"/>
    <x v="1"/>
    <x v="0"/>
    <s v="SMS"/>
    <n v="14.1"/>
    <x v="50"/>
    <x v="1"/>
  </r>
  <r>
    <s v="HC-04708"/>
    <s v="P-0957"/>
    <s v="Male"/>
    <n v="54"/>
    <x v="2"/>
    <s v="General Consultation"/>
    <d v="2025-10-20T00:00:00"/>
    <d v="2025-10-27T00:00:00"/>
    <s v="Monday"/>
    <s v="Morning"/>
    <x v="1"/>
    <n v="7"/>
    <n v="3"/>
    <x v="0"/>
    <x v="0"/>
    <s v="SMS"/>
    <n v="15.6"/>
    <x v="7"/>
    <x v="1"/>
  </r>
  <r>
    <s v="HC-04709"/>
    <s v="P-0822"/>
    <s v="Female"/>
    <n v="25"/>
    <x v="1"/>
    <s v="General Consultation"/>
    <d v="2026-01-03T00:00:00"/>
    <d v="2026-02-24T00:00:00"/>
    <s v="Tuesday"/>
    <s v="Evening"/>
    <x v="2"/>
    <n v="52"/>
    <n v="7"/>
    <x v="2"/>
    <x v="0"/>
    <s v="WhatsApp"/>
    <n v="9.6"/>
    <x v="23"/>
    <x v="1"/>
  </r>
  <r>
    <s v="HC-04710"/>
    <s v="P-0126"/>
    <s v="Male"/>
    <n v="48"/>
    <x v="2"/>
    <s v="General Consultation"/>
    <d v="2025-08-16T00:00:00"/>
    <d v="2025-08-21T00:00:00"/>
    <s v="Thursday"/>
    <s v="Afternoon"/>
    <x v="1"/>
    <n v="5"/>
    <n v="0"/>
    <x v="0"/>
    <x v="1"/>
    <s v="None"/>
    <n v="14.6"/>
    <x v="27"/>
    <x v="1"/>
  </r>
  <r>
    <s v="HC-04711"/>
    <s v="P-1382"/>
    <s v="Female"/>
    <n v="74"/>
    <x v="4"/>
    <s v="Specialist Consultation"/>
    <d v="2025-05-29T00:00:00"/>
    <d v="2025-06-05T00:00:00"/>
    <s v="Thursday"/>
    <s v="Afternoon"/>
    <x v="1"/>
    <n v="7"/>
    <n v="1"/>
    <x v="0"/>
    <x v="0"/>
    <s v="SMS"/>
    <n v="7.5"/>
    <x v="5"/>
    <x v="1"/>
  </r>
  <r>
    <s v="HC-04712"/>
    <s v="P-0669"/>
    <s v="Male"/>
    <n v="42"/>
    <x v="0"/>
    <s v="General Consultation"/>
    <d v="2026-01-13T00:00:00"/>
    <d v="2026-03-11T00:00:00"/>
    <s v="Wednesday"/>
    <s v="Afternoon"/>
    <x v="2"/>
    <n v="57"/>
    <n v="6"/>
    <x v="1"/>
    <x v="1"/>
    <s v="None"/>
    <n v="9.8000000000000007"/>
    <x v="8"/>
    <x v="0"/>
  </r>
  <r>
    <s v="HC-04713"/>
    <s v="P-0352"/>
    <s v="Female"/>
    <n v="70"/>
    <x v="4"/>
    <s v="Follow-up"/>
    <d v="2026-03-30T00:00:00"/>
    <d v="2026-04-30T00:00:00"/>
    <s v="Thursday"/>
    <s v="Afternoon"/>
    <x v="2"/>
    <n v="31"/>
    <n v="3"/>
    <x v="0"/>
    <x v="0"/>
    <s v="SMS"/>
    <n v="3"/>
    <x v="9"/>
    <x v="0"/>
  </r>
  <r>
    <s v="HC-04714"/>
    <s v="P-1776"/>
    <s v="Male"/>
    <n v="62"/>
    <x v="3"/>
    <s v="Specialist Consultation"/>
    <d v="2025-08-27T00:00:00"/>
    <d v="2025-09-24T00:00:00"/>
    <s v="Wednesday"/>
    <s v="Evening"/>
    <x v="3"/>
    <n v="28"/>
    <n v="4"/>
    <x v="1"/>
    <x v="0"/>
    <s v="WhatsApp"/>
    <n v="7.2"/>
    <x v="12"/>
    <x v="0"/>
  </r>
  <r>
    <s v="HC-04715"/>
    <s v="P-0058"/>
    <s v="Female"/>
    <n v="34"/>
    <x v="1"/>
    <s v="Follow-up"/>
    <d v="2024-12-06T00:00:00"/>
    <d v="2025-01-16T00:00:00"/>
    <s v="Thursday"/>
    <s v="Morning"/>
    <x v="2"/>
    <n v="41"/>
    <n v="3"/>
    <x v="1"/>
    <x v="0"/>
    <s v="WhatsApp"/>
    <n v="5.0999999999999996"/>
    <x v="24"/>
    <x v="2"/>
  </r>
  <r>
    <s v="HC-04716"/>
    <s v="P-0826"/>
    <s v="Male"/>
    <n v="26"/>
    <x v="1"/>
    <s v="General Consultation"/>
    <d v="2025-08-24T00:00:00"/>
    <d v="2025-10-01T00:00:00"/>
    <s v="Wednesday"/>
    <s v="Afternoon"/>
    <x v="2"/>
    <n v="38"/>
    <n v="2"/>
    <x v="0"/>
    <x v="0"/>
    <s v="WhatsApp"/>
    <n v="2.5"/>
    <x v="24"/>
    <x v="1"/>
  </r>
  <r>
    <s v="HC-04717"/>
    <s v="P-0590"/>
    <s v="Male"/>
    <n v="19"/>
    <x v="5"/>
    <s v="Follow-up"/>
    <d v="2026-03-25T00:00:00"/>
    <d v="2026-05-01T00:00:00"/>
    <s v="Friday"/>
    <s v="Morning"/>
    <x v="2"/>
    <n v="37"/>
    <n v="3"/>
    <x v="1"/>
    <x v="0"/>
    <s v="SMS"/>
    <n v="11"/>
    <x v="16"/>
    <x v="0"/>
  </r>
  <r>
    <s v="HC-04718"/>
    <s v="P-0721"/>
    <s v="Female"/>
    <n v="35"/>
    <x v="0"/>
    <s v="General Consultation"/>
    <d v="2026-06-24T00:00:00"/>
    <d v="2026-06-25T00:00:00"/>
    <s v="Thursday"/>
    <s v="Afternoon"/>
    <x v="1"/>
    <n v="1"/>
    <n v="2"/>
    <x v="0"/>
    <x v="0"/>
    <s v="SMS"/>
    <n v="8"/>
    <x v="15"/>
    <x v="1"/>
  </r>
  <r>
    <s v="HC-04719"/>
    <s v="P-1013"/>
    <s v="Female"/>
    <n v="38"/>
    <x v="0"/>
    <s v="Diagnostic Test"/>
    <d v="2025-07-05T00:00:00"/>
    <d v="2025-08-07T00:00:00"/>
    <s v="Thursday"/>
    <s v="Morning"/>
    <x v="2"/>
    <n v="33"/>
    <n v="2"/>
    <x v="0"/>
    <x v="0"/>
    <s v="SMS"/>
    <n v="6.7"/>
    <x v="6"/>
    <x v="1"/>
  </r>
  <r>
    <s v="HC-04720"/>
    <s v="P-1056"/>
    <s v="Female"/>
    <n v="59"/>
    <x v="3"/>
    <s v="Follow-up"/>
    <d v="2025-03-06T00:00:00"/>
    <d v="2025-03-23T00:00:00"/>
    <s v="Sunday"/>
    <s v="Morning"/>
    <x v="3"/>
    <n v="17"/>
    <n v="3"/>
    <x v="1"/>
    <x v="0"/>
    <s v="SMS"/>
    <n v="6.9"/>
    <x v="24"/>
    <x v="1"/>
  </r>
  <r>
    <s v="HC-04721"/>
    <s v="P-1115"/>
    <s v="Female"/>
    <n v="54"/>
    <x v="2"/>
    <s v="Specialist Consultation"/>
    <d v="2025-09-21T00:00:00"/>
    <d v="2025-11-09T00:00:00"/>
    <s v="Sunday"/>
    <s v="Afternoon"/>
    <x v="2"/>
    <n v="49"/>
    <n v="3"/>
    <x v="0"/>
    <x v="0"/>
    <s v="WhatsApp"/>
    <n v="3.3"/>
    <x v="14"/>
    <x v="1"/>
  </r>
  <r>
    <s v="HC-04722"/>
    <s v="P-0658"/>
    <s v="Male"/>
    <n v="48"/>
    <x v="2"/>
    <s v="Follow-up"/>
    <d v="2026-02-28T00:00:00"/>
    <d v="2026-03-30T00:00:00"/>
    <s v="Monday"/>
    <s v="Morning"/>
    <x v="3"/>
    <n v="30"/>
    <n v="7"/>
    <x v="4"/>
    <x v="0"/>
    <s v="SMS"/>
    <n v="12.9"/>
    <x v="26"/>
    <x v="1"/>
  </r>
  <r>
    <s v="HC-04723"/>
    <s v="P-0151"/>
    <s v="Female"/>
    <n v="63"/>
    <x v="3"/>
    <s v="Specialist Consultation"/>
    <d v="2026-05-24T00:00:00"/>
    <d v="2026-05-31T00:00:00"/>
    <s v="Sunday"/>
    <s v="Morning"/>
    <x v="1"/>
    <n v="7"/>
    <n v="7"/>
    <x v="1"/>
    <x v="0"/>
    <s v="SMS"/>
    <n v="12.8"/>
    <x v="25"/>
    <x v="0"/>
  </r>
  <r>
    <s v="HC-04724"/>
    <s v="P-0220"/>
    <s v="Female"/>
    <n v="66"/>
    <x v="4"/>
    <s v="Specialist Consultation"/>
    <d v="2024-12-06T00:00:00"/>
    <d v="2025-01-29T00:00:00"/>
    <s v="Wednesday"/>
    <s v="Morning"/>
    <x v="2"/>
    <n v="54"/>
    <n v="4"/>
    <x v="0"/>
    <x v="0"/>
    <s v="SMS"/>
    <n v="5.4"/>
    <x v="36"/>
    <x v="2"/>
  </r>
  <r>
    <s v="HC-04725"/>
    <s v="P-1534"/>
    <s v="Female"/>
    <n v="62"/>
    <x v="3"/>
    <s v="General Consultation"/>
    <d v="2025-05-22T00:00:00"/>
    <d v="2025-06-08T00:00:00"/>
    <s v="Sunday"/>
    <s v="Afternoon"/>
    <x v="3"/>
    <n v="17"/>
    <n v="7"/>
    <x v="1"/>
    <x v="0"/>
    <s v="WhatsApp"/>
    <n v="3.8"/>
    <x v="15"/>
    <x v="0"/>
  </r>
  <r>
    <s v="HC-04726"/>
    <s v="P-1438"/>
    <s v="Female"/>
    <n v="74"/>
    <x v="4"/>
    <s v="General Consultation"/>
    <d v="2025-09-02T00:00:00"/>
    <d v="2025-09-18T00:00:00"/>
    <s v="Thursday"/>
    <s v="Morning"/>
    <x v="3"/>
    <n v="16"/>
    <n v="2"/>
    <x v="0"/>
    <x v="0"/>
    <s v="Email"/>
    <n v="11.1"/>
    <x v="12"/>
    <x v="1"/>
  </r>
  <r>
    <s v="HC-04727"/>
    <s v="P-1674"/>
    <s v="Female"/>
    <n v="40"/>
    <x v="0"/>
    <s v="General Consultation"/>
    <d v="2024-12-28T00:00:00"/>
    <d v="2025-02-23T00:00:00"/>
    <s v="Sunday"/>
    <s v="Morning"/>
    <x v="2"/>
    <n v="57"/>
    <n v="7"/>
    <x v="3"/>
    <x v="1"/>
    <s v="None"/>
    <n v="21.2"/>
    <x v="3"/>
    <x v="0"/>
  </r>
  <r>
    <s v="HC-04728"/>
    <s v="P-1434"/>
    <s v="Male"/>
    <n v="69"/>
    <x v="4"/>
    <s v="Follow-up"/>
    <d v="2026-03-13T00:00:00"/>
    <d v="2026-04-29T00:00:00"/>
    <s v="Wednesday"/>
    <s v="Afternoon"/>
    <x v="2"/>
    <n v="47"/>
    <n v="6"/>
    <x v="2"/>
    <x v="0"/>
    <s v="Email"/>
    <n v="9"/>
    <x v="39"/>
    <x v="0"/>
  </r>
  <r>
    <s v="HC-04729"/>
    <s v="P-0654"/>
    <s v="Female"/>
    <n v="44"/>
    <x v="0"/>
    <s v="Specialist Consultation"/>
    <d v="2025-01-10T00:00:00"/>
    <d v="2025-03-03T00:00:00"/>
    <s v="Monday"/>
    <s v="Evening"/>
    <x v="2"/>
    <n v="52"/>
    <n v="2"/>
    <x v="0"/>
    <x v="0"/>
    <s v="SMS"/>
    <n v="13.9"/>
    <x v="36"/>
    <x v="1"/>
  </r>
  <r>
    <s v="HC-04730"/>
    <s v="P-1315"/>
    <s v="Male"/>
    <n v="29"/>
    <x v="1"/>
    <s v="Follow-up"/>
    <d v="2025-11-20T00:00:00"/>
    <d v="2025-12-30T00:00:00"/>
    <s v="Tuesday"/>
    <s v="Afternoon"/>
    <x v="2"/>
    <n v="40"/>
    <n v="2"/>
    <x v="1"/>
    <x v="0"/>
    <s v="Email"/>
    <n v="6.4"/>
    <x v="18"/>
    <x v="0"/>
  </r>
  <r>
    <s v="HC-04731"/>
    <s v="P-0929"/>
    <s v="Male"/>
    <n v="27"/>
    <x v="1"/>
    <s v="Follow-up"/>
    <d v="2026-03-23T00:00:00"/>
    <d v="2026-05-17T00:00:00"/>
    <s v="Sunday"/>
    <s v="Morning"/>
    <x v="2"/>
    <n v="55"/>
    <n v="3"/>
    <x v="0"/>
    <x v="0"/>
    <s v="SMS"/>
    <n v="10.1"/>
    <x v="26"/>
    <x v="1"/>
  </r>
  <r>
    <s v="HC-04732"/>
    <s v="P-0491"/>
    <s v="Female"/>
    <n v="23"/>
    <x v="5"/>
    <s v="Diagnostic Test"/>
    <d v="2026-01-03T00:00:00"/>
    <d v="2026-01-10T00:00:00"/>
    <s v="Saturday"/>
    <s v="Evening"/>
    <x v="1"/>
    <n v="7"/>
    <n v="1"/>
    <x v="0"/>
    <x v="0"/>
    <s v="SMS"/>
    <n v="1.5"/>
    <x v="23"/>
    <x v="0"/>
  </r>
  <r>
    <s v="HC-04733"/>
    <s v="P-0786"/>
    <s v="Male"/>
    <n v="78"/>
    <x v="4"/>
    <s v="General Consultation"/>
    <d v="2026-01-16T00:00:00"/>
    <d v="2026-02-21T00:00:00"/>
    <s v="Saturday"/>
    <s v="Afternoon"/>
    <x v="2"/>
    <n v="36"/>
    <n v="2"/>
    <x v="1"/>
    <x v="0"/>
    <s v="SMS"/>
    <n v="6"/>
    <x v="16"/>
    <x v="0"/>
  </r>
  <r>
    <s v="HC-04734"/>
    <s v="P-1015"/>
    <s v="Male"/>
    <n v="28"/>
    <x v="1"/>
    <s v="General Consultation"/>
    <d v="2025-05-07T00:00:00"/>
    <d v="2025-05-24T00:00:00"/>
    <s v="Saturday"/>
    <s v="Afternoon"/>
    <x v="3"/>
    <n v="17"/>
    <n v="4"/>
    <x v="1"/>
    <x v="0"/>
    <s v="SMS"/>
    <n v="3.7"/>
    <x v="4"/>
    <x v="0"/>
  </r>
  <r>
    <s v="HC-04735"/>
    <s v="P-0978"/>
    <s v="Male"/>
    <n v="70"/>
    <x v="4"/>
    <s v="Diagnostic Test"/>
    <d v="2026-03-04T00:00:00"/>
    <d v="2026-03-28T00:00:00"/>
    <s v="Saturday"/>
    <s v="Afternoon"/>
    <x v="3"/>
    <n v="24"/>
    <n v="3"/>
    <x v="0"/>
    <x v="0"/>
    <s v="Email"/>
    <n v="27.1"/>
    <x v="23"/>
    <x v="1"/>
  </r>
  <r>
    <s v="HC-04736"/>
    <s v="P-0847"/>
    <s v="Female"/>
    <n v="67"/>
    <x v="4"/>
    <s v="Diagnostic Test"/>
    <d v="2025-08-03T00:00:00"/>
    <d v="2025-08-17T00:00:00"/>
    <s v="Sunday"/>
    <s v="Morning"/>
    <x v="0"/>
    <n v="14"/>
    <n v="3"/>
    <x v="1"/>
    <x v="0"/>
    <s v="WhatsApp"/>
    <n v="8.6"/>
    <x v="25"/>
    <x v="2"/>
  </r>
  <r>
    <s v="HC-04737"/>
    <s v="P-0350"/>
    <s v="Male"/>
    <n v="45"/>
    <x v="2"/>
    <s v="Follow-up"/>
    <d v="2025-01-22T00:00:00"/>
    <d v="2025-02-03T00:00:00"/>
    <s v="Monday"/>
    <s v="Afternoon"/>
    <x v="0"/>
    <n v="12"/>
    <n v="5"/>
    <x v="0"/>
    <x v="0"/>
    <s v="SMS"/>
    <n v="35.5"/>
    <x v="16"/>
    <x v="1"/>
  </r>
  <r>
    <s v="HC-04738"/>
    <s v="P-1223"/>
    <s v="Female"/>
    <n v="75"/>
    <x v="4"/>
    <s v="General Consultation"/>
    <d v="2025-06-24T00:00:00"/>
    <d v="2025-07-20T00:00:00"/>
    <s v="Sunday"/>
    <s v="Afternoon"/>
    <x v="3"/>
    <n v="26"/>
    <n v="6"/>
    <x v="1"/>
    <x v="0"/>
    <s v="SMS"/>
    <n v="8.6"/>
    <x v="21"/>
    <x v="1"/>
  </r>
  <r>
    <s v="HC-04739"/>
    <s v="P-0697"/>
    <s v="Male"/>
    <n v="75"/>
    <x v="4"/>
    <s v="Diagnostic Test"/>
    <d v="2025-05-16T00:00:00"/>
    <d v="2025-07-11T00:00:00"/>
    <s v="Friday"/>
    <s v="Morning"/>
    <x v="2"/>
    <n v="56"/>
    <n v="1"/>
    <x v="1"/>
    <x v="0"/>
    <s v="SMS"/>
    <n v="11"/>
    <x v="5"/>
    <x v="0"/>
  </r>
  <r>
    <s v="HC-04740"/>
    <s v="P-1293"/>
    <s v="Female"/>
    <n v="76"/>
    <x v="4"/>
    <s v="Specialist Consultation"/>
    <d v="2025-09-04T00:00:00"/>
    <d v="2025-10-12T00:00:00"/>
    <s v="Sunday"/>
    <s v="Morning"/>
    <x v="2"/>
    <n v="38"/>
    <n v="6"/>
    <x v="0"/>
    <x v="1"/>
    <s v="None"/>
    <n v="7.9"/>
    <x v="26"/>
    <x v="1"/>
  </r>
  <r>
    <s v="HC-04741"/>
    <s v="P-0221"/>
    <s v="Female"/>
    <n v="49"/>
    <x v="2"/>
    <s v="Follow-up"/>
    <d v="2025-05-04T00:00:00"/>
    <d v="2025-05-25T00:00:00"/>
    <s v="Sunday"/>
    <s v="Morning"/>
    <x v="3"/>
    <n v="21"/>
    <n v="1"/>
    <x v="0"/>
    <x v="0"/>
    <s v="WhatsApp"/>
    <n v="6.7"/>
    <x v="26"/>
    <x v="0"/>
  </r>
  <r>
    <s v="HC-04742"/>
    <s v="P-0709"/>
    <s v="Male"/>
    <n v="36"/>
    <x v="0"/>
    <s v="General Consultation"/>
    <d v="2025-08-15T00:00:00"/>
    <d v="2025-09-10T00:00:00"/>
    <s v="Wednesday"/>
    <s v="Afternoon"/>
    <x v="3"/>
    <n v="26"/>
    <n v="3"/>
    <x v="1"/>
    <x v="0"/>
    <s v="Email"/>
    <n v="10.8"/>
    <x v="23"/>
    <x v="0"/>
  </r>
  <r>
    <s v="HC-04743"/>
    <s v="P-1658"/>
    <s v="Female"/>
    <n v="20"/>
    <x v="5"/>
    <s v="Follow-up"/>
    <d v="2025-07-21T00:00:00"/>
    <d v="2025-08-22T00:00:00"/>
    <s v="Friday"/>
    <s v="Morning"/>
    <x v="2"/>
    <n v="32"/>
    <n v="1"/>
    <x v="0"/>
    <x v="0"/>
    <s v="SMS"/>
    <n v="13.5"/>
    <x v="18"/>
    <x v="1"/>
  </r>
  <r>
    <s v="HC-04744"/>
    <s v="P-1399"/>
    <s v="Female"/>
    <n v="70"/>
    <x v="4"/>
    <s v="Specialist Consultation"/>
    <d v="2025-06-14T00:00:00"/>
    <d v="2025-06-28T00:00:00"/>
    <s v="Saturday"/>
    <s v="Afternoon"/>
    <x v="0"/>
    <n v="14"/>
    <n v="0"/>
    <x v="0"/>
    <x v="0"/>
    <s v="WhatsApp"/>
    <n v="4.5"/>
    <x v="12"/>
    <x v="1"/>
  </r>
  <r>
    <s v="HC-04745"/>
    <s v="P-1017"/>
    <s v="Male"/>
    <n v="72"/>
    <x v="4"/>
    <s v="Specialist Consultation"/>
    <d v="2025-12-16T00:00:00"/>
    <d v="2026-01-16T00:00:00"/>
    <s v="Friday"/>
    <s v="Afternoon"/>
    <x v="2"/>
    <n v="31"/>
    <n v="5"/>
    <x v="2"/>
    <x v="0"/>
    <s v="SMS"/>
    <n v="6.5"/>
    <x v="9"/>
    <x v="1"/>
  </r>
  <r>
    <s v="HC-04746"/>
    <s v="P-1124"/>
    <s v="Female"/>
    <n v="51"/>
    <x v="2"/>
    <s v="Follow-up"/>
    <d v="2025-05-05T00:00:00"/>
    <d v="2025-06-16T00:00:00"/>
    <s v="Monday"/>
    <s v="Morning"/>
    <x v="2"/>
    <n v="42"/>
    <n v="1"/>
    <x v="0"/>
    <x v="0"/>
    <s v="WhatsApp"/>
    <n v="2.9"/>
    <x v="15"/>
    <x v="0"/>
  </r>
  <r>
    <s v="HC-04747"/>
    <s v="P-0142"/>
    <s v="Female"/>
    <n v="22"/>
    <x v="5"/>
    <s v="Follow-up"/>
    <d v="2026-02-09T00:00:00"/>
    <d v="2026-02-23T00:00:00"/>
    <s v="Monday"/>
    <s v="Morning"/>
    <x v="0"/>
    <n v="14"/>
    <n v="1"/>
    <x v="0"/>
    <x v="0"/>
    <s v="WhatsApp"/>
    <n v="2.1"/>
    <x v="21"/>
    <x v="1"/>
  </r>
  <r>
    <s v="HC-04748"/>
    <s v="P-1328"/>
    <s v="Female"/>
    <n v="69"/>
    <x v="4"/>
    <s v="Follow-up"/>
    <d v="2025-04-12T00:00:00"/>
    <d v="2025-05-17T00:00:00"/>
    <s v="Saturday"/>
    <s v="Morning"/>
    <x v="2"/>
    <n v="35"/>
    <n v="1"/>
    <x v="0"/>
    <x v="0"/>
    <s v="SMS"/>
    <n v="13.5"/>
    <x v="11"/>
    <x v="0"/>
  </r>
  <r>
    <s v="HC-04749"/>
    <s v="P-0173"/>
    <s v="Male"/>
    <n v="36"/>
    <x v="0"/>
    <s v="Follow-up"/>
    <d v="2026-03-06T00:00:00"/>
    <d v="2026-04-18T00:00:00"/>
    <s v="Saturday"/>
    <s v="Morning"/>
    <x v="2"/>
    <n v="43"/>
    <n v="6"/>
    <x v="0"/>
    <x v="0"/>
    <s v="SMS"/>
    <n v="12.6"/>
    <x v="0"/>
    <x v="0"/>
  </r>
  <r>
    <s v="HC-04750"/>
    <s v="P-1281"/>
    <s v="Male"/>
    <n v="52"/>
    <x v="2"/>
    <s v="General Consultation"/>
    <d v="2025-06-18T00:00:00"/>
    <d v="2025-07-19T00:00:00"/>
    <s v="Saturday"/>
    <s v="Afternoon"/>
    <x v="2"/>
    <n v="31"/>
    <n v="3"/>
    <x v="0"/>
    <x v="0"/>
    <s v="WhatsApp"/>
    <n v="7.5"/>
    <x v="16"/>
    <x v="1"/>
  </r>
  <r>
    <s v="HC-04751"/>
    <s v="P-0461"/>
    <s v="Male"/>
    <n v="59"/>
    <x v="3"/>
    <s v="General Consultation"/>
    <d v="2025-01-06T00:00:00"/>
    <d v="2025-01-23T00:00:00"/>
    <s v="Thursday"/>
    <s v="Afternoon"/>
    <x v="3"/>
    <n v="17"/>
    <n v="5"/>
    <x v="2"/>
    <x v="0"/>
    <s v="SMS"/>
    <n v="12.6"/>
    <x v="39"/>
    <x v="0"/>
  </r>
  <r>
    <s v="HC-04752"/>
    <s v="P-1391"/>
    <s v="Male"/>
    <n v="27"/>
    <x v="1"/>
    <s v="General Consultation"/>
    <d v="2025-02-18T00:00:00"/>
    <d v="2025-03-23T00:00:00"/>
    <s v="Sunday"/>
    <s v="Afternoon"/>
    <x v="2"/>
    <n v="33"/>
    <n v="2"/>
    <x v="0"/>
    <x v="0"/>
    <s v="Email"/>
    <n v="13.9"/>
    <x v="51"/>
    <x v="1"/>
  </r>
  <r>
    <s v="HC-04753"/>
    <s v="P-1171"/>
    <s v="Male"/>
    <n v="21"/>
    <x v="5"/>
    <s v="Specialist Consultation"/>
    <d v="2026-01-28T00:00:00"/>
    <d v="2026-03-17T00:00:00"/>
    <s v="Tuesday"/>
    <s v="Evening"/>
    <x v="2"/>
    <n v="48"/>
    <n v="3"/>
    <x v="0"/>
    <x v="1"/>
    <s v="None"/>
    <n v="17"/>
    <x v="12"/>
    <x v="0"/>
  </r>
  <r>
    <s v="HC-04754"/>
    <s v="P-1026"/>
    <s v="Male"/>
    <n v="22"/>
    <x v="5"/>
    <s v="General Consultation"/>
    <d v="2026-04-09T00:00:00"/>
    <d v="2026-04-22T00:00:00"/>
    <s v="Wednesday"/>
    <s v="Morning"/>
    <x v="0"/>
    <n v="13"/>
    <n v="4"/>
    <x v="2"/>
    <x v="0"/>
    <s v="WhatsApp"/>
    <n v="1.6"/>
    <x v="31"/>
    <x v="1"/>
  </r>
  <r>
    <s v="HC-04755"/>
    <s v="P-0334"/>
    <s v="Male"/>
    <n v="78"/>
    <x v="4"/>
    <s v="General Consultation"/>
    <d v="2025-03-22T00:00:00"/>
    <d v="2025-04-26T00:00:00"/>
    <s v="Saturday"/>
    <s v="Afternoon"/>
    <x v="2"/>
    <n v="35"/>
    <n v="1"/>
    <x v="0"/>
    <x v="0"/>
    <s v="SMS"/>
    <n v="8.8000000000000007"/>
    <x v="4"/>
    <x v="0"/>
  </r>
  <r>
    <s v="HC-04756"/>
    <s v="P-1106"/>
    <s v="Male"/>
    <n v="78"/>
    <x v="4"/>
    <s v="Diagnostic Test"/>
    <d v="2025-10-15T00:00:00"/>
    <d v="2025-11-25T00:00:00"/>
    <s v="Tuesday"/>
    <s v="Afternoon"/>
    <x v="2"/>
    <n v="41"/>
    <n v="4"/>
    <x v="0"/>
    <x v="0"/>
    <s v="Email"/>
    <n v="3.7"/>
    <x v="8"/>
    <x v="1"/>
  </r>
  <r>
    <s v="HC-04757"/>
    <s v="P-1102"/>
    <s v="Male"/>
    <n v="44"/>
    <x v="0"/>
    <s v="Specialist Consultation"/>
    <d v="2025-10-22T00:00:00"/>
    <d v="2025-11-10T00:00:00"/>
    <s v="Monday"/>
    <s v="Afternoon"/>
    <x v="3"/>
    <n v="19"/>
    <n v="3"/>
    <x v="2"/>
    <x v="0"/>
    <s v="SMS"/>
    <n v="5"/>
    <x v="31"/>
    <x v="1"/>
  </r>
  <r>
    <s v="HC-04758"/>
    <s v="P-0195"/>
    <s v="Female"/>
    <n v="44"/>
    <x v="0"/>
    <s v="General Consultation"/>
    <d v="2025-02-20T00:00:00"/>
    <d v="2025-03-15T00:00:00"/>
    <s v="Saturday"/>
    <s v="Morning"/>
    <x v="3"/>
    <n v="23"/>
    <n v="1"/>
    <x v="0"/>
    <x v="0"/>
    <s v="SMS"/>
    <n v="4.7"/>
    <x v="36"/>
    <x v="1"/>
  </r>
  <r>
    <s v="HC-04759"/>
    <s v="P-0875"/>
    <s v="Female"/>
    <n v="43"/>
    <x v="0"/>
    <s v="General Consultation"/>
    <d v="2025-07-12T00:00:00"/>
    <d v="2025-09-04T00:00:00"/>
    <s v="Thursday"/>
    <s v="Morning"/>
    <x v="2"/>
    <n v="54"/>
    <n v="7"/>
    <x v="1"/>
    <x v="0"/>
    <s v="WhatsApp"/>
    <n v="10.5"/>
    <x v="7"/>
    <x v="0"/>
  </r>
  <r>
    <s v="HC-04760"/>
    <s v="P-0955"/>
    <s v="Female"/>
    <n v="40"/>
    <x v="0"/>
    <s v="Specialist Consultation"/>
    <d v="2025-12-23T00:00:00"/>
    <d v="2026-01-14T00:00:00"/>
    <s v="Wednesday"/>
    <s v="Afternoon"/>
    <x v="3"/>
    <n v="22"/>
    <n v="4"/>
    <x v="1"/>
    <x v="1"/>
    <s v="None"/>
    <n v="5.8"/>
    <x v="46"/>
    <x v="1"/>
  </r>
  <r>
    <s v="HC-04761"/>
    <s v="P-0441"/>
    <s v="Male"/>
    <n v="52"/>
    <x v="2"/>
    <s v="General Consultation"/>
    <d v="2026-05-08T00:00:00"/>
    <d v="2026-06-13T00:00:00"/>
    <s v="Saturday"/>
    <s v="Afternoon"/>
    <x v="2"/>
    <n v="36"/>
    <n v="2"/>
    <x v="0"/>
    <x v="1"/>
    <s v="None"/>
    <n v="1.5"/>
    <x v="47"/>
    <x v="0"/>
  </r>
  <r>
    <s v="HC-04762"/>
    <s v="P-1634"/>
    <s v="Male"/>
    <n v="40"/>
    <x v="0"/>
    <s v="Follow-up"/>
    <d v="2026-03-30T00:00:00"/>
    <d v="2026-04-08T00:00:00"/>
    <s v="Wednesday"/>
    <s v="Morning"/>
    <x v="0"/>
    <n v="9"/>
    <n v="3"/>
    <x v="0"/>
    <x v="0"/>
    <s v="SMS"/>
    <n v="11.6"/>
    <x v="6"/>
    <x v="0"/>
  </r>
  <r>
    <s v="HC-04763"/>
    <s v="P-1006"/>
    <s v="Male"/>
    <n v="56"/>
    <x v="3"/>
    <s v="Follow-up"/>
    <d v="2024-12-29T00:00:00"/>
    <d v="2025-02-23T00:00:00"/>
    <s v="Sunday"/>
    <s v="Morning"/>
    <x v="2"/>
    <n v="56"/>
    <n v="2"/>
    <x v="1"/>
    <x v="0"/>
    <s v="SMS"/>
    <n v="3.7"/>
    <x v="6"/>
    <x v="0"/>
  </r>
  <r>
    <s v="HC-04764"/>
    <s v="P-0513"/>
    <s v="Male"/>
    <n v="41"/>
    <x v="0"/>
    <s v="General Consultation"/>
    <d v="2025-04-04T00:00:00"/>
    <d v="2025-05-10T00:00:00"/>
    <s v="Saturday"/>
    <s v="Afternoon"/>
    <x v="2"/>
    <n v="36"/>
    <n v="3"/>
    <x v="0"/>
    <x v="0"/>
    <s v="WhatsApp"/>
    <n v="3.8"/>
    <x v="14"/>
    <x v="1"/>
  </r>
  <r>
    <s v="HC-04765"/>
    <s v="P-1431"/>
    <s v="Male"/>
    <n v="57"/>
    <x v="3"/>
    <s v="Specialist Consultation"/>
    <d v="2025-07-12T00:00:00"/>
    <d v="2025-08-27T00:00:00"/>
    <s v="Wednesday"/>
    <s v="Afternoon"/>
    <x v="2"/>
    <n v="46"/>
    <n v="1"/>
    <x v="1"/>
    <x v="0"/>
    <s v="Email"/>
    <n v="38.5"/>
    <x v="14"/>
    <x v="1"/>
  </r>
  <r>
    <s v="HC-04766"/>
    <s v="P-0718"/>
    <s v="Male"/>
    <n v="77"/>
    <x v="4"/>
    <s v="General Consultation"/>
    <d v="2025-02-16T00:00:00"/>
    <d v="2025-03-24T00:00:00"/>
    <s v="Monday"/>
    <s v="Afternoon"/>
    <x v="2"/>
    <n v="36"/>
    <n v="2"/>
    <x v="0"/>
    <x v="1"/>
    <s v="None"/>
    <n v="19.600000000000001"/>
    <x v="14"/>
    <x v="1"/>
  </r>
  <r>
    <s v="HC-04767"/>
    <s v="P-0189"/>
    <s v="Male"/>
    <n v="30"/>
    <x v="1"/>
    <s v="Follow-up"/>
    <d v="2025-10-18T00:00:00"/>
    <d v="2025-11-08T00:00:00"/>
    <s v="Saturday"/>
    <s v="Morning"/>
    <x v="3"/>
    <n v="21"/>
    <n v="5"/>
    <x v="2"/>
    <x v="0"/>
    <s v="SMS"/>
    <n v="5.8"/>
    <x v="4"/>
    <x v="1"/>
  </r>
  <r>
    <s v="HC-04768"/>
    <s v="P-1075"/>
    <s v="Female"/>
    <n v="21"/>
    <x v="5"/>
    <s v="General Consultation"/>
    <d v="2024-12-16T00:00:00"/>
    <d v="2025-01-05T00:00:00"/>
    <s v="Sunday"/>
    <s v="Morning"/>
    <x v="3"/>
    <n v="20"/>
    <n v="2"/>
    <x v="0"/>
    <x v="0"/>
    <s v="Email"/>
    <n v="4.3"/>
    <x v="14"/>
    <x v="0"/>
  </r>
  <r>
    <s v="HC-04769"/>
    <s v="P-1123"/>
    <s v="Female"/>
    <n v="51"/>
    <x v="2"/>
    <s v="General Consultation"/>
    <d v="2025-01-20T00:00:00"/>
    <d v="2025-03-03T00:00:00"/>
    <s v="Monday"/>
    <s v="Afternoon"/>
    <x v="2"/>
    <n v="42"/>
    <n v="3"/>
    <x v="0"/>
    <x v="0"/>
    <s v="WhatsApp"/>
    <m/>
    <x v="36"/>
    <x v="1"/>
  </r>
  <r>
    <s v="HC-04770"/>
    <s v="P-0536"/>
    <s v="Female"/>
    <n v="25"/>
    <x v="1"/>
    <s v="General Consultation"/>
    <d v="2024-12-05T00:00:00"/>
    <d v="2025-01-26T00:00:00"/>
    <s v="Sunday"/>
    <s v="Afternoon"/>
    <x v="2"/>
    <n v="52"/>
    <n v="4"/>
    <x v="1"/>
    <x v="0"/>
    <s v="SMS"/>
    <n v="44.2"/>
    <x v="27"/>
    <x v="0"/>
  </r>
  <r>
    <s v="HC-04771"/>
    <s v="P-0187"/>
    <s v="Female"/>
    <n v="32"/>
    <x v="1"/>
    <s v="Specialist Consultation"/>
    <d v="2025-06-04T00:00:00"/>
    <d v="2025-06-11T00:00:00"/>
    <s v="Wednesday"/>
    <s v="Morning"/>
    <x v="1"/>
    <n v="7"/>
    <n v="3"/>
    <x v="0"/>
    <x v="0"/>
    <s v="SMS"/>
    <n v="22.6"/>
    <x v="52"/>
    <x v="1"/>
  </r>
  <r>
    <s v="HC-04772"/>
    <s v="P-0379"/>
    <s v="Female"/>
    <n v="67"/>
    <x v="4"/>
    <s v="General Consultation"/>
    <d v="2026-01-01T00:00:00"/>
    <d v="2026-02-21T00:00:00"/>
    <s v="Saturday"/>
    <s v="Afternoon"/>
    <x v="2"/>
    <n v="51"/>
    <n v="2"/>
    <x v="0"/>
    <x v="0"/>
    <s v="SMS"/>
    <n v="13.9"/>
    <x v="17"/>
    <x v="2"/>
  </r>
  <r>
    <s v="HC-04773"/>
    <s v="P-1040"/>
    <s v="Female"/>
    <n v="44"/>
    <x v="0"/>
    <s v="General Consultation"/>
    <d v="2025-02-16T00:00:00"/>
    <d v="2025-04-07T00:00:00"/>
    <s v="Monday"/>
    <s v="Morning"/>
    <x v="2"/>
    <n v="50"/>
    <n v="0"/>
    <x v="0"/>
    <x v="0"/>
    <s v="WhatsApp"/>
    <n v="22.5"/>
    <x v="12"/>
    <x v="2"/>
  </r>
  <r>
    <s v="HC-04774"/>
    <s v="P-1630"/>
    <s v="Female"/>
    <n v="52"/>
    <x v="2"/>
    <s v="General Consultation"/>
    <d v="2026-06-18T00:00:00"/>
    <d v="2026-06-24T00:00:00"/>
    <s v="Wednesday"/>
    <s v="Afternoon"/>
    <x v="1"/>
    <n v="6"/>
    <n v="3"/>
    <x v="1"/>
    <x v="1"/>
    <s v="None"/>
    <n v="12.1"/>
    <x v="5"/>
    <x v="1"/>
  </r>
  <r>
    <s v="HC-04775"/>
    <s v="P-0466"/>
    <s v="Female"/>
    <n v="66"/>
    <x v="4"/>
    <s v="Specialist Consultation"/>
    <d v="2025-05-22T00:00:00"/>
    <d v="2025-05-28T00:00:00"/>
    <s v="Wednesday"/>
    <s v="Morning"/>
    <x v="1"/>
    <n v="6"/>
    <n v="4"/>
    <x v="0"/>
    <x v="0"/>
    <s v="SMS"/>
    <n v="21.5"/>
    <x v="25"/>
    <x v="0"/>
  </r>
  <r>
    <s v="HC-04776"/>
    <s v="P-0113"/>
    <s v="Male"/>
    <n v="26"/>
    <x v="1"/>
    <s v="Follow-up"/>
    <d v="2024-12-14T00:00:00"/>
    <d v="2025-01-25T00:00:00"/>
    <s v="Saturday"/>
    <s v="Afternoon"/>
    <x v="2"/>
    <n v="42"/>
    <n v="3"/>
    <x v="1"/>
    <x v="0"/>
    <s v="WhatsApp"/>
    <n v="5.3"/>
    <x v="45"/>
    <x v="0"/>
  </r>
  <r>
    <s v="HC-04777"/>
    <s v="P-1199"/>
    <s v="Female"/>
    <n v="48"/>
    <x v="2"/>
    <s v="Diagnostic Test"/>
    <d v="2025-05-13T00:00:00"/>
    <d v="2025-07-03T00:00:00"/>
    <s v="Thursday"/>
    <s v="Evening"/>
    <x v="2"/>
    <n v="51"/>
    <n v="5"/>
    <x v="0"/>
    <x v="0"/>
    <s v="SMS"/>
    <n v="16.7"/>
    <x v="2"/>
    <x v="0"/>
  </r>
  <r>
    <s v="HC-04778"/>
    <s v="P-0438"/>
    <s v="Male"/>
    <n v="20"/>
    <x v="5"/>
    <s v="Follow-up"/>
    <d v="2026-01-20T00:00:00"/>
    <d v="2026-02-13T00:00:00"/>
    <s v="Friday"/>
    <s v="Morning"/>
    <x v="3"/>
    <n v="24"/>
    <n v="1"/>
    <x v="0"/>
    <x v="1"/>
    <s v="None"/>
    <n v="8.3000000000000007"/>
    <x v="47"/>
    <x v="0"/>
  </r>
  <r>
    <s v="HC-04779"/>
    <s v="P-1201"/>
    <s v="Female"/>
    <n v="49"/>
    <x v="2"/>
    <s v="Follow-up"/>
    <d v="2025-01-20T00:00:00"/>
    <d v="2025-02-28T00:00:00"/>
    <s v="Friday"/>
    <s v="Morning"/>
    <x v="2"/>
    <n v="39"/>
    <n v="1"/>
    <x v="0"/>
    <x v="1"/>
    <s v="None"/>
    <n v="13.7"/>
    <x v="13"/>
    <x v="2"/>
  </r>
  <r>
    <s v="HC-04780"/>
    <s v="P-1142"/>
    <s v="Prefer not to say"/>
    <n v="32"/>
    <x v="1"/>
    <s v="Follow-up"/>
    <d v="2024-12-11T00:00:00"/>
    <d v="2025-02-09T00:00:00"/>
    <s v="Sunday"/>
    <s v="Morning"/>
    <x v="2"/>
    <n v="60"/>
    <n v="3"/>
    <x v="1"/>
    <x v="0"/>
    <s v="SMS"/>
    <n v="23.1"/>
    <x v="23"/>
    <x v="0"/>
  </r>
  <r>
    <s v="HC-04781"/>
    <s v="P-0779"/>
    <s v="Male"/>
    <n v="75"/>
    <x v="4"/>
    <s v="General Consultation"/>
    <d v="2026-03-21T00:00:00"/>
    <d v="2026-04-09T00:00:00"/>
    <s v="Thursday"/>
    <s v="Morning"/>
    <x v="3"/>
    <n v="19"/>
    <n v="6"/>
    <x v="1"/>
    <x v="1"/>
    <s v="None"/>
    <n v="7.1"/>
    <x v="20"/>
    <x v="1"/>
  </r>
  <r>
    <s v="HC-04782"/>
    <s v="P-1514"/>
    <s v="Male"/>
    <n v="34"/>
    <x v="1"/>
    <s v="Diagnostic Test"/>
    <d v="2025-11-07T00:00:00"/>
    <d v="2025-11-20T00:00:00"/>
    <s v="Thursday"/>
    <s v="Evening"/>
    <x v="0"/>
    <n v="13"/>
    <n v="5"/>
    <x v="0"/>
    <x v="1"/>
    <s v="None"/>
    <n v="5"/>
    <x v="20"/>
    <x v="1"/>
  </r>
  <r>
    <s v="HC-04783"/>
    <s v="P-0848"/>
    <s v="Male"/>
    <n v="30"/>
    <x v="1"/>
    <s v="Diagnostic Test"/>
    <d v="2025-05-08T00:00:00"/>
    <d v="2025-07-07T00:00:00"/>
    <s v="Monday"/>
    <s v="Evening"/>
    <x v="2"/>
    <n v="60"/>
    <n v="1"/>
    <x v="0"/>
    <x v="0"/>
    <s v="SMS"/>
    <n v="17.7"/>
    <x v="4"/>
    <x v="0"/>
  </r>
  <r>
    <s v="HC-04784"/>
    <s v="P-0242"/>
    <s v="Male"/>
    <n v="18"/>
    <x v="5"/>
    <s v="General Consultation"/>
    <d v="2026-01-31T00:00:00"/>
    <d v="2026-02-17T00:00:00"/>
    <s v="Tuesday"/>
    <s v="Morning"/>
    <x v="3"/>
    <n v="17"/>
    <n v="3"/>
    <x v="0"/>
    <x v="1"/>
    <s v="None"/>
    <n v="10.3"/>
    <x v="0"/>
    <x v="1"/>
  </r>
  <r>
    <s v="HC-04785"/>
    <s v="P-0548"/>
    <s v="Female"/>
    <n v="26"/>
    <x v="1"/>
    <s v="Follow-up"/>
    <d v="2026-03-10T00:00:00"/>
    <d v="2026-04-07T00:00:00"/>
    <s v="Tuesday"/>
    <s v="Evening"/>
    <x v="3"/>
    <n v="28"/>
    <n v="1"/>
    <x v="0"/>
    <x v="1"/>
    <s v="None"/>
    <n v="11"/>
    <x v="8"/>
    <x v="0"/>
  </r>
  <r>
    <s v="HC-04786"/>
    <s v="P-0561"/>
    <s v="Female"/>
    <n v="31"/>
    <x v="1"/>
    <s v="General Consultation"/>
    <d v="2025-06-20T00:00:00"/>
    <d v="2025-07-16T00:00:00"/>
    <s v="Wednesday"/>
    <s v="Morning"/>
    <x v="3"/>
    <n v="26"/>
    <n v="2"/>
    <x v="0"/>
    <x v="0"/>
    <s v="SMS"/>
    <n v="4.8"/>
    <x v="18"/>
    <x v="1"/>
  </r>
  <r>
    <s v="HC-04787"/>
    <s v="P-0468"/>
    <s v="Male"/>
    <n v="32"/>
    <x v="1"/>
    <s v="Follow-up"/>
    <d v="2025-10-03T00:00:00"/>
    <d v="2025-11-03T00:00:00"/>
    <s v="Monday"/>
    <s v="Afternoon"/>
    <x v="2"/>
    <n v="31"/>
    <n v="0"/>
    <x v="0"/>
    <x v="0"/>
    <s v="WhatsApp"/>
    <n v="13.1"/>
    <x v="13"/>
    <x v="1"/>
  </r>
  <r>
    <s v="HC-04788"/>
    <s v="P-1468"/>
    <s v="Female"/>
    <n v="64"/>
    <x v="3"/>
    <s v="Specialist Consultation"/>
    <d v="2024-12-21T00:00:00"/>
    <d v="2025-01-06T00:00:00"/>
    <s v="Monday"/>
    <s v="Afternoon"/>
    <x v="3"/>
    <n v="16"/>
    <n v="4"/>
    <x v="0"/>
    <x v="0"/>
    <s v="WhatsApp"/>
    <n v="15.6"/>
    <x v="47"/>
    <x v="1"/>
  </r>
  <r>
    <s v="HC-04789"/>
    <s v="P-1089"/>
    <s v="Female"/>
    <n v="73"/>
    <x v="4"/>
    <s v="Diagnostic Test"/>
    <d v="2025-05-07T00:00:00"/>
    <d v="2025-06-17T00:00:00"/>
    <s v="Tuesday"/>
    <s v="Morning"/>
    <x v="2"/>
    <n v="41"/>
    <n v="5"/>
    <x v="0"/>
    <x v="0"/>
    <s v="SMS"/>
    <n v="5.9"/>
    <x v="18"/>
    <x v="0"/>
  </r>
  <r>
    <s v="HC-04790"/>
    <s v="P-0298"/>
    <s v="Male"/>
    <n v="71"/>
    <x v="4"/>
    <s v="General Consultation"/>
    <d v="2025-10-10T00:00:00"/>
    <d v="2025-11-21T00:00:00"/>
    <s v="Friday"/>
    <s v="Afternoon"/>
    <x v="2"/>
    <n v="42"/>
    <n v="3"/>
    <x v="0"/>
    <x v="1"/>
    <s v="None"/>
    <n v="8.1999999999999993"/>
    <x v="18"/>
    <x v="0"/>
  </r>
  <r>
    <s v="HC-04791"/>
    <s v="P-0606"/>
    <s v="Female"/>
    <n v="78"/>
    <x v="4"/>
    <s v="Follow-up"/>
    <d v="2025-04-06T00:00:00"/>
    <d v="2025-04-18T00:00:00"/>
    <s v="Friday"/>
    <s v="Afternoon"/>
    <x v="0"/>
    <n v="12"/>
    <n v="3"/>
    <x v="2"/>
    <x v="0"/>
    <s v="SMS"/>
    <n v="5.9"/>
    <x v="15"/>
    <x v="1"/>
  </r>
  <r>
    <s v="HC-04792"/>
    <s v="P-0111"/>
    <s v="Male"/>
    <n v="74"/>
    <x v="4"/>
    <s v="Specialist Consultation"/>
    <d v="2026-05-28T00:00:00"/>
    <d v="2026-06-26T00:00:00"/>
    <s v="Friday"/>
    <s v="Morning"/>
    <x v="3"/>
    <n v="29"/>
    <n v="1"/>
    <x v="0"/>
    <x v="1"/>
    <s v="None"/>
    <n v="12.3"/>
    <x v="19"/>
    <x v="1"/>
  </r>
  <r>
    <s v="HC-04793"/>
    <s v="P-0092"/>
    <s v="Female"/>
    <n v="46"/>
    <x v="2"/>
    <s v="General Consultation"/>
    <d v="2026-06-12T00:00:00"/>
    <d v="2026-06-15T00:00:00"/>
    <s v="Monday"/>
    <s v="Evening"/>
    <x v="1"/>
    <n v="3"/>
    <n v="4"/>
    <x v="0"/>
    <x v="1"/>
    <s v="None"/>
    <n v="19.5"/>
    <x v="10"/>
    <x v="1"/>
  </r>
  <r>
    <s v="HC-04794"/>
    <s v="P-0075"/>
    <s v="Female"/>
    <n v="42"/>
    <x v="0"/>
    <s v="Follow-up"/>
    <d v="2025-05-08T00:00:00"/>
    <d v="2025-05-21T00:00:00"/>
    <s v="Wednesday"/>
    <s v="Morning"/>
    <x v="0"/>
    <n v="13"/>
    <n v="2"/>
    <x v="0"/>
    <x v="0"/>
    <s v="SMS"/>
    <n v="0.5"/>
    <x v="26"/>
    <x v="0"/>
  </r>
  <r>
    <s v="HC-04795"/>
    <s v="P-0077"/>
    <s v="Female"/>
    <n v="58"/>
    <x v="3"/>
    <s v="Follow-up"/>
    <d v="2025-06-06T00:00:00"/>
    <d v="2025-08-05T00:00:00"/>
    <s v="Tuesday"/>
    <s v="Morning"/>
    <x v="2"/>
    <n v="60"/>
    <n v="3"/>
    <x v="1"/>
    <x v="0"/>
    <s v="WhatsApp"/>
    <n v="6.3"/>
    <x v="10"/>
    <x v="1"/>
  </r>
  <r>
    <s v="HC-04796"/>
    <s v="P-1615"/>
    <s v="Female"/>
    <n v="38"/>
    <x v="0"/>
    <s v="Specialist Consultation"/>
    <d v="2025-03-15T00:00:00"/>
    <d v="2025-04-14T00:00:00"/>
    <s v="Monday"/>
    <s v="Evening"/>
    <x v="3"/>
    <n v="30"/>
    <n v="4"/>
    <x v="1"/>
    <x v="0"/>
    <s v="WhatsApp"/>
    <n v="26.7"/>
    <x v="0"/>
    <x v="0"/>
  </r>
  <r>
    <s v="HC-04797"/>
    <s v="P-0473"/>
    <s v="Male"/>
    <n v="56"/>
    <x v="3"/>
    <s v="Diagnostic Test"/>
    <d v="2025-08-27T00:00:00"/>
    <d v="2025-10-03T00:00:00"/>
    <s v="Friday"/>
    <s v="Morning"/>
    <x v="2"/>
    <n v="37"/>
    <n v="4"/>
    <x v="0"/>
    <x v="0"/>
    <s v="WhatsApp"/>
    <n v="7.8"/>
    <x v="31"/>
    <x v="0"/>
  </r>
  <r>
    <s v="HC-04798"/>
    <s v="P-1472"/>
    <s v="Male"/>
    <n v="80"/>
    <x v="4"/>
    <s v="General Consultation"/>
    <d v="2025-01-14T00:00:00"/>
    <d v="2025-03-09T00:00:00"/>
    <s v="Sunday"/>
    <s v="Morning"/>
    <x v="2"/>
    <n v="54"/>
    <n v="1"/>
    <x v="0"/>
    <x v="0"/>
    <s v="SMS"/>
    <n v="10.4"/>
    <x v="20"/>
    <x v="1"/>
  </r>
  <r>
    <s v="HC-04799"/>
    <s v="P-1206"/>
    <s v="Female"/>
    <n v="30"/>
    <x v="1"/>
    <s v="General Consultation"/>
    <d v="2025-06-20T00:00:00"/>
    <d v="2025-08-02T00:00:00"/>
    <s v="Saturday"/>
    <s v="Morning"/>
    <x v="2"/>
    <n v="43"/>
    <n v="7"/>
    <x v="3"/>
    <x v="0"/>
    <s v="WhatsApp"/>
    <n v="36.200000000000003"/>
    <x v="23"/>
    <x v="1"/>
  </r>
  <r>
    <s v="HC-04800"/>
    <s v="P-0842"/>
    <s v="Female"/>
    <n v="66"/>
    <x v="4"/>
    <s v="General Consultation"/>
    <d v="2025-09-13T00:00:00"/>
    <d v="2025-10-31T00:00:00"/>
    <s v="Friday"/>
    <s v="Morning"/>
    <x v="2"/>
    <n v="48"/>
    <n v="4"/>
    <x v="1"/>
    <x v="0"/>
    <s v="SMS"/>
    <n v="24.8"/>
    <x v="0"/>
    <x v="0"/>
  </r>
  <r>
    <s v="HC-04801"/>
    <s v="P-1645"/>
    <s v="Male"/>
    <n v="76"/>
    <x v="4"/>
    <s v="General Consultation"/>
    <d v="2025-10-19T00:00:00"/>
    <d v="2025-12-01T00:00:00"/>
    <s v="Monday"/>
    <s v="Morning"/>
    <x v="2"/>
    <n v="43"/>
    <n v="3"/>
    <x v="1"/>
    <x v="0"/>
    <s v="SMS"/>
    <n v="12.7"/>
    <x v="3"/>
    <x v="0"/>
  </r>
  <r>
    <s v="HC-04802"/>
    <s v="P-1633"/>
    <s v="Female"/>
    <n v="51"/>
    <x v="2"/>
    <s v="Follow-up"/>
    <d v="2025-10-23T00:00:00"/>
    <d v="2025-11-22T00:00:00"/>
    <s v="Saturday"/>
    <s v="Morning"/>
    <x v="3"/>
    <n v="30"/>
    <n v="8"/>
    <x v="1"/>
    <x v="1"/>
    <s v="None"/>
    <n v="8"/>
    <x v="11"/>
    <x v="1"/>
  </r>
  <r>
    <s v="HC-04803"/>
    <s v="P-1161"/>
    <s v="Female"/>
    <n v="40"/>
    <x v="0"/>
    <s v="Specialist Consultation"/>
    <d v="2025-03-24T00:00:00"/>
    <d v="2025-05-01T00:00:00"/>
    <s v="Thursday"/>
    <s v="Afternoon"/>
    <x v="2"/>
    <n v="38"/>
    <n v="2"/>
    <x v="1"/>
    <x v="0"/>
    <s v="SMS"/>
    <n v="15.4"/>
    <x v="14"/>
    <x v="0"/>
  </r>
  <r>
    <s v="HC-04804"/>
    <s v="P-0171"/>
    <s v="Female"/>
    <n v="34"/>
    <x v="1"/>
    <s v="Follow-up"/>
    <d v="2026-02-20T00:00:00"/>
    <d v="2026-03-09T00:00:00"/>
    <s v="Monday"/>
    <s v="Afternoon"/>
    <x v="3"/>
    <n v="17"/>
    <n v="3"/>
    <x v="1"/>
    <x v="0"/>
    <s v="SMS"/>
    <n v="5.9"/>
    <x v="4"/>
    <x v="1"/>
  </r>
  <r>
    <s v="HC-04805"/>
    <s v="P-0209"/>
    <s v="Male"/>
    <n v="28"/>
    <x v="1"/>
    <s v="Follow-up"/>
    <d v="2025-11-20T00:00:00"/>
    <d v="2026-01-13T00:00:00"/>
    <s v="Tuesday"/>
    <s v="Evening"/>
    <x v="2"/>
    <n v="54"/>
    <n v="3"/>
    <x v="0"/>
    <x v="0"/>
    <s v="SMS"/>
    <n v="6.1"/>
    <x v="7"/>
    <x v="0"/>
  </r>
  <r>
    <s v="HC-04806"/>
    <s v="P-0068"/>
    <s v="Female"/>
    <n v="38"/>
    <x v="0"/>
    <s v="General Consultation"/>
    <d v="2026-02-06T00:00:00"/>
    <d v="2026-02-16T00:00:00"/>
    <s v="Monday"/>
    <s v="Evening"/>
    <x v="0"/>
    <n v="10"/>
    <n v="6"/>
    <x v="0"/>
    <x v="0"/>
    <s v="SMS"/>
    <n v="3.7"/>
    <x v="6"/>
    <x v="1"/>
  </r>
  <r>
    <s v="HC-04807"/>
    <s v="P-0840"/>
    <s v="Female"/>
    <n v="65"/>
    <x v="4"/>
    <s v="General Consultation"/>
    <d v="2025-07-22T00:00:00"/>
    <d v="2025-09-13T00:00:00"/>
    <s v="Saturday"/>
    <s v="Morning"/>
    <x v="2"/>
    <n v="53"/>
    <n v="1"/>
    <x v="0"/>
    <x v="0"/>
    <s v="SMS"/>
    <n v="5.4"/>
    <x v="46"/>
    <x v="1"/>
  </r>
  <r>
    <s v="HC-04808"/>
    <s v="P-0881"/>
    <s v="Male"/>
    <n v="50"/>
    <x v="2"/>
    <s v="Specialist Consultation"/>
    <d v="2026-03-11T00:00:00"/>
    <d v="2026-05-03T00:00:00"/>
    <s v="Sunday"/>
    <s v="Evening"/>
    <x v="2"/>
    <n v="53"/>
    <n v="4"/>
    <x v="1"/>
    <x v="0"/>
    <s v="WhatsApp"/>
    <n v="7.8"/>
    <x v="25"/>
    <x v="0"/>
  </r>
  <r>
    <s v="HC-04809"/>
    <s v="P-0867"/>
    <s v="Male"/>
    <n v="31"/>
    <x v="1"/>
    <s v="Follow-up"/>
    <d v="2025-07-24T00:00:00"/>
    <d v="2025-08-01T00:00:00"/>
    <s v="Friday"/>
    <s v="Afternoon"/>
    <x v="0"/>
    <n v="8"/>
    <n v="3"/>
    <x v="0"/>
    <x v="1"/>
    <s v="None"/>
    <n v="12.1"/>
    <x v="39"/>
    <x v="0"/>
  </r>
  <r>
    <s v="HC-04810"/>
    <s v="P-1396"/>
    <s v="Male"/>
    <n v="52"/>
    <x v="2"/>
    <s v="General Consultation"/>
    <d v="2026-02-01T00:00:00"/>
    <d v="2026-03-16T00:00:00"/>
    <s v="Monday"/>
    <s v="Evening"/>
    <x v="2"/>
    <n v="43"/>
    <n v="5"/>
    <x v="1"/>
    <x v="0"/>
    <s v="SMS"/>
    <n v="12.9"/>
    <x v="6"/>
    <x v="2"/>
  </r>
  <r>
    <s v="HC-04811"/>
    <s v="P-0129"/>
    <s v="Male"/>
    <n v="68"/>
    <x v="4"/>
    <s v="Diagnostic Test"/>
    <d v="2025-02-21T00:00:00"/>
    <d v="2025-04-22T00:00:00"/>
    <s v="Tuesday"/>
    <s v="Afternoon"/>
    <x v="2"/>
    <n v="60"/>
    <n v="2"/>
    <x v="0"/>
    <x v="0"/>
    <s v="WhatsApp"/>
    <n v="7.2"/>
    <x v="20"/>
    <x v="2"/>
  </r>
  <r>
    <s v="HC-04812"/>
    <s v="P-0132"/>
    <s v="Male"/>
    <n v="18"/>
    <x v="5"/>
    <s v="Follow-up"/>
    <d v="2025-04-12T00:00:00"/>
    <d v="2025-05-16T00:00:00"/>
    <s v="Friday"/>
    <s v="Morning"/>
    <x v="2"/>
    <n v="34"/>
    <n v="1"/>
    <x v="0"/>
    <x v="0"/>
    <s v="WhatsApp"/>
    <n v="10.6"/>
    <x v="2"/>
    <x v="1"/>
  </r>
  <r>
    <s v="HC-04813"/>
    <s v="P-1410"/>
    <s v="Male"/>
    <n v="19"/>
    <x v="5"/>
    <s v="General Consultation"/>
    <d v="2025-09-25T00:00:00"/>
    <d v="2025-10-15T00:00:00"/>
    <s v="Wednesday"/>
    <s v="Morning"/>
    <x v="3"/>
    <n v="20"/>
    <n v="1"/>
    <x v="0"/>
    <x v="1"/>
    <s v="None"/>
    <n v="20.5"/>
    <x v="8"/>
    <x v="0"/>
  </r>
  <r>
    <s v="HC-04814"/>
    <s v="P-0627"/>
    <s v="Male"/>
    <n v="78"/>
    <x v="4"/>
    <s v="Follow-up"/>
    <d v="2025-09-08T00:00:00"/>
    <d v="2025-10-31T00:00:00"/>
    <s v="Friday"/>
    <s v="Evening"/>
    <x v="2"/>
    <n v="53"/>
    <n v="3"/>
    <x v="0"/>
    <x v="0"/>
    <s v="WhatsApp"/>
    <n v="14.8"/>
    <x v="4"/>
    <x v="0"/>
  </r>
  <r>
    <s v="HC-04815"/>
    <s v="P-1430"/>
    <s v="Female"/>
    <n v="65"/>
    <x v="4"/>
    <s v="Follow-up"/>
    <d v="2026-01-12T00:00:00"/>
    <d v="2026-02-12T00:00:00"/>
    <s v="Thursday"/>
    <s v="Afternoon"/>
    <x v="2"/>
    <n v="31"/>
    <n v="3"/>
    <x v="0"/>
    <x v="1"/>
    <s v="None"/>
    <n v="4.9000000000000004"/>
    <x v="14"/>
    <x v="0"/>
  </r>
  <r>
    <s v="HC-04816"/>
    <s v="P-0252"/>
    <s v="Female"/>
    <n v="54"/>
    <x v="2"/>
    <s v="General Consultation"/>
    <d v="2025-06-05T00:00:00"/>
    <d v="2025-06-12T00:00:00"/>
    <s v="Thursday"/>
    <s v="Evening"/>
    <x v="1"/>
    <n v="7"/>
    <n v="3"/>
    <x v="0"/>
    <x v="0"/>
    <s v="WhatsApp"/>
    <n v="8.9"/>
    <x v="22"/>
    <x v="1"/>
  </r>
  <r>
    <s v="HC-04817"/>
    <s v="P-1436"/>
    <s v="Male"/>
    <n v="75"/>
    <x v="4"/>
    <s v="Specialist Consultation"/>
    <d v="2026-04-07T00:00:00"/>
    <d v="2026-04-22T00:00:00"/>
    <s v="Wednesday"/>
    <s v="Afternoon"/>
    <x v="3"/>
    <n v="15"/>
    <n v="2"/>
    <x v="0"/>
    <x v="0"/>
    <s v="SMS"/>
    <n v="18.8"/>
    <x v="4"/>
    <x v="0"/>
  </r>
  <r>
    <s v="HC-04818"/>
    <s v="P-1293"/>
    <s v="Male"/>
    <n v="55"/>
    <x v="3"/>
    <s v="Follow-up"/>
    <d v="2025-05-20T00:00:00"/>
    <d v="2025-06-30T00:00:00"/>
    <s v="Monday"/>
    <s v="Morning"/>
    <x v="2"/>
    <n v="41"/>
    <n v="4"/>
    <x v="2"/>
    <x v="0"/>
    <s v="WhatsApp"/>
    <n v="5.5"/>
    <x v="10"/>
    <x v="0"/>
  </r>
  <r>
    <s v="HC-04819"/>
    <s v="P-0175"/>
    <s v="Female"/>
    <n v="50"/>
    <x v="2"/>
    <s v="Follow-up"/>
    <d v="2025-09-22T00:00:00"/>
    <d v="2025-10-19T00:00:00"/>
    <s v="Sunday"/>
    <s v="Morning"/>
    <x v="3"/>
    <n v="27"/>
    <n v="4"/>
    <x v="2"/>
    <x v="1"/>
    <s v="None"/>
    <n v="4.5999999999999996"/>
    <x v="23"/>
    <x v="0"/>
  </r>
  <r>
    <s v="HC-04820"/>
    <s v="P-0481"/>
    <s v="Male"/>
    <n v="31"/>
    <x v="1"/>
    <s v="Specialist Consultation"/>
    <d v="2026-05-11T00:00:00"/>
    <d v="2026-05-24T00:00:00"/>
    <s v="Sunday"/>
    <s v="Evening"/>
    <x v="0"/>
    <n v="13"/>
    <n v="0"/>
    <x v="0"/>
    <x v="1"/>
    <s v="None"/>
    <n v="5.9"/>
    <x v="47"/>
    <x v="1"/>
  </r>
  <r>
    <s v="HC-04821"/>
    <s v="P-0694"/>
    <s v="Male"/>
    <n v="69"/>
    <x v="4"/>
    <s v="Follow-up"/>
    <d v="2025-09-04T00:00:00"/>
    <d v="2025-10-22T00:00:00"/>
    <s v="Wednesday"/>
    <s v="Morning"/>
    <x v="2"/>
    <n v="48"/>
    <n v="2"/>
    <x v="0"/>
    <x v="0"/>
    <s v="Email"/>
    <n v="8"/>
    <x v="7"/>
    <x v="0"/>
  </r>
  <r>
    <s v="HC-04822"/>
    <s v="P-0983"/>
    <s v="Female"/>
    <n v="66"/>
    <x v="4"/>
    <s v="General Consultation"/>
    <d v="2026-01-01T00:00:00"/>
    <d v="2026-01-08T00:00:00"/>
    <s v="Thursday"/>
    <s v="Afternoon"/>
    <x v="1"/>
    <n v="7"/>
    <n v="2"/>
    <x v="0"/>
    <x v="0"/>
    <s v="SMS"/>
    <n v="4.8"/>
    <x v="17"/>
    <x v="1"/>
  </r>
  <r>
    <s v="HC-04823"/>
    <s v="P-0951"/>
    <s v="Male"/>
    <n v="36"/>
    <x v="0"/>
    <s v="General Consultation"/>
    <d v="2026-04-29T00:00:00"/>
    <d v="2026-05-12T00:00:00"/>
    <s v="Tuesday"/>
    <s v="Evening"/>
    <x v="0"/>
    <n v="13"/>
    <n v="4"/>
    <x v="1"/>
    <x v="0"/>
    <s v="SMS"/>
    <n v="6"/>
    <x v="16"/>
    <x v="1"/>
  </r>
  <r>
    <s v="HC-04824"/>
    <s v="P-0014"/>
    <s v="Female"/>
    <n v="64"/>
    <x v="3"/>
    <s v="General Consultation"/>
    <d v="2026-05-20T00:00:00"/>
    <d v="2026-06-17T00:00:00"/>
    <s v="Wednesday"/>
    <s v="Morning"/>
    <x v="3"/>
    <n v="28"/>
    <n v="4"/>
    <x v="0"/>
    <x v="1"/>
    <s v="None"/>
    <n v="21"/>
    <x v="11"/>
    <x v="0"/>
  </r>
  <r>
    <s v="HC-04825"/>
    <s v="P-1056"/>
    <s v="Male"/>
    <n v="63"/>
    <x v="3"/>
    <s v="General Consultation"/>
    <d v="2025-09-28T00:00:00"/>
    <d v="2025-09-30T00:00:00"/>
    <s v="Tuesday"/>
    <s v="Morning"/>
    <x v="1"/>
    <n v="2"/>
    <n v="6"/>
    <x v="2"/>
    <x v="1"/>
    <s v="None"/>
    <n v="19.100000000000001"/>
    <x v="23"/>
    <x v="1"/>
  </r>
  <r>
    <s v="HC-04826"/>
    <s v="P-0771"/>
    <s v="Prefer not to say"/>
    <n v="23"/>
    <x v="5"/>
    <s v="General Consultation"/>
    <d v="2025-07-24T00:00:00"/>
    <d v="2025-08-16T00:00:00"/>
    <s v="Saturday"/>
    <s v="Afternoon"/>
    <x v="3"/>
    <n v="23"/>
    <n v="4"/>
    <x v="1"/>
    <x v="0"/>
    <s v="SMS"/>
    <n v="1.4"/>
    <x v="9"/>
    <x v="1"/>
  </r>
  <r>
    <s v="HC-04827"/>
    <s v="P-0776"/>
    <s v="Male"/>
    <n v="28"/>
    <x v="1"/>
    <s v="Follow-up"/>
    <d v="2025-02-22T00:00:00"/>
    <d v="2025-04-18T00:00:00"/>
    <s v="Friday"/>
    <s v="Afternoon"/>
    <x v="2"/>
    <n v="55"/>
    <n v="4"/>
    <x v="2"/>
    <x v="0"/>
    <s v="WhatsApp"/>
    <n v="2.4"/>
    <x v="20"/>
    <x v="1"/>
  </r>
  <r>
    <s v="HC-04828"/>
    <s v="P-0147"/>
    <s v="Male"/>
    <n v="55"/>
    <x v="3"/>
    <s v="General Consultation"/>
    <d v="2025-08-25T00:00:00"/>
    <d v="2025-10-21T00:00:00"/>
    <s v="Tuesday"/>
    <s v="Afternoon"/>
    <x v="2"/>
    <n v="57"/>
    <n v="2"/>
    <x v="1"/>
    <x v="0"/>
    <s v="SMS"/>
    <n v="14.8"/>
    <x v="31"/>
    <x v="1"/>
  </r>
  <r>
    <s v="HC-04829"/>
    <s v="P-0193"/>
    <s v="Male"/>
    <n v="57"/>
    <x v="3"/>
    <s v="General Consultation"/>
    <d v="2026-03-25T00:00:00"/>
    <d v="2026-05-17T00:00:00"/>
    <s v="Sunday"/>
    <s v="Morning"/>
    <x v="2"/>
    <n v="53"/>
    <n v="2"/>
    <x v="0"/>
    <x v="1"/>
    <s v="None"/>
    <n v="5.7"/>
    <x v="2"/>
    <x v="1"/>
  </r>
  <r>
    <s v="HC-04830"/>
    <s v="P-1622"/>
    <s v="Female"/>
    <n v="59"/>
    <x v="3"/>
    <s v="Follow-up"/>
    <d v="2025-09-04T00:00:00"/>
    <d v="2025-09-23T00:00:00"/>
    <s v="Tuesday"/>
    <s v="Morning"/>
    <x v="3"/>
    <n v="19"/>
    <n v="3"/>
    <x v="0"/>
    <x v="0"/>
    <s v="WhatsApp"/>
    <n v="4.5"/>
    <x v="35"/>
    <x v="1"/>
  </r>
  <r>
    <s v="HC-04831"/>
    <s v="P-0247"/>
    <s v="Male"/>
    <n v="41"/>
    <x v="0"/>
    <s v="General Consultation"/>
    <d v="2025-07-07T00:00:00"/>
    <d v="2025-07-10T00:00:00"/>
    <s v="Thursday"/>
    <s v="Morning"/>
    <x v="1"/>
    <n v="3"/>
    <n v="3"/>
    <x v="1"/>
    <x v="0"/>
    <s v="Email"/>
    <n v="11.5"/>
    <x v="12"/>
    <x v="1"/>
  </r>
  <r>
    <s v="HC-04832"/>
    <s v="P-1169"/>
    <s v="Female"/>
    <n v="70"/>
    <x v="4"/>
    <s v="Follow-up"/>
    <d v="2025-01-10T00:00:00"/>
    <d v="2025-02-28T00:00:00"/>
    <s v="Friday"/>
    <s v="Morning"/>
    <x v="2"/>
    <n v="49"/>
    <n v="2"/>
    <x v="0"/>
    <x v="1"/>
    <s v="None"/>
    <n v="13.6"/>
    <x v="12"/>
    <x v="0"/>
  </r>
  <r>
    <s v="HC-04833"/>
    <s v="P-1202"/>
    <s v="Male"/>
    <n v="46"/>
    <x v="2"/>
    <s v="Follow-up"/>
    <d v="2025-07-10T00:00:00"/>
    <d v="2025-08-01T00:00:00"/>
    <s v="Friday"/>
    <s v="Morning"/>
    <x v="3"/>
    <n v="22"/>
    <n v="7"/>
    <x v="2"/>
    <x v="0"/>
    <s v="WhatsApp"/>
    <n v="14.7"/>
    <x v="7"/>
    <x v="0"/>
  </r>
  <r>
    <s v="HC-04834"/>
    <s v="P-0993"/>
    <s v="Male"/>
    <n v="30"/>
    <x v="1"/>
    <s v="General Consultation"/>
    <d v="2025-03-26T00:00:00"/>
    <d v="2025-05-10T00:00:00"/>
    <s v="Saturday"/>
    <s v="Afternoon"/>
    <x v="2"/>
    <n v="45"/>
    <n v="1"/>
    <x v="0"/>
    <x v="0"/>
    <s v="Email"/>
    <n v="14"/>
    <x v="40"/>
    <x v="1"/>
  </r>
  <r>
    <s v="HC-04835"/>
    <s v="P-0351"/>
    <s v="Male"/>
    <n v="25"/>
    <x v="1"/>
    <s v="General Consultation"/>
    <d v="2026-06-11T00:00:00"/>
    <d v="2026-06-18T00:00:00"/>
    <s v="Thursday"/>
    <s v="Morning"/>
    <x v="1"/>
    <n v="7"/>
    <n v="2"/>
    <x v="0"/>
    <x v="0"/>
    <s v="Email"/>
    <n v="12"/>
    <x v="15"/>
    <x v="1"/>
  </r>
  <r>
    <s v="HC-04836"/>
    <s v="P-0594"/>
    <s v="Female"/>
    <n v="73"/>
    <x v="4"/>
    <s v="Follow-up"/>
    <d v="2025-09-06T00:00:00"/>
    <d v="2025-10-16T00:00:00"/>
    <s v="Thursday"/>
    <s v="Afternoon"/>
    <x v="2"/>
    <n v="40"/>
    <n v="1"/>
    <x v="0"/>
    <x v="1"/>
    <s v="None"/>
    <n v="7.6"/>
    <x v="52"/>
    <x v="2"/>
  </r>
  <r>
    <s v="HC-04837"/>
    <s v="P-1032"/>
    <s v="Female"/>
    <n v="62"/>
    <x v="3"/>
    <s v="General Consultation"/>
    <d v="2025-02-09T00:00:00"/>
    <d v="2025-03-16T00:00:00"/>
    <s v="Sunday"/>
    <s v="Evening"/>
    <x v="2"/>
    <n v="35"/>
    <n v="2"/>
    <x v="0"/>
    <x v="0"/>
    <s v="Email"/>
    <n v="16.3"/>
    <x v="9"/>
    <x v="1"/>
  </r>
  <r>
    <s v="HC-04838"/>
    <s v="P-0047"/>
    <s v="Female"/>
    <n v="47"/>
    <x v="2"/>
    <s v="Follow-up"/>
    <d v="2024-12-12T00:00:00"/>
    <d v="2025-02-06T00:00:00"/>
    <s v="Thursday"/>
    <s v="Afternoon"/>
    <x v="2"/>
    <n v="56"/>
    <n v="1"/>
    <x v="0"/>
    <x v="0"/>
    <s v="WhatsApp"/>
    <n v="15.6"/>
    <x v="21"/>
    <x v="0"/>
  </r>
  <r>
    <s v="HC-04839"/>
    <s v="P-1572"/>
    <s v="Female"/>
    <n v="31"/>
    <x v="1"/>
    <s v="Specialist Consultation"/>
    <d v="2026-04-04T00:00:00"/>
    <d v="2026-04-10T00:00:00"/>
    <s v="Friday"/>
    <s v="Afternoon"/>
    <x v="1"/>
    <n v="6"/>
    <n v="6"/>
    <x v="0"/>
    <x v="1"/>
    <s v="None"/>
    <m/>
    <x v="16"/>
    <x v="1"/>
  </r>
  <r>
    <s v="HC-04840"/>
    <s v="P-0694"/>
    <s v="Female"/>
    <n v="24"/>
    <x v="5"/>
    <s v="Follow-up"/>
    <d v="2026-04-30T00:00:00"/>
    <d v="2026-05-24T00:00:00"/>
    <s v="Sunday"/>
    <s v="Morning"/>
    <x v="3"/>
    <n v="24"/>
    <n v="3"/>
    <x v="0"/>
    <x v="1"/>
    <s v="None"/>
    <n v="4.7"/>
    <x v="26"/>
    <x v="0"/>
  </r>
  <r>
    <s v="HC-04841"/>
    <s v="P-0531"/>
    <s v="Female"/>
    <n v="27"/>
    <x v="1"/>
    <s v="Follow-up"/>
    <d v="2025-12-23T00:00:00"/>
    <d v="2026-02-21T00:00:00"/>
    <s v="Saturday"/>
    <s v="Afternoon"/>
    <x v="2"/>
    <n v="60"/>
    <n v="2"/>
    <x v="0"/>
    <x v="0"/>
    <s v="SMS"/>
    <n v="4.5"/>
    <x v="14"/>
    <x v="0"/>
  </r>
  <r>
    <s v="HC-04842"/>
    <s v="P-0369"/>
    <s v="Male"/>
    <n v="24"/>
    <x v="5"/>
    <s v="Diagnostic Test"/>
    <d v="2025-02-14T00:00:00"/>
    <d v="2025-03-09T00:00:00"/>
    <s v="Sunday"/>
    <s v="Morning"/>
    <x v="3"/>
    <n v="23"/>
    <n v="6"/>
    <x v="0"/>
    <x v="0"/>
    <s v="SMS"/>
    <n v="37"/>
    <x v="8"/>
    <x v="0"/>
  </r>
  <r>
    <s v="HC-04843"/>
    <s v="P-1734"/>
    <s v="Female"/>
    <n v="51"/>
    <x v="2"/>
    <s v="General Consultation"/>
    <d v="2025-01-14T00:00:00"/>
    <d v="2025-02-23T00:00:00"/>
    <s v="Sunday"/>
    <s v="Morning"/>
    <x v="2"/>
    <n v="40"/>
    <n v="3"/>
    <x v="1"/>
    <x v="0"/>
    <s v="SMS"/>
    <n v="17.7"/>
    <x v="23"/>
    <x v="1"/>
  </r>
  <r>
    <s v="HC-04844"/>
    <s v="P-0899"/>
    <s v="Male"/>
    <n v="30"/>
    <x v="1"/>
    <s v="Diagnostic Test"/>
    <d v="2025-04-10T00:00:00"/>
    <d v="2025-04-19T00:00:00"/>
    <s v="Saturday"/>
    <s v="Afternoon"/>
    <x v="0"/>
    <n v="9"/>
    <n v="5"/>
    <x v="0"/>
    <x v="0"/>
    <s v="WhatsApp"/>
    <n v="5.8"/>
    <x v="38"/>
    <x v="1"/>
  </r>
  <r>
    <s v="HC-04845"/>
    <s v="P-0729"/>
    <s v="Female"/>
    <n v="26"/>
    <x v="1"/>
    <s v="Specialist Consultation"/>
    <d v="2026-01-02T00:00:00"/>
    <d v="2026-02-15T00:00:00"/>
    <s v="Sunday"/>
    <s v="Morning"/>
    <x v="2"/>
    <n v="44"/>
    <n v="3"/>
    <x v="1"/>
    <x v="0"/>
    <s v="WhatsApp"/>
    <n v="7.5"/>
    <x v="26"/>
    <x v="0"/>
  </r>
  <r>
    <s v="HC-04846"/>
    <s v="P-0188"/>
    <s v="Male"/>
    <n v="35"/>
    <x v="0"/>
    <s v="General Consultation"/>
    <d v="2026-02-06T00:00:00"/>
    <d v="2026-02-22T00:00:00"/>
    <s v="Sunday"/>
    <s v="Morning"/>
    <x v="3"/>
    <n v="16"/>
    <n v="5"/>
    <x v="0"/>
    <x v="0"/>
    <s v="SMS"/>
    <n v="13.7"/>
    <x v="0"/>
    <x v="1"/>
  </r>
  <r>
    <s v="HC-04847"/>
    <s v="P-1780"/>
    <s v="Male"/>
    <n v="62"/>
    <x v="3"/>
    <s v="General Consultation"/>
    <d v="2026-02-28T00:00:00"/>
    <d v="2026-04-03T00:00:00"/>
    <s v="Friday"/>
    <s v="Afternoon"/>
    <x v="2"/>
    <n v="34"/>
    <n v="4"/>
    <x v="1"/>
    <x v="0"/>
    <s v="SMS"/>
    <n v="14.9"/>
    <x v="14"/>
    <x v="0"/>
  </r>
  <r>
    <s v="HC-04848"/>
    <s v="P-1004"/>
    <s v="Male"/>
    <n v="49"/>
    <x v="2"/>
    <s v="General Consultation"/>
    <d v="2024-12-31T00:00:00"/>
    <d v="2025-02-22T00:00:00"/>
    <s v="Saturday"/>
    <s v="Afternoon"/>
    <x v="2"/>
    <n v="53"/>
    <n v="2"/>
    <x v="0"/>
    <x v="1"/>
    <s v="None"/>
    <n v="2"/>
    <x v="20"/>
    <x v="1"/>
  </r>
  <r>
    <s v="HC-04849"/>
    <s v="P-0416"/>
    <s v="Male"/>
    <n v="27"/>
    <x v="1"/>
    <s v="Diagnostic Test"/>
    <d v="2025-02-13T00:00:00"/>
    <d v="2025-03-25T00:00:00"/>
    <s v="Tuesday"/>
    <s v="Morning"/>
    <x v="2"/>
    <n v="40"/>
    <n v="1"/>
    <x v="0"/>
    <x v="1"/>
    <s v="None"/>
    <n v="11.2"/>
    <x v="44"/>
    <x v="1"/>
  </r>
  <r>
    <s v="HC-04850"/>
    <s v="P-1488"/>
    <s v="Male"/>
    <n v="65"/>
    <x v="4"/>
    <s v="General Consultation"/>
    <d v="2026-04-09T00:00:00"/>
    <d v="2026-05-07T00:00:00"/>
    <s v="Thursday"/>
    <s v="Morning"/>
    <x v="3"/>
    <n v="28"/>
    <n v="6"/>
    <x v="1"/>
    <x v="0"/>
    <s v="SMS"/>
    <n v="15.6"/>
    <x v="6"/>
    <x v="0"/>
  </r>
  <r>
    <s v="HC-04851"/>
    <s v="P-0971"/>
    <s v="Female"/>
    <n v="48"/>
    <x v="2"/>
    <s v="Specialist Consultation"/>
    <d v="2026-05-12T00:00:00"/>
    <d v="2026-05-23T00:00:00"/>
    <s v="Saturday"/>
    <s v="Morning"/>
    <x v="0"/>
    <n v="11"/>
    <n v="2"/>
    <x v="0"/>
    <x v="1"/>
    <s v="None"/>
    <n v="6"/>
    <x v="33"/>
    <x v="0"/>
  </r>
  <r>
    <s v="HC-04852"/>
    <s v="P-0747"/>
    <s v="Male"/>
    <n v="29"/>
    <x v="1"/>
    <s v="Follow-up"/>
    <d v="2026-01-12T00:00:00"/>
    <d v="2026-02-01T00:00:00"/>
    <s v="Sunday"/>
    <s v="Afternoon"/>
    <x v="3"/>
    <n v="20"/>
    <n v="3"/>
    <x v="1"/>
    <x v="0"/>
    <s v="SMS"/>
    <n v="2"/>
    <x v="9"/>
    <x v="0"/>
  </r>
  <r>
    <s v="HC-04853"/>
    <s v="P-1425"/>
    <s v="Female"/>
    <n v="61"/>
    <x v="3"/>
    <s v="Follow-up"/>
    <d v="2025-01-07T00:00:00"/>
    <d v="2025-02-27T00:00:00"/>
    <s v="Thursday"/>
    <s v="Afternoon"/>
    <x v="2"/>
    <n v="51"/>
    <n v="5"/>
    <x v="1"/>
    <x v="0"/>
    <s v="WhatsApp"/>
    <n v="14.3"/>
    <x v="17"/>
    <x v="2"/>
  </r>
  <r>
    <s v="HC-04854"/>
    <s v="P-0091"/>
    <s v="Male"/>
    <n v="80"/>
    <x v="4"/>
    <s v="Follow-up"/>
    <d v="2025-01-25T00:00:00"/>
    <d v="2025-02-07T00:00:00"/>
    <s v="Friday"/>
    <s v="Morning"/>
    <x v="0"/>
    <n v="13"/>
    <n v="2"/>
    <x v="0"/>
    <x v="0"/>
    <s v="SMS"/>
    <n v="3.1"/>
    <x v="35"/>
    <x v="1"/>
  </r>
  <r>
    <s v="HC-04855"/>
    <s v="P-0951"/>
    <s v="Male"/>
    <n v="52"/>
    <x v="2"/>
    <s v="General Consultation"/>
    <d v="2024-12-22T00:00:00"/>
    <d v="2025-01-31T00:00:00"/>
    <s v="Friday"/>
    <s v="Afternoon"/>
    <x v="2"/>
    <n v="40"/>
    <n v="1"/>
    <x v="0"/>
    <x v="0"/>
    <s v="WhatsApp"/>
    <n v="19.8"/>
    <x v="19"/>
    <x v="0"/>
  </r>
  <r>
    <s v="HC-04856"/>
    <s v="P-1048"/>
    <s v="Female"/>
    <n v="28"/>
    <x v="1"/>
    <s v="Follow-up"/>
    <d v="2025-12-15T00:00:00"/>
    <d v="2026-01-13T00:00:00"/>
    <s v="Tuesday"/>
    <s v="Evening"/>
    <x v="3"/>
    <n v="29"/>
    <n v="4"/>
    <x v="1"/>
    <x v="1"/>
    <s v="None"/>
    <n v="4.2"/>
    <x v="38"/>
    <x v="1"/>
  </r>
  <r>
    <s v="HC-04857"/>
    <s v="P-1506"/>
    <s v="Male"/>
    <n v="37"/>
    <x v="0"/>
    <s v="Diagnostic Test"/>
    <d v="2026-03-19T00:00:00"/>
    <d v="2026-04-07T00:00:00"/>
    <s v="Tuesday"/>
    <s v="Afternoon"/>
    <x v="3"/>
    <n v="19"/>
    <n v="4"/>
    <x v="1"/>
    <x v="0"/>
    <s v="WhatsApp"/>
    <n v="10.5"/>
    <x v="17"/>
    <x v="0"/>
  </r>
  <r>
    <s v="HC-04858"/>
    <s v="P-1684"/>
    <s v="Female"/>
    <n v="55"/>
    <x v="3"/>
    <s v="General Consultation"/>
    <d v="2025-10-29T00:00:00"/>
    <d v="2025-12-11T00:00:00"/>
    <s v="Thursday"/>
    <s v="Afternoon"/>
    <x v="2"/>
    <n v="43"/>
    <n v="4"/>
    <x v="2"/>
    <x v="1"/>
    <s v="None"/>
    <n v="2.2000000000000002"/>
    <x v="37"/>
    <x v="0"/>
  </r>
  <r>
    <s v="HC-04859"/>
    <s v="P-0840"/>
    <s v="Male"/>
    <n v="80"/>
    <x v="4"/>
    <s v="Diagnostic Test"/>
    <d v="2025-05-02T00:00:00"/>
    <d v="2025-05-24T00:00:00"/>
    <s v="Saturday"/>
    <s v="Afternoon"/>
    <x v="3"/>
    <n v="22"/>
    <n v="0"/>
    <x v="0"/>
    <x v="0"/>
    <s v="WhatsApp"/>
    <n v="10.199999999999999"/>
    <x v="14"/>
    <x v="1"/>
  </r>
  <r>
    <s v="HC-04860"/>
    <s v="P-1692"/>
    <s v="Male"/>
    <n v="76"/>
    <x v="4"/>
    <s v="Diagnostic Test"/>
    <d v="2026-02-01T00:00:00"/>
    <d v="2026-02-18T00:00:00"/>
    <s v="Wednesday"/>
    <s v="Evening"/>
    <x v="3"/>
    <n v="17"/>
    <n v="5"/>
    <x v="0"/>
    <x v="0"/>
    <s v="WhatsApp"/>
    <n v="8.9"/>
    <x v="49"/>
    <x v="1"/>
  </r>
  <r>
    <s v="HC-04861"/>
    <s v="P-0845"/>
    <s v="Male"/>
    <n v="76"/>
    <x v="4"/>
    <s v="General Consultation"/>
    <d v="2025-01-01T00:00:00"/>
    <d v="2025-02-02T00:00:00"/>
    <s v="Sunday"/>
    <s v="Evening"/>
    <x v="2"/>
    <n v="32"/>
    <n v="3"/>
    <x v="0"/>
    <x v="0"/>
    <s v="SMS"/>
    <n v="7.4"/>
    <x v="17"/>
    <x v="0"/>
  </r>
  <r>
    <s v="HC-04862"/>
    <s v="P-0684"/>
    <s v="Male"/>
    <n v="70"/>
    <x v="4"/>
    <s v="Follow-up"/>
    <d v="2026-02-11T00:00:00"/>
    <d v="2026-03-29T00:00:00"/>
    <s v="Sunday"/>
    <s v="Morning"/>
    <x v="2"/>
    <n v="46"/>
    <n v="4"/>
    <x v="1"/>
    <x v="0"/>
    <s v="SMS"/>
    <n v="6"/>
    <x v="6"/>
    <x v="1"/>
  </r>
  <r>
    <s v="HC-04863"/>
    <s v="P-0961"/>
    <s v="Female"/>
    <n v="54"/>
    <x v="2"/>
    <s v="General Consultation"/>
    <d v="2026-03-11T00:00:00"/>
    <d v="2026-05-02T00:00:00"/>
    <s v="Saturday"/>
    <s v="Morning"/>
    <x v="2"/>
    <n v="52"/>
    <n v="4"/>
    <x v="0"/>
    <x v="0"/>
    <s v="WhatsApp"/>
    <n v="7.6"/>
    <x v="17"/>
    <x v="2"/>
  </r>
  <r>
    <s v="HC-04864"/>
    <s v="P-0775"/>
    <s v="Male"/>
    <n v="58"/>
    <x v="3"/>
    <s v="Follow-up"/>
    <d v="2025-12-21T00:00:00"/>
    <d v="2026-01-28T00:00:00"/>
    <s v="Wednesday"/>
    <s v="Morning"/>
    <x v="2"/>
    <n v="38"/>
    <n v="7"/>
    <x v="1"/>
    <x v="0"/>
    <s v="WhatsApp"/>
    <n v="6.2"/>
    <x v="47"/>
    <x v="0"/>
  </r>
  <r>
    <s v="HC-04865"/>
    <s v="P-0927"/>
    <s v="Male"/>
    <n v="64"/>
    <x v="3"/>
    <s v="Diagnostic Test"/>
    <d v="2026-03-17T00:00:00"/>
    <d v="2026-04-26T00:00:00"/>
    <s v="Sunday"/>
    <s v="Afternoon"/>
    <x v="2"/>
    <n v="40"/>
    <n v="2"/>
    <x v="2"/>
    <x v="0"/>
    <s v="SMS"/>
    <n v="13.6"/>
    <x v="8"/>
    <x v="0"/>
  </r>
  <r>
    <s v="HC-04866"/>
    <s v="P-0521"/>
    <s v="Female"/>
    <n v="63"/>
    <x v="3"/>
    <s v="Diagnostic Test"/>
    <d v="2025-09-30T00:00:00"/>
    <d v="2025-11-17T00:00:00"/>
    <s v="Monday"/>
    <s v="Morning"/>
    <x v="2"/>
    <n v="48"/>
    <n v="3"/>
    <x v="0"/>
    <x v="0"/>
    <s v="SMS"/>
    <n v="10.6"/>
    <x v="4"/>
    <x v="0"/>
  </r>
  <r>
    <s v="HC-04867"/>
    <s v="P-1710"/>
    <s v="Female"/>
    <n v="58"/>
    <x v="3"/>
    <s v="Diagnostic Test"/>
    <d v="2025-08-28T00:00:00"/>
    <d v="2025-09-13T00:00:00"/>
    <s v="Saturday"/>
    <s v="Evening"/>
    <x v="3"/>
    <n v="16"/>
    <n v="1"/>
    <x v="0"/>
    <x v="0"/>
    <s v="SMS"/>
    <n v="9.9"/>
    <x v="8"/>
    <x v="1"/>
  </r>
  <r>
    <s v="HC-04868"/>
    <s v="P-1635"/>
    <s v="Female"/>
    <n v="26"/>
    <x v="1"/>
    <s v="General Consultation"/>
    <d v="2025-06-11T00:00:00"/>
    <d v="2025-06-26T00:00:00"/>
    <s v="Thursday"/>
    <s v="Morning"/>
    <x v="3"/>
    <n v="15"/>
    <n v="2"/>
    <x v="0"/>
    <x v="1"/>
    <s v="None"/>
    <n v="10.3"/>
    <x v="11"/>
    <x v="0"/>
  </r>
  <r>
    <s v="HC-04869"/>
    <s v="P-1347"/>
    <s v="Male"/>
    <n v="73"/>
    <x v="4"/>
    <s v="Follow-up"/>
    <d v="2026-04-20T00:00:00"/>
    <d v="2026-05-19T00:00:00"/>
    <s v="Tuesday"/>
    <s v="Afternoon"/>
    <x v="3"/>
    <n v="29"/>
    <n v="3"/>
    <x v="0"/>
    <x v="0"/>
    <s v="SMS"/>
    <n v="6.7"/>
    <x v="32"/>
    <x v="1"/>
  </r>
  <r>
    <s v="HC-04870"/>
    <s v="P-0378"/>
    <s v="Male"/>
    <n v="18"/>
    <x v="5"/>
    <s v="General Consultation"/>
    <d v="2025-12-09T00:00:00"/>
    <d v="2026-01-16T00:00:00"/>
    <s v="Friday"/>
    <s v="Morning"/>
    <x v="2"/>
    <n v="38"/>
    <n v="3"/>
    <x v="0"/>
    <x v="0"/>
    <s v="WhatsApp"/>
    <n v="11.7"/>
    <x v="22"/>
    <x v="1"/>
  </r>
  <r>
    <s v="HC-04871"/>
    <s v="P-1532"/>
    <s v="Female"/>
    <n v="44"/>
    <x v="0"/>
    <s v="Diagnostic Test"/>
    <d v="2025-03-07T00:00:00"/>
    <d v="2025-04-15T00:00:00"/>
    <s v="Tuesday"/>
    <s v="Afternoon"/>
    <x v="2"/>
    <n v="39"/>
    <n v="5"/>
    <x v="0"/>
    <x v="1"/>
    <s v="None"/>
    <n v="15.7"/>
    <x v="7"/>
    <x v="0"/>
  </r>
  <r>
    <s v="HC-04872"/>
    <s v="P-1002"/>
    <s v="Female"/>
    <n v="45"/>
    <x v="2"/>
    <s v="General Consultation"/>
    <d v="2026-05-29T00:00:00"/>
    <d v="2026-06-07T00:00:00"/>
    <s v="Sunday"/>
    <s v="Morning"/>
    <x v="0"/>
    <n v="9"/>
    <n v="3"/>
    <x v="0"/>
    <x v="0"/>
    <s v="SMS"/>
    <n v="12.7"/>
    <x v="0"/>
    <x v="1"/>
  </r>
  <r>
    <s v="HC-04873"/>
    <s v="P-1164"/>
    <s v="Female"/>
    <n v="80"/>
    <x v="4"/>
    <s v="General Consultation"/>
    <d v="2024-12-17T00:00:00"/>
    <d v="2025-02-02T00:00:00"/>
    <s v="Sunday"/>
    <s v="Afternoon"/>
    <x v="2"/>
    <n v="47"/>
    <n v="8"/>
    <x v="1"/>
    <x v="0"/>
    <s v="SMS"/>
    <n v="15.4"/>
    <x v="39"/>
    <x v="0"/>
  </r>
  <r>
    <s v="HC-04874"/>
    <s v="P-0883"/>
    <s v="Female"/>
    <n v="23"/>
    <x v="5"/>
    <s v="General Consultation"/>
    <d v="2025-10-26T00:00:00"/>
    <d v="2025-11-17T00:00:00"/>
    <s v="Monday"/>
    <s v="Afternoon"/>
    <x v="3"/>
    <n v="22"/>
    <n v="1"/>
    <x v="0"/>
    <x v="0"/>
    <s v="SMS"/>
    <n v="13.4"/>
    <x v="23"/>
    <x v="0"/>
  </r>
  <r>
    <s v="HC-04875"/>
    <s v="P-1206"/>
    <s v="Female"/>
    <n v="47"/>
    <x v="2"/>
    <s v="General Consultation"/>
    <d v="2025-02-21T00:00:00"/>
    <d v="2025-04-15T00:00:00"/>
    <s v="Tuesday"/>
    <s v="Morning"/>
    <x v="2"/>
    <n v="53"/>
    <n v="4"/>
    <x v="0"/>
    <x v="0"/>
    <s v="WhatsApp"/>
    <n v="11.4"/>
    <x v="17"/>
    <x v="1"/>
  </r>
  <r>
    <s v="HC-04876"/>
    <s v="P-0158"/>
    <s v="Male"/>
    <n v="40"/>
    <x v="0"/>
    <s v="General Consultation"/>
    <d v="2025-11-15T00:00:00"/>
    <d v="2025-12-29T00:00:00"/>
    <s v="Monday"/>
    <s v="Afternoon"/>
    <x v="2"/>
    <n v="44"/>
    <n v="3"/>
    <x v="2"/>
    <x v="0"/>
    <s v="SMS"/>
    <n v="3.7"/>
    <x v="51"/>
    <x v="0"/>
  </r>
  <r>
    <s v="HC-04877"/>
    <s v="P-1614"/>
    <s v="Female"/>
    <n v="24"/>
    <x v="5"/>
    <s v="General Consultation"/>
    <d v="2025-06-16T00:00:00"/>
    <d v="2025-08-14T00:00:00"/>
    <s v="Thursday"/>
    <s v="Evening"/>
    <x v="2"/>
    <n v="59"/>
    <n v="2"/>
    <x v="0"/>
    <x v="0"/>
    <s v="WhatsApp"/>
    <n v="5.3"/>
    <x v="9"/>
    <x v="1"/>
  </r>
  <r>
    <s v="HC-04878"/>
    <s v="P-0906"/>
    <s v="Male"/>
    <n v="32"/>
    <x v="1"/>
    <s v="Specialist Consultation"/>
    <d v="2025-07-20T00:00:00"/>
    <d v="2025-08-27T00:00:00"/>
    <s v="Wednesday"/>
    <s v="Afternoon"/>
    <x v="2"/>
    <n v="38"/>
    <n v="3"/>
    <x v="0"/>
    <x v="1"/>
    <s v="None"/>
    <n v="2.2000000000000002"/>
    <x v="6"/>
    <x v="0"/>
  </r>
  <r>
    <s v="HC-04879"/>
    <s v="P-0964"/>
    <s v="Female"/>
    <n v="44"/>
    <x v="0"/>
    <s v="Specialist Consultation"/>
    <d v="2025-12-01T00:00:00"/>
    <d v="2026-01-02T00:00:00"/>
    <s v="Friday"/>
    <s v="Afternoon"/>
    <x v="2"/>
    <n v="32"/>
    <n v="2"/>
    <x v="1"/>
    <x v="0"/>
    <s v="WhatsApp"/>
    <m/>
    <x v="0"/>
    <x v="0"/>
  </r>
  <r>
    <s v="HC-04880"/>
    <s v="P-1015"/>
    <s v="Male"/>
    <n v="75"/>
    <x v="4"/>
    <s v="General Consultation"/>
    <d v="2026-02-06T00:00:00"/>
    <d v="2026-02-17T00:00:00"/>
    <s v="Tuesday"/>
    <s v="Afternoon"/>
    <x v="0"/>
    <n v="11"/>
    <n v="4"/>
    <x v="1"/>
    <x v="1"/>
    <s v="None"/>
    <n v="3.7"/>
    <x v="25"/>
    <x v="1"/>
  </r>
  <r>
    <s v="HC-04881"/>
    <s v="P-1720"/>
    <s v="Female"/>
    <n v="42"/>
    <x v="0"/>
    <s v="Specialist Consultation"/>
    <d v="2025-07-03T00:00:00"/>
    <d v="2025-07-27T00:00:00"/>
    <s v="Sunday"/>
    <s v="Evening"/>
    <x v="3"/>
    <n v="24"/>
    <n v="6"/>
    <x v="1"/>
    <x v="1"/>
    <s v="None"/>
    <n v="4.9000000000000004"/>
    <x v="8"/>
    <x v="0"/>
  </r>
  <r>
    <s v="HC-04882"/>
    <s v="P-0496"/>
    <s v="Female"/>
    <n v="73"/>
    <x v="4"/>
    <s v="Follow-up"/>
    <d v="2026-05-08T00:00:00"/>
    <d v="2026-06-29T00:00:00"/>
    <s v="Monday"/>
    <s v="Afternoon"/>
    <x v="2"/>
    <n v="52"/>
    <n v="0"/>
    <x v="0"/>
    <x v="0"/>
    <s v="WhatsApp"/>
    <m/>
    <x v="24"/>
    <x v="2"/>
  </r>
  <r>
    <s v="HC-04883"/>
    <s v="P-0648"/>
    <s v="Female"/>
    <n v="64"/>
    <x v="3"/>
    <s v="Specialist Consultation"/>
    <d v="2025-09-07T00:00:00"/>
    <d v="2025-09-30T00:00:00"/>
    <s v="Tuesday"/>
    <s v="Evening"/>
    <x v="3"/>
    <n v="23"/>
    <n v="2"/>
    <x v="1"/>
    <x v="0"/>
    <s v="SMS"/>
    <n v="7"/>
    <x v="10"/>
    <x v="0"/>
  </r>
  <r>
    <s v="HC-04884"/>
    <s v="P-0314"/>
    <s v="Male"/>
    <n v="69"/>
    <x v="4"/>
    <s v="General Consultation"/>
    <d v="2025-03-26T00:00:00"/>
    <d v="2025-03-29T00:00:00"/>
    <s v="Saturday"/>
    <s v="Afternoon"/>
    <x v="1"/>
    <n v="3"/>
    <n v="4"/>
    <x v="1"/>
    <x v="1"/>
    <s v="None"/>
    <n v="7.9"/>
    <x v="15"/>
    <x v="1"/>
  </r>
  <r>
    <s v="HC-04885"/>
    <s v="P-1019"/>
    <s v="Male"/>
    <n v="71"/>
    <x v="4"/>
    <s v="Follow-up"/>
    <d v="2024-12-21T00:00:00"/>
    <d v="2025-01-04T00:00:00"/>
    <s v="Saturday"/>
    <s v="Morning"/>
    <x v="0"/>
    <n v="14"/>
    <n v="4"/>
    <x v="0"/>
    <x v="1"/>
    <s v="None"/>
    <n v="15.9"/>
    <x v="16"/>
    <x v="1"/>
  </r>
  <r>
    <s v="HC-04886"/>
    <s v="P-0804"/>
    <s v="Female"/>
    <n v="62"/>
    <x v="3"/>
    <s v="General Consultation"/>
    <d v="2025-03-16T00:00:00"/>
    <d v="2025-04-21T00:00:00"/>
    <s v="Monday"/>
    <s v="Morning"/>
    <x v="2"/>
    <n v="36"/>
    <n v="5"/>
    <x v="1"/>
    <x v="0"/>
    <s v="SMS"/>
    <n v="11.3"/>
    <x v="19"/>
    <x v="0"/>
  </r>
  <r>
    <s v="HC-04887"/>
    <s v="P-0488"/>
    <s v="Male"/>
    <n v="64"/>
    <x v="3"/>
    <s v="General Consultation"/>
    <d v="2025-12-06T00:00:00"/>
    <d v="2026-01-13T00:00:00"/>
    <s v="Tuesday"/>
    <s v="Afternoon"/>
    <x v="2"/>
    <n v="38"/>
    <n v="4"/>
    <x v="0"/>
    <x v="0"/>
    <s v="SMS"/>
    <n v="13"/>
    <x v="10"/>
    <x v="1"/>
  </r>
  <r>
    <s v="HC-04888"/>
    <s v="P-1739"/>
    <s v="Male"/>
    <n v="27"/>
    <x v="1"/>
    <s v="Follow-up"/>
    <d v="2025-08-23T00:00:00"/>
    <d v="2025-10-22T00:00:00"/>
    <s v="Wednesday"/>
    <s v="Afternoon"/>
    <x v="2"/>
    <n v="60"/>
    <n v="2"/>
    <x v="0"/>
    <x v="0"/>
    <s v="SMS"/>
    <n v="4.5999999999999996"/>
    <x v="17"/>
    <x v="1"/>
  </r>
  <r>
    <s v="HC-04889"/>
    <s v="P-0697"/>
    <s v="Female"/>
    <n v="63"/>
    <x v="3"/>
    <s v="Specialist Consultation"/>
    <d v="2025-05-09T00:00:00"/>
    <d v="2025-07-04T00:00:00"/>
    <s v="Friday"/>
    <s v="Afternoon"/>
    <x v="2"/>
    <n v="56"/>
    <n v="6"/>
    <x v="0"/>
    <x v="0"/>
    <s v="WhatsApp"/>
    <n v="13.1"/>
    <x v="2"/>
    <x v="0"/>
  </r>
  <r>
    <s v="HC-04890"/>
    <s v="P-1724"/>
    <s v="Male"/>
    <n v="21"/>
    <x v="5"/>
    <s v="Specialist Consultation"/>
    <d v="2025-08-19T00:00:00"/>
    <d v="2025-09-20T00:00:00"/>
    <s v="Saturday"/>
    <s v="Evening"/>
    <x v="2"/>
    <n v="32"/>
    <n v="4"/>
    <x v="0"/>
    <x v="1"/>
    <s v="None"/>
    <n v="4.4000000000000004"/>
    <x v="16"/>
    <x v="1"/>
  </r>
  <r>
    <s v="HC-04891"/>
    <s v="P-1462"/>
    <s v="Female"/>
    <n v="64"/>
    <x v="3"/>
    <s v="General Consultation"/>
    <d v="2026-03-01T00:00:00"/>
    <d v="2026-04-03T00:00:00"/>
    <s v="Friday"/>
    <s v="Afternoon"/>
    <x v="2"/>
    <n v="33"/>
    <n v="5"/>
    <x v="2"/>
    <x v="0"/>
    <s v="Email"/>
    <n v="7.7"/>
    <x v="46"/>
    <x v="0"/>
  </r>
  <r>
    <s v="HC-04892"/>
    <s v="P-0703"/>
    <s v="Male"/>
    <n v="59"/>
    <x v="3"/>
    <s v="Follow-up"/>
    <d v="2025-09-22T00:00:00"/>
    <d v="2025-11-09T00:00:00"/>
    <s v="Sunday"/>
    <s v="Morning"/>
    <x v="2"/>
    <n v="48"/>
    <n v="0"/>
    <x v="0"/>
    <x v="0"/>
    <s v="WhatsApp"/>
    <n v="5.9"/>
    <x v="25"/>
    <x v="1"/>
  </r>
  <r>
    <s v="HC-04893"/>
    <s v="P-0976"/>
    <s v="Male"/>
    <n v="65"/>
    <x v="4"/>
    <s v="Specialist Consultation"/>
    <d v="2025-01-30T00:00:00"/>
    <d v="2025-02-01T00:00:00"/>
    <s v="Saturday"/>
    <s v="Afternoon"/>
    <x v="1"/>
    <n v="2"/>
    <n v="4"/>
    <x v="0"/>
    <x v="0"/>
    <s v="WhatsApp"/>
    <n v="6.1"/>
    <x v="10"/>
    <x v="1"/>
  </r>
  <r>
    <s v="HC-04894"/>
    <s v="P-1433"/>
    <s v="Female"/>
    <n v="58"/>
    <x v="3"/>
    <s v="General Consultation"/>
    <d v="2024-12-22T00:00:00"/>
    <d v="2025-01-27T00:00:00"/>
    <s v="Monday"/>
    <s v="Morning"/>
    <x v="2"/>
    <n v="36"/>
    <n v="4"/>
    <x v="0"/>
    <x v="0"/>
    <s v="SMS"/>
    <n v="31.4"/>
    <x v="1"/>
    <x v="0"/>
  </r>
  <r>
    <s v="HC-04895"/>
    <s v="P-0400"/>
    <s v="Male"/>
    <n v="41"/>
    <x v="0"/>
    <s v="General Consultation"/>
    <d v="2025-08-24T00:00:00"/>
    <d v="2025-09-21T00:00:00"/>
    <s v="Sunday"/>
    <s v="Afternoon"/>
    <x v="3"/>
    <n v="28"/>
    <n v="2"/>
    <x v="0"/>
    <x v="1"/>
    <s v="None"/>
    <n v="6.5"/>
    <x v="47"/>
    <x v="1"/>
  </r>
  <r>
    <s v="HC-04896"/>
    <s v="P-1398"/>
    <s v="Female"/>
    <n v="41"/>
    <x v="0"/>
    <s v="General Consultation"/>
    <d v="2025-06-23T00:00:00"/>
    <d v="2025-08-09T00:00:00"/>
    <s v="Saturday"/>
    <s v="Evening"/>
    <x v="2"/>
    <n v="47"/>
    <n v="3"/>
    <x v="0"/>
    <x v="1"/>
    <s v="None"/>
    <n v="1.8"/>
    <x v="14"/>
    <x v="0"/>
  </r>
  <r>
    <s v="HC-04897"/>
    <s v="P-1540"/>
    <s v="Male"/>
    <n v="55"/>
    <x v="3"/>
    <s v="General Consultation"/>
    <d v="2026-02-21T00:00:00"/>
    <d v="2026-04-10T00:00:00"/>
    <s v="Friday"/>
    <s v="Morning"/>
    <x v="2"/>
    <n v="48"/>
    <n v="2"/>
    <x v="1"/>
    <x v="0"/>
    <s v="SMS"/>
    <n v="15.3"/>
    <x v="6"/>
    <x v="0"/>
  </r>
  <r>
    <s v="HC-04898"/>
    <s v="P-1695"/>
    <s v="Male"/>
    <n v="47"/>
    <x v="2"/>
    <s v="General Consultation"/>
    <d v="2025-10-07T00:00:00"/>
    <d v="2025-11-15T00:00:00"/>
    <s v="Saturday"/>
    <s v="Afternoon"/>
    <x v="2"/>
    <n v="39"/>
    <n v="3"/>
    <x v="2"/>
    <x v="1"/>
    <s v="None"/>
    <n v="8.1999999999999993"/>
    <x v="9"/>
    <x v="1"/>
  </r>
  <r>
    <s v="HC-04899"/>
    <s v="P-1295"/>
    <s v="Male"/>
    <n v="39"/>
    <x v="0"/>
    <s v="General Consultation"/>
    <d v="2026-01-09T00:00:00"/>
    <d v="2026-02-18T00:00:00"/>
    <s v="Wednesday"/>
    <s v="Afternoon"/>
    <x v="2"/>
    <n v="40"/>
    <n v="1"/>
    <x v="0"/>
    <x v="0"/>
    <s v="SMS"/>
    <n v="12.6"/>
    <x v="15"/>
    <x v="1"/>
  </r>
  <r>
    <s v="HC-04900"/>
    <s v="P-1189"/>
    <s v="Female"/>
    <n v="48"/>
    <x v="2"/>
    <s v="Follow-up"/>
    <d v="2025-10-05T00:00:00"/>
    <d v="2025-11-16T00:00:00"/>
    <s v="Sunday"/>
    <s v="Morning"/>
    <x v="2"/>
    <n v="42"/>
    <n v="2"/>
    <x v="0"/>
    <x v="0"/>
    <s v="WhatsApp"/>
    <n v="4.9000000000000004"/>
    <x v="12"/>
    <x v="1"/>
  </r>
  <r>
    <s v="HC-04901"/>
    <s v="P-1523"/>
    <s v="Female"/>
    <n v="51"/>
    <x v="2"/>
    <s v="Follow-up"/>
    <d v="2025-06-03T00:00:00"/>
    <d v="2025-07-08T00:00:00"/>
    <s v="Tuesday"/>
    <s v="Afternoon"/>
    <x v="2"/>
    <n v="35"/>
    <n v="2"/>
    <x v="1"/>
    <x v="1"/>
    <s v="None"/>
    <n v="7.9"/>
    <x v="5"/>
    <x v="0"/>
  </r>
  <r>
    <s v="HC-04902"/>
    <s v="P-0532"/>
    <s v="Male"/>
    <n v="33"/>
    <x v="1"/>
    <s v="Specialist Consultation"/>
    <d v="2025-12-12T00:00:00"/>
    <d v="2025-12-25T00:00:00"/>
    <s v="Thursday"/>
    <s v="Afternoon"/>
    <x v="0"/>
    <n v="13"/>
    <n v="3"/>
    <x v="0"/>
    <x v="0"/>
    <s v="SMS"/>
    <n v="8.8000000000000007"/>
    <x v="31"/>
    <x v="0"/>
  </r>
  <r>
    <s v="HC-04903"/>
    <s v="P-0961"/>
    <s v="Male"/>
    <n v="58"/>
    <x v="3"/>
    <s v="Follow-up"/>
    <d v="2025-11-19T00:00:00"/>
    <d v="2025-12-06T00:00:00"/>
    <s v="Saturday"/>
    <s v="Afternoon"/>
    <x v="3"/>
    <n v="17"/>
    <n v="3"/>
    <x v="0"/>
    <x v="1"/>
    <s v="None"/>
    <n v="8.6999999999999993"/>
    <x v="11"/>
    <x v="1"/>
  </r>
  <r>
    <s v="HC-04904"/>
    <s v="P-1771"/>
    <s v="Male"/>
    <n v="37"/>
    <x v="0"/>
    <s v="General Consultation"/>
    <d v="2025-12-15T00:00:00"/>
    <d v="2026-01-29T00:00:00"/>
    <s v="Thursday"/>
    <s v="Morning"/>
    <x v="2"/>
    <n v="45"/>
    <n v="2"/>
    <x v="1"/>
    <x v="0"/>
    <s v="Email"/>
    <n v="8.1999999999999993"/>
    <x v="40"/>
    <x v="1"/>
  </r>
  <r>
    <s v="HC-04905"/>
    <s v="P-0220"/>
    <s v="Female"/>
    <n v="34"/>
    <x v="1"/>
    <s v="Diagnostic Test"/>
    <d v="2025-03-08T00:00:00"/>
    <d v="2025-04-14T00:00:00"/>
    <s v="Monday"/>
    <s v="Morning"/>
    <x v="2"/>
    <n v="37"/>
    <n v="2"/>
    <x v="0"/>
    <x v="0"/>
    <s v="SMS"/>
    <n v="14.7"/>
    <x v="51"/>
    <x v="2"/>
  </r>
  <r>
    <s v="HC-04906"/>
    <s v="P-0619"/>
    <s v="Male"/>
    <n v="44"/>
    <x v="0"/>
    <s v="Specialist Consultation"/>
    <d v="2025-12-03T00:00:00"/>
    <d v="2025-12-17T00:00:00"/>
    <s v="Wednesday"/>
    <s v="Afternoon"/>
    <x v="0"/>
    <n v="14"/>
    <n v="4"/>
    <x v="0"/>
    <x v="0"/>
    <s v="SMS"/>
    <n v="16.100000000000001"/>
    <x v="27"/>
    <x v="1"/>
  </r>
  <r>
    <s v="HC-04907"/>
    <s v="P-1260"/>
    <s v="Male"/>
    <n v="24"/>
    <x v="5"/>
    <s v="Follow-up"/>
    <d v="2025-04-13T00:00:00"/>
    <d v="2025-06-05T00:00:00"/>
    <s v="Thursday"/>
    <s v="Morning"/>
    <x v="2"/>
    <n v="53"/>
    <n v="1"/>
    <x v="0"/>
    <x v="0"/>
    <s v="WhatsApp"/>
    <n v="4.8"/>
    <x v="50"/>
    <x v="1"/>
  </r>
  <r>
    <s v="HC-04908"/>
    <s v="P-0241"/>
    <s v="Male"/>
    <n v="56"/>
    <x v="3"/>
    <s v="General Consultation"/>
    <d v="2026-01-08T00:00:00"/>
    <d v="2026-03-08T00:00:00"/>
    <s v="Sunday"/>
    <s v="Morning"/>
    <x v="2"/>
    <n v="59"/>
    <n v="4"/>
    <x v="0"/>
    <x v="0"/>
    <s v="WhatsApp"/>
    <n v="15.5"/>
    <x v="18"/>
    <x v="1"/>
  </r>
  <r>
    <s v="HC-04909"/>
    <s v="P-1460"/>
    <s v="Female"/>
    <n v="64"/>
    <x v="3"/>
    <s v="Follow-up"/>
    <d v="2026-02-02T00:00:00"/>
    <d v="2026-03-12T00:00:00"/>
    <s v="Thursday"/>
    <s v="Evening"/>
    <x v="2"/>
    <n v="38"/>
    <n v="1"/>
    <x v="0"/>
    <x v="0"/>
    <s v="WhatsApp"/>
    <n v="5.2"/>
    <x v="26"/>
    <x v="2"/>
  </r>
  <r>
    <s v="HC-04910"/>
    <s v="P-0867"/>
    <s v="Female"/>
    <n v="78"/>
    <x v="4"/>
    <s v="Follow-up"/>
    <d v="2025-11-25T00:00:00"/>
    <d v="2025-12-08T00:00:00"/>
    <s v="Monday"/>
    <s v="Afternoon"/>
    <x v="0"/>
    <n v="13"/>
    <n v="2"/>
    <x v="0"/>
    <x v="0"/>
    <s v="WhatsApp"/>
    <n v="12.1"/>
    <x v="9"/>
    <x v="0"/>
  </r>
  <r>
    <s v="HC-04911"/>
    <s v="P-1256"/>
    <s v="Female"/>
    <n v="35"/>
    <x v="0"/>
    <s v="Follow-up"/>
    <d v="2026-04-05T00:00:00"/>
    <d v="2026-06-01T00:00:00"/>
    <s v="Monday"/>
    <s v="Afternoon"/>
    <x v="2"/>
    <n v="57"/>
    <n v="5"/>
    <x v="0"/>
    <x v="0"/>
    <s v="Email"/>
    <n v="1.6"/>
    <x v="17"/>
    <x v="0"/>
  </r>
  <r>
    <s v="HC-04912"/>
    <s v="P-1732"/>
    <s v="Male"/>
    <n v="51"/>
    <x v="2"/>
    <s v="Specialist Consultation"/>
    <d v="2025-10-07T00:00:00"/>
    <d v="2025-10-21T00:00:00"/>
    <s v="Tuesday"/>
    <s v="Evening"/>
    <x v="0"/>
    <n v="14"/>
    <n v="7"/>
    <x v="2"/>
    <x v="0"/>
    <s v="WhatsApp"/>
    <n v="14.8"/>
    <x v="42"/>
    <x v="0"/>
  </r>
  <r>
    <s v="HC-04913"/>
    <s v="P-1693"/>
    <s v="Male"/>
    <n v="49"/>
    <x v="2"/>
    <s v="Diagnostic Test"/>
    <d v="2024-12-19T00:00:00"/>
    <d v="2025-01-14T00:00:00"/>
    <s v="Tuesday"/>
    <s v="Morning"/>
    <x v="3"/>
    <n v="26"/>
    <n v="3"/>
    <x v="2"/>
    <x v="1"/>
    <s v="None"/>
    <n v="11.3"/>
    <x v="15"/>
    <x v="0"/>
  </r>
  <r>
    <s v="HC-04914"/>
    <s v="P-1164"/>
    <s v="Male"/>
    <n v="64"/>
    <x v="3"/>
    <s v="Diagnostic Test"/>
    <d v="2025-10-06T00:00:00"/>
    <d v="2025-11-27T00:00:00"/>
    <s v="Thursday"/>
    <s v="Morning"/>
    <x v="2"/>
    <n v="52"/>
    <n v="4"/>
    <x v="2"/>
    <x v="0"/>
    <s v="SMS"/>
    <n v="5.4"/>
    <x v="11"/>
    <x v="1"/>
  </r>
  <r>
    <s v="HC-04915"/>
    <s v="P-0517"/>
    <s v="Female"/>
    <n v="57"/>
    <x v="3"/>
    <s v="Follow-up"/>
    <d v="2026-01-29T00:00:00"/>
    <d v="2026-03-01T00:00:00"/>
    <s v="Sunday"/>
    <s v="Afternoon"/>
    <x v="2"/>
    <n v="31"/>
    <n v="3"/>
    <x v="0"/>
    <x v="0"/>
    <s v="SMS"/>
    <n v="9.3000000000000007"/>
    <x v="16"/>
    <x v="1"/>
  </r>
  <r>
    <s v="HC-04916"/>
    <s v="P-1106"/>
    <s v="Male"/>
    <n v="68"/>
    <x v="4"/>
    <s v="Diagnostic Test"/>
    <d v="2025-02-11T00:00:00"/>
    <d v="2025-02-25T00:00:00"/>
    <s v="Tuesday"/>
    <s v="Morning"/>
    <x v="0"/>
    <n v="14"/>
    <n v="4"/>
    <x v="2"/>
    <x v="0"/>
    <s v="Email"/>
    <n v="8.1999999999999993"/>
    <x v="17"/>
    <x v="1"/>
  </r>
  <r>
    <s v="HC-04917"/>
    <s v="P-1281"/>
    <s v="Male"/>
    <n v="71"/>
    <x v="4"/>
    <s v="Diagnostic Test"/>
    <d v="2025-02-23T00:00:00"/>
    <d v="2025-02-27T00:00:00"/>
    <s v="Thursday"/>
    <s v="Morning"/>
    <x v="1"/>
    <n v="4"/>
    <n v="2"/>
    <x v="0"/>
    <x v="0"/>
    <s v="SMS"/>
    <n v="9.9"/>
    <x v="23"/>
    <x v="1"/>
  </r>
  <r>
    <s v="HC-04918"/>
    <s v="P-0597"/>
    <s v="Female"/>
    <n v="25"/>
    <x v="1"/>
    <s v="General Consultation"/>
    <d v="2025-05-08T00:00:00"/>
    <d v="2025-05-30T00:00:00"/>
    <s v="Friday"/>
    <s v="Afternoon"/>
    <x v="3"/>
    <n v="22"/>
    <n v="4"/>
    <x v="0"/>
    <x v="0"/>
    <s v="WhatsApp"/>
    <n v="10.1"/>
    <x v="15"/>
    <x v="0"/>
  </r>
  <r>
    <s v="HC-04919"/>
    <s v="P-1283"/>
    <s v="Female"/>
    <n v="40"/>
    <x v="0"/>
    <s v="Follow-up"/>
    <d v="2026-02-25T00:00:00"/>
    <d v="2026-04-06T00:00:00"/>
    <s v="Monday"/>
    <s v="Morning"/>
    <x v="2"/>
    <n v="40"/>
    <n v="3"/>
    <x v="0"/>
    <x v="0"/>
    <s v="SMS"/>
    <n v="8.3000000000000007"/>
    <x v="25"/>
    <x v="0"/>
  </r>
  <r>
    <s v="HC-04920"/>
    <s v="P-1320"/>
    <s v="Female"/>
    <n v="59"/>
    <x v="3"/>
    <s v="General Consultation"/>
    <d v="2025-09-02T00:00:00"/>
    <d v="2025-10-15T00:00:00"/>
    <s v="Wednesday"/>
    <s v="Afternoon"/>
    <x v="2"/>
    <n v="43"/>
    <n v="2"/>
    <x v="1"/>
    <x v="0"/>
    <s v="WhatsApp"/>
    <n v="21.5"/>
    <x v="6"/>
    <x v="0"/>
  </r>
  <r>
    <s v="HC-04921"/>
    <s v="P-0912"/>
    <s v="Male"/>
    <n v="52"/>
    <x v="2"/>
    <s v="General Consultation"/>
    <d v="2026-06-05T00:00:00"/>
    <d v="2026-06-18T00:00:00"/>
    <s v="Thursday"/>
    <s v="Afternoon"/>
    <x v="0"/>
    <n v="13"/>
    <n v="3"/>
    <x v="0"/>
    <x v="0"/>
    <s v="SMS"/>
    <n v="6.5"/>
    <x v="4"/>
    <x v="0"/>
  </r>
  <r>
    <s v="HC-04922"/>
    <s v="P-0325"/>
    <s v="Female"/>
    <n v="48"/>
    <x v="2"/>
    <s v="General Consultation"/>
    <d v="2026-04-13T00:00:00"/>
    <d v="2026-04-22T00:00:00"/>
    <s v="Wednesday"/>
    <s v="Afternoon"/>
    <x v="0"/>
    <n v="9"/>
    <n v="2"/>
    <x v="0"/>
    <x v="0"/>
    <s v="SMS"/>
    <n v="11.9"/>
    <x v="27"/>
    <x v="1"/>
  </r>
  <r>
    <s v="HC-04923"/>
    <s v="P-1203"/>
    <s v="Female"/>
    <n v="28"/>
    <x v="1"/>
    <s v="Follow-up"/>
    <d v="2025-09-18T00:00:00"/>
    <d v="2025-10-30T00:00:00"/>
    <s v="Thursday"/>
    <s v="Morning"/>
    <x v="2"/>
    <n v="42"/>
    <n v="3"/>
    <x v="1"/>
    <x v="1"/>
    <s v="None"/>
    <n v="10.9"/>
    <x v="16"/>
    <x v="0"/>
  </r>
  <r>
    <s v="HC-04924"/>
    <s v="P-0174"/>
    <s v="Male"/>
    <n v="54"/>
    <x v="2"/>
    <s v="General Consultation"/>
    <d v="2025-12-28T00:00:00"/>
    <d v="2026-01-06T00:00:00"/>
    <s v="Tuesday"/>
    <s v="Morning"/>
    <x v="0"/>
    <n v="9"/>
    <n v="1"/>
    <x v="0"/>
    <x v="0"/>
    <s v="SMS"/>
    <n v="7"/>
    <x v="16"/>
    <x v="0"/>
  </r>
  <r>
    <s v="HC-04925"/>
    <s v="P-0475"/>
    <s v="Male"/>
    <n v="64"/>
    <x v="3"/>
    <s v="General Consultation"/>
    <d v="2025-06-27T00:00:00"/>
    <d v="2025-06-30T00:00:00"/>
    <s v="Monday"/>
    <s v="Evening"/>
    <x v="1"/>
    <n v="3"/>
    <n v="3"/>
    <x v="1"/>
    <x v="0"/>
    <s v="SMS"/>
    <n v="19.899999999999999"/>
    <x v="31"/>
    <x v="1"/>
  </r>
  <r>
    <s v="HC-04926"/>
    <s v="P-1573"/>
    <s v="Male"/>
    <n v="20"/>
    <x v="5"/>
    <s v="General Consultation"/>
    <d v="2025-01-21T00:00:00"/>
    <d v="2025-02-19T00:00:00"/>
    <s v="Wednesday"/>
    <s v="Evening"/>
    <x v="3"/>
    <n v="29"/>
    <n v="4"/>
    <x v="0"/>
    <x v="0"/>
    <s v="SMS"/>
    <n v="4.5"/>
    <x v="10"/>
    <x v="1"/>
  </r>
  <r>
    <s v="HC-04927"/>
    <s v="P-0030"/>
    <s v="Male"/>
    <n v="55"/>
    <x v="3"/>
    <s v="Follow-up"/>
    <d v="2025-07-03T00:00:00"/>
    <d v="2025-08-06T00:00:00"/>
    <s v="Wednesday"/>
    <s v="Afternoon"/>
    <x v="2"/>
    <n v="34"/>
    <n v="3"/>
    <x v="0"/>
    <x v="1"/>
    <s v="None"/>
    <n v="13.4"/>
    <x v="32"/>
    <x v="1"/>
  </r>
  <r>
    <s v="HC-04928"/>
    <s v="P-0934"/>
    <s v="Male"/>
    <n v="75"/>
    <x v="4"/>
    <s v="Diagnostic Test"/>
    <d v="2025-11-06T00:00:00"/>
    <d v="2025-11-20T00:00:00"/>
    <s v="Thursday"/>
    <s v="Morning"/>
    <x v="0"/>
    <n v="14"/>
    <n v="3"/>
    <x v="0"/>
    <x v="0"/>
    <s v="SMS"/>
    <n v="11.9"/>
    <x v="18"/>
    <x v="1"/>
  </r>
  <r>
    <s v="HC-04929"/>
    <s v="P-0700"/>
    <s v="Male"/>
    <n v="54"/>
    <x v="2"/>
    <s v="Diagnostic Test"/>
    <d v="2025-03-29T00:00:00"/>
    <d v="2025-04-10T00:00:00"/>
    <s v="Thursday"/>
    <s v="Afternoon"/>
    <x v="0"/>
    <n v="12"/>
    <n v="2"/>
    <x v="1"/>
    <x v="1"/>
    <s v="None"/>
    <n v="11.2"/>
    <x v="14"/>
    <x v="2"/>
  </r>
  <r>
    <s v="HC-04930"/>
    <s v="P-1596"/>
    <s v="Male"/>
    <n v="78"/>
    <x v="4"/>
    <s v="Follow-up"/>
    <d v="2025-04-18T00:00:00"/>
    <d v="2025-05-02T00:00:00"/>
    <s v="Friday"/>
    <s v="Morning"/>
    <x v="0"/>
    <n v="14"/>
    <n v="5"/>
    <x v="0"/>
    <x v="0"/>
    <s v="SMS"/>
    <n v="9.1999999999999993"/>
    <x v="54"/>
    <x v="1"/>
  </r>
  <r>
    <s v="HC-04931"/>
    <s v="P-0408"/>
    <s v="Female"/>
    <n v="40"/>
    <x v="0"/>
    <s v="General Consultation"/>
    <d v="2024-12-20T00:00:00"/>
    <d v="2025-01-09T00:00:00"/>
    <s v="Thursday"/>
    <s v="Morning"/>
    <x v="3"/>
    <n v="20"/>
    <n v="4"/>
    <x v="1"/>
    <x v="0"/>
    <s v="SMS"/>
    <n v="15.4"/>
    <x v="51"/>
    <x v="0"/>
  </r>
  <r>
    <s v="HC-04932"/>
    <s v="P-0064"/>
    <s v="Male"/>
    <n v="18"/>
    <x v="5"/>
    <s v="Specialist Consultation"/>
    <d v="2026-02-05T00:00:00"/>
    <d v="2026-02-05T00:00:00"/>
    <s v="Thursday"/>
    <s v="Morning"/>
    <x v="1"/>
    <n v="0"/>
    <n v="3"/>
    <x v="0"/>
    <x v="0"/>
    <s v="WhatsApp"/>
    <n v="3.5"/>
    <x v="12"/>
    <x v="1"/>
  </r>
  <r>
    <s v="HC-04933"/>
    <s v="P-0857"/>
    <s v="Male"/>
    <n v="60"/>
    <x v="3"/>
    <s v="General Consultation"/>
    <d v="2026-05-07T00:00:00"/>
    <d v="2026-05-07T00:00:00"/>
    <s v="Thursday"/>
    <s v="Morning"/>
    <x v="1"/>
    <n v="0"/>
    <n v="4"/>
    <x v="1"/>
    <x v="0"/>
    <s v="WhatsApp"/>
    <n v="5.3"/>
    <x v="16"/>
    <x v="1"/>
  </r>
  <r>
    <s v="HC-04934"/>
    <s v="P-1268"/>
    <s v="Male"/>
    <n v="31"/>
    <x v="1"/>
    <s v="Diagnostic Test"/>
    <d v="2026-03-06T00:00:00"/>
    <d v="2026-03-28T00:00:00"/>
    <s v="Saturday"/>
    <s v="Morning"/>
    <x v="3"/>
    <n v="22"/>
    <n v="5"/>
    <x v="0"/>
    <x v="1"/>
    <s v="None"/>
    <n v="11.5"/>
    <x v="16"/>
    <x v="1"/>
  </r>
  <r>
    <s v="HC-04935"/>
    <s v="P-0037"/>
    <s v="Female"/>
    <n v="18"/>
    <x v="5"/>
    <s v="Specialist Consultation"/>
    <d v="2025-07-26T00:00:00"/>
    <d v="2025-07-27T00:00:00"/>
    <s v="Sunday"/>
    <s v="Morning"/>
    <x v="1"/>
    <n v="1"/>
    <n v="3"/>
    <x v="0"/>
    <x v="0"/>
    <s v="SMS"/>
    <n v="5.6"/>
    <x v="10"/>
    <x v="2"/>
  </r>
  <r>
    <s v="HC-04936"/>
    <s v="P-0228"/>
    <s v="Female"/>
    <n v="29"/>
    <x v="1"/>
    <s v="Follow-up"/>
    <d v="2025-11-02T00:00:00"/>
    <d v="2025-11-21T00:00:00"/>
    <s v="Friday"/>
    <s v="Afternoon"/>
    <x v="3"/>
    <n v="19"/>
    <n v="4"/>
    <x v="1"/>
    <x v="1"/>
    <s v="None"/>
    <n v="4.8"/>
    <x v="21"/>
    <x v="1"/>
  </r>
  <r>
    <s v="HC-04937"/>
    <s v="P-0625"/>
    <s v="Female"/>
    <n v="76"/>
    <x v="4"/>
    <s v="General Consultation"/>
    <d v="2026-05-05T00:00:00"/>
    <d v="2026-06-09T00:00:00"/>
    <s v="Tuesday"/>
    <s v="Afternoon"/>
    <x v="2"/>
    <n v="35"/>
    <n v="0"/>
    <x v="0"/>
    <x v="0"/>
    <s v="Email"/>
    <n v="18.399999999999999"/>
    <x v="26"/>
    <x v="1"/>
  </r>
  <r>
    <s v="HC-04938"/>
    <s v="P-0268"/>
    <s v="Female"/>
    <n v="67"/>
    <x v="4"/>
    <s v="General Consultation"/>
    <d v="2025-11-18T00:00:00"/>
    <d v="2025-11-19T00:00:00"/>
    <s v="Wednesday"/>
    <s v="Morning"/>
    <x v="1"/>
    <n v="1"/>
    <n v="3"/>
    <x v="0"/>
    <x v="0"/>
    <s v="Email"/>
    <n v="19"/>
    <x v="14"/>
    <x v="0"/>
  </r>
  <r>
    <s v="HC-04939"/>
    <s v="P-0785"/>
    <s v="Female"/>
    <n v="35"/>
    <x v="0"/>
    <s v="Follow-up"/>
    <d v="2025-05-05T00:00:00"/>
    <d v="2025-06-11T00:00:00"/>
    <s v="Wednesday"/>
    <s v="Morning"/>
    <x v="2"/>
    <n v="37"/>
    <n v="4"/>
    <x v="1"/>
    <x v="1"/>
    <s v="None"/>
    <n v="12"/>
    <x v="20"/>
    <x v="1"/>
  </r>
  <r>
    <s v="HC-04940"/>
    <s v="P-0375"/>
    <s v="Female"/>
    <n v="55"/>
    <x v="3"/>
    <s v="General Consultation"/>
    <d v="2025-05-28T00:00:00"/>
    <d v="2025-07-04T00:00:00"/>
    <s v="Friday"/>
    <s v="Evening"/>
    <x v="2"/>
    <n v="37"/>
    <n v="1"/>
    <x v="0"/>
    <x v="0"/>
    <s v="SMS"/>
    <n v="5.7"/>
    <x v="35"/>
    <x v="2"/>
  </r>
  <r>
    <s v="HC-04941"/>
    <s v="P-1540"/>
    <s v="Female"/>
    <n v="39"/>
    <x v="0"/>
    <s v="Specialist Consultation"/>
    <d v="2025-12-30T00:00:00"/>
    <d v="2026-02-02T00:00:00"/>
    <s v="Monday"/>
    <s v="Morning"/>
    <x v="2"/>
    <n v="34"/>
    <n v="4"/>
    <x v="0"/>
    <x v="1"/>
    <s v="None"/>
    <n v="6.6"/>
    <x v="6"/>
    <x v="2"/>
  </r>
  <r>
    <s v="HC-04942"/>
    <s v="P-0073"/>
    <s v="Male"/>
    <n v="29"/>
    <x v="1"/>
    <s v="Follow-up"/>
    <d v="2025-07-25T00:00:00"/>
    <d v="2025-09-01T00:00:00"/>
    <s v="Monday"/>
    <s v="Morning"/>
    <x v="2"/>
    <n v="38"/>
    <n v="0"/>
    <x v="0"/>
    <x v="0"/>
    <s v="SMS"/>
    <n v="10.3"/>
    <x v="9"/>
    <x v="1"/>
  </r>
  <r>
    <s v="HC-04943"/>
    <s v="P-0050"/>
    <s v="Male"/>
    <n v="80"/>
    <x v="4"/>
    <s v="Follow-up"/>
    <d v="2026-02-13T00:00:00"/>
    <d v="2026-04-03T00:00:00"/>
    <s v="Friday"/>
    <s v="Afternoon"/>
    <x v="2"/>
    <n v="49"/>
    <n v="1"/>
    <x v="1"/>
    <x v="0"/>
    <s v="WhatsApp"/>
    <n v="7.9"/>
    <x v="26"/>
    <x v="0"/>
  </r>
  <r>
    <s v="HC-04944"/>
    <s v="P-1779"/>
    <s v="Male"/>
    <n v="69"/>
    <x v="4"/>
    <s v="General Consultation"/>
    <d v="2026-04-13T00:00:00"/>
    <d v="2026-04-17T00:00:00"/>
    <s v="Friday"/>
    <s v="Afternoon"/>
    <x v="1"/>
    <n v="4"/>
    <n v="2"/>
    <x v="0"/>
    <x v="0"/>
    <s v="WhatsApp"/>
    <n v="13.7"/>
    <x v="4"/>
    <x v="1"/>
  </r>
  <r>
    <s v="HC-04945"/>
    <s v="P-1663"/>
    <s v="Female"/>
    <n v="40"/>
    <x v="0"/>
    <s v="Follow-up"/>
    <d v="2025-01-10T00:00:00"/>
    <d v="2025-01-20T00:00:00"/>
    <s v="Monday"/>
    <s v="Afternoon"/>
    <x v="0"/>
    <n v="10"/>
    <n v="3"/>
    <x v="0"/>
    <x v="1"/>
    <s v="None"/>
    <n v="4.0999999999999996"/>
    <x v="47"/>
    <x v="0"/>
  </r>
  <r>
    <s v="HC-04946"/>
    <s v="P-1171"/>
    <s v="Female"/>
    <n v="40"/>
    <x v="0"/>
    <s v="General Consultation"/>
    <d v="2026-01-11T00:00:00"/>
    <d v="2026-01-30T00:00:00"/>
    <s v="Friday"/>
    <s v="Morning"/>
    <x v="3"/>
    <n v="19"/>
    <n v="1"/>
    <x v="0"/>
    <x v="1"/>
    <s v="None"/>
    <n v="4.0999999999999996"/>
    <x v="2"/>
    <x v="1"/>
  </r>
  <r>
    <s v="HC-04947"/>
    <s v="P-0131"/>
    <s v="Female"/>
    <n v="69"/>
    <x v="4"/>
    <s v="Follow-up"/>
    <d v="2025-06-10T00:00:00"/>
    <d v="2025-07-21T00:00:00"/>
    <s v="Monday"/>
    <s v="Morning"/>
    <x v="2"/>
    <n v="41"/>
    <n v="2"/>
    <x v="0"/>
    <x v="1"/>
    <s v="None"/>
    <n v="8.3000000000000007"/>
    <x v="17"/>
    <x v="0"/>
  </r>
  <r>
    <s v="HC-04948"/>
    <s v="P-1627"/>
    <s v="Male"/>
    <n v="47"/>
    <x v="2"/>
    <s v="Follow-up"/>
    <d v="2025-08-19T00:00:00"/>
    <d v="2025-10-11T00:00:00"/>
    <s v="Saturday"/>
    <s v="Morning"/>
    <x v="2"/>
    <n v="53"/>
    <n v="1"/>
    <x v="0"/>
    <x v="0"/>
    <s v="SMS"/>
    <n v="19.100000000000001"/>
    <x v="14"/>
    <x v="0"/>
  </r>
  <r>
    <s v="HC-04949"/>
    <s v="P-0313"/>
    <s v="Female"/>
    <n v="41"/>
    <x v="0"/>
    <s v="Specialist Consultation"/>
    <d v="2025-03-30T00:00:00"/>
    <d v="2025-05-25T00:00:00"/>
    <s v="Sunday"/>
    <s v="Afternoon"/>
    <x v="2"/>
    <n v="56"/>
    <n v="2"/>
    <x v="0"/>
    <x v="0"/>
    <s v="WhatsApp"/>
    <n v="11.8"/>
    <x v="20"/>
    <x v="0"/>
  </r>
  <r>
    <s v="HC-04950"/>
    <s v="P-0262"/>
    <s v="Male"/>
    <n v="42"/>
    <x v="0"/>
    <s v="Follow-up"/>
    <d v="2025-06-16T00:00:00"/>
    <d v="2025-07-21T00:00:00"/>
    <s v="Monday"/>
    <s v="Morning"/>
    <x v="2"/>
    <n v="35"/>
    <n v="2"/>
    <x v="2"/>
    <x v="0"/>
    <s v="WhatsApp"/>
    <n v="9.6999999999999993"/>
    <x v="45"/>
    <x v="0"/>
  </r>
  <r>
    <s v="HC-04951"/>
    <s v="P-0070"/>
    <s v="Female"/>
    <n v="46"/>
    <x v="2"/>
    <s v="General Consultation"/>
    <d v="2025-06-05T00:00:00"/>
    <d v="2025-06-30T00:00:00"/>
    <s v="Monday"/>
    <s v="Morning"/>
    <x v="3"/>
    <n v="25"/>
    <n v="3"/>
    <x v="3"/>
    <x v="0"/>
    <s v="WhatsApp"/>
    <n v="9.6999999999999993"/>
    <x v="18"/>
    <x v="0"/>
  </r>
  <r>
    <s v="HC-04952"/>
    <s v="P-1432"/>
    <s v="Female"/>
    <n v="50"/>
    <x v="2"/>
    <s v="Specialist Consultation"/>
    <d v="2025-01-03T00:00:00"/>
    <d v="2025-01-28T00:00:00"/>
    <s v="Tuesday"/>
    <s v="Morning"/>
    <x v="3"/>
    <n v="25"/>
    <n v="2"/>
    <x v="0"/>
    <x v="0"/>
    <s v="Email"/>
    <n v="18.600000000000001"/>
    <x v="49"/>
    <x v="0"/>
  </r>
  <r>
    <s v="HC-04953"/>
    <s v="P-0939"/>
    <s v="Female"/>
    <n v="20"/>
    <x v="5"/>
    <s v="Follow-up"/>
    <d v="2026-03-01T00:00:00"/>
    <d v="2026-03-04T00:00:00"/>
    <s v="Wednesday"/>
    <s v="Evening"/>
    <x v="1"/>
    <n v="3"/>
    <n v="4"/>
    <x v="1"/>
    <x v="0"/>
    <s v="SMS"/>
    <m/>
    <x v="24"/>
    <x v="0"/>
  </r>
  <r>
    <s v="HC-04954"/>
    <s v="P-0166"/>
    <s v="Female"/>
    <n v="48"/>
    <x v="2"/>
    <s v="Specialist Consultation"/>
    <d v="2025-02-20T00:00:00"/>
    <d v="2025-03-20T00:00:00"/>
    <s v="Thursday"/>
    <s v="Morning"/>
    <x v="3"/>
    <n v="28"/>
    <n v="5"/>
    <x v="2"/>
    <x v="0"/>
    <s v="SMS"/>
    <n v="4"/>
    <x v="11"/>
    <x v="1"/>
  </r>
  <r>
    <s v="HC-04955"/>
    <s v="P-0954"/>
    <s v="Female"/>
    <n v="45"/>
    <x v="2"/>
    <s v="Follow-up"/>
    <d v="2025-06-24T00:00:00"/>
    <d v="2025-07-25T00:00:00"/>
    <s v="Friday"/>
    <s v="Morning"/>
    <x v="2"/>
    <n v="31"/>
    <n v="4"/>
    <x v="2"/>
    <x v="0"/>
    <s v="WhatsApp"/>
    <n v="10.4"/>
    <x v="9"/>
    <x v="0"/>
  </r>
  <r>
    <s v="HC-04956"/>
    <s v="P-0244"/>
    <s v="Male"/>
    <n v="35"/>
    <x v="0"/>
    <s v="Specialist Consultation"/>
    <d v="2025-04-04T00:00:00"/>
    <d v="2025-04-16T00:00:00"/>
    <s v="Wednesday"/>
    <s v="Evening"/>
    <x v="0"/>
    <n v="12"/>
    <n v="1"/>
    <x v="0"/>
    <x v="0"/>
    <s v="SMS"/>
    <n v="11.1"/>
    <x v="8"/>
    <x v="0"/>
  </r>
  <r>
    <s v="HC-04957"/>
    <s v="P-1299"/>
    <s v="Female"/>
    <n v="40"/>
    <x v="0"/>
    <s v="General Consultation"/>
    <d v="2025-02-11T00:00:00"/>
    <d v="2025-03-29T00:00:00"/>
    <s v="Saturday"/>
    <s v="Afternoon"/>
    <x v="2"/>
    <n v="46"/>
    <n v="2"/>
    <x v="1"/>
    <x v="1"/>
    <s v="None"/>
    <n v="6.6"/>
    <x v="14"/>
    <x v="0"/>
  </r>
  <r>
    <s v="HC-04958"/>
    <s v="P-1574"/>
    <s v="Female"/>
    <n v="44"/>
    <x v="0"/>
    <s v="General Consultation"/>
    <d v="2025-06-04T00:00:00"/>
    <d v="2025-07-23T00:00:00"/>
    <s v="Wednesday"/>
    <s v="Afternoon"/>
    <x v="2"/>
    <n v="49"/>
    <n v="0"/>
    <x v="0"/>
    <x v="1"/>
    <s v="None"/>
    <n v="5.0999999999999996"/>
    <x v="5"/>
    <x v="0"/>
  </r>
  <r>
    <s v="HC-04959"/>
    <s v="P-1676"/>
    <s v="Female"/>
    <n v="41"/>
    <x v="0"/>
    <s v="Specialist Consultation"/>
    <d v="2026-04-29T00:00:00"/>
    <d v="2026-05-17T00:00:00"/>
    <s v="Sunday"/>
    <s v="Afternoon"/>
    <x v="3"/>
    <n v="18"/>
    <n v="3"/>
    <x v="1"/>
    <x v="0"/>
    <s v="SMS"/>
    <n v="1.9"/>
    <x v="24"/>
    <x v="0"/>
  </r>
  <r>
    <s v="HC-04960"/>
    <s v="P-0321"/>
    <s v="Prefer not to say"/>
    <n v="75"/>
    <x v="4"/>
    <s v="General Consultation"/>
    <d v="2026-04-06T00:00:00"/>
    <d v="2026-05-31T00:00:00"/>
    <s v="Sunday"/>
    <s v="Morning"/>
    <x v="2"/>
    <n v="55"/>
    <n v="3"/>
    <x v="0"/>
    <x v="0"/>
    <s v="WhatsApp"/>
    <n v="9.3000000000000007"/>
    <x v="15"/>
    <x v="1"/>
  </r>
  <r>
    <s v="HC-04961"/>
    <s v="P-0869"/>
    <s v="Male"/>
    <n v="51"/>
    <x v="2"/>
    <s v="Specialist Consultation"/>
    <d v="2025-07-22T00:00:00"/>
    <d v="2025-07-28T00:00:00"/>
    <s v="Monday"/>
    <s v="Afternoon"/>
    <x v="1"/>
    <n v="6"/>
    <n v="3"/>
    <x v="1"/>
    <x v="0"/>
    <s v="Email"/>
    <n v="23.6"/>
    <x v="23"/>
    <x v="1"/>
  </r>
  <r>
    <s v="HC-04962"/>
    <s v="P-1449"/>
    <s v="Male"/>
    <n v="49"/>
    <x v="2"/>
    <s v="General Consultation"/>
    <d v="2025-08-09T00:00:00"/>
    <d v="2025-10-03T00:00:00"/>
    <s v="Friday"/>
    <s v="Morning"/>
    <x v="2"/>
    <n v="55"/>
    <n v="5"/>
    <x v="2"/>
    <x v="0"/>
    <s v="SMS"/>
    <n v="15.5"/>
    <x v="49"/>
    <x v="0"/>
  </r>
  <r>
    <s v="HC-04963"/>
    <s v="P-1620"/>
    <s v="Male"/>
    <n v="34"/>
    <x v="1"/>
    <s v="General Consultation"/>
    <d v="2026-05-08T00:00:00"/>
    <d v="2026-06-23T00:00:00"/>
    <s v="Tuesday"/>
    <s v="Evening"/>
    <x v="2"/>
    <n v="46"/>
    <n v="6"/>
    <x v="0"/>
    <x v="0"/>
    <s v="SMS"/>
    <n v="9.3000000000000007"/>
    <x v="19"/>
    <x v="0"/>
  </r>
  <r>
    <s v="HC-04964"/>
    <s v="P-1643"/>
    <s v="Male"/>
    <n v="75"/>
    <x v="4"/>
    <s v="General Consultation"/>
    <d v="2025-04-26T00:00:00"/>
    <d v="2025-05-09T00:00:00"/>
    <s v="Friday"/>
    <s v="Morning"/>
    <x v="0"/>
    <n v="13"/>
    <n v="5"/>
    <x v="0"/>
    <x v="1"/>
    <s v="None"/>
    <n v="11.6"/>
    <x v="27"/>
    <x v="1"/>
  </r>
  <r>
    <s v="HC-04965"/>
    <s v="P-0239"/>
    <s v="Female"/>
    <n v="19"/>
    <x v="5"/>
    <s v="Specialist Consultation"/>
    <d v="2026-04-22T00:00:00"/>
    <d v="2026-05-31T00:00:00"/>
    <s v="Sunday"/>
    <s v="Afternoon"/>
    <x v="2"/>
    <n v="39"/>
    <n v="6"/>
    <x v="1"/>
    <x v="0"/>
    <s v="SMS"/>
    <n v="9.1"/>
    <x v="0"/>
    <x v="0"/>
  </r>
  <r>
    <s v="HC-04966"/>
    <s v="P-0069"/>
    <s v="Male"/>
    <n v="52"/>
    <x v="2"/>
    <s v="Specialist Consultation"/>
    <d v="2025-02-09T00:00:00"/>
    <d v="2025-02-27T00:00:00"/>
    <s v="Thursday"/>
    <s v="Afternoon"/>
    <x v="3"/>
    <n v="18"/>
    <n v="2"/>
    <x v="0"/>
    <x v="0"/>
    <s v="SMS"/>
    <n v="9.1"/>
    <x v="10"/>
    <x v="2"/>
  </r>
  <r>
    <s v="HC-04967"/>
    <s v="P-0697"/>
    <s v="Male"/>
    <n v="28"/>
    <x v="1"/>
    <s v="General Consultation"/>
    <d v="2025-03-17T00:00:00"/>
    <d v="2025-05-04T00:00:00"/>
    <s v="Sunday"/>
    <s v="Morning"/>
    <x v="2"/>
    <n v="48"/>
    <n v="1"/>
    <x v="0"/>
    <x v="0"/>
    <s v="WhatsApp"/>
    <n v="15.5"/>
    <x v="7"/>
    <x v="0"/>
  </r>
  <r>
    <s v="HC-04968"/>
    <s v="P-1686"/>
    <s v="Female"/>
    <n v="66"/>
    <x v="4"/>
    <s v="General Consultation"/>
    <d v="2025-06-25T00:00:00"/>
    <d v="2025-07-04T00:00:00"/>
    <s v="Friday"/>
    <s v="Morning"/>
    <x v="0"/>
    <n v="9"/>
    <n v="2"/>
    <x v="1"/>
    <x v="1"/>
    <s v="None"/>
    <n v="9.5"/>
    <x v="13"/>
    <x v="1"/>
  </r>
  <r>
    <s v="HC-04969"/>
    <s v="P-0109"/>
    <s v="Female"/>
    <n v="41"/>
    <x v="0"/>
    <s v="General Consultation"/>
    <d v="2025-01-07T00:00:00"/>
    <d v="2025-01-21T00:00:00"/>
    <s v="Tuesday"/>
    <s v="Afternoon"/>
    <x v="0"/>
    <n v="14"/>
    <n v="4"/>
    <x v="1"/>
    <x v="0"/>
    <s v="SMS"/>
    <n v="3.9"/>
    <x v="48"/>
    <x v="1"/>
  </r>
  <r>
    <s v="HC-04970"/>
    <s v="P-0990"/>
    <s v="Male"/>
    <n v="36"/>
    <x v="0"/>
    <s v="General Consultation"/>
    <d v="2026-03-04T00:00:00"/>
    <d v="2026-03-22T00:00:00"/>
    <s v="Sunday"/>
    <s v="Morning"/>
    <x v="3"/>
    <n v="18"/>
    <n v="5"/>
    <x v="1"/>
    <x v="1"/>
    <s v="None"/>
    <n v="4.5999999999999996"/>
    <x v="18"/>
    <x v="1"/>
  </r>
  <r>
    <s v="HC-04971"/>
    <s v="P-0543"/>
    <s v="Female"/>
    <n v="21"/>
    <x v="5"/>
    <s v="Specialist Consultation"/>
    <d v="2026-04-01T00:00:00"/>
    <d v="2026-04-13T00:00:00"/>
    <s v="Monday"/>
    <s v="Evening"/>
    <x v="0"/>
    <n v="12"/>
    <n v="6"/>
    <x v="0"/>
    <x v="0"/>
    <s v="SMS"/>
    <n v="6.8"/>
    <x v="37"/>
    <x v="1"/>
  </r>
  <r>
    <s v="HC-04972"/>
    <s v="P-1108"/>
    <s v="Female"/>
    <n v="67"/>
    <x v="4"/>
    <s v="General Consultation"/>
    <d v="2025-07-09T00:00:00"/>
    <d v="2025-07-29T00:00:00"/>
    <s v="Tuesday"/>
    <s v="Morning"/>
    <x v="3"/>
    <n v="20"/>
    <n v="0"/>
    <x v="0"/>
    <x v="0"/>
    <s v="SMS"/>
    <n v="11.3"/>
    <x v="11"/>
    <x v="1"/>
  </r>
  <r>
    <s v="HC-04973"/>
    <s v="P-1207"/>
    <s v="Female"/>
    <n v="42"/>
    <x v="0"/>
    <s v="General Consultation"/>
    <d v="2026-02-25T00:00:00"/>
    <d v="2026-04-02T00:00:00"/>
    <s v="Thursday"/>
    <s v="Afternoon"/>
    <x v="2"/>
    <n v="36"/>
    <n v="2"/>
    <x v="1"/>
    <x v="0"/>
    <s v="WhatsApp"/>
    <n v="4.8"/>
    <x v="4"/>
    <x v="1"/>
  </r>
  <r>
    <s v="HC-04974"/>
    <s v="P-1510"/>
    <s v="Female"/>
    <n v="34"/>
    <x v="1"/>
    <s v="General Consultation"/>
    <d v="2026-01-19T00:00:00"/>
    <d v="2026-02-26T00:00:00"/>
    <s v="Thursday"/>
    <s v="Afternoon"/>
    <x v="2"/>
    <n v="38"/>
    <n v="0"/>
    <x v="0"/>
    <x v="0"/>
    <s v="SMS"/>
    <n v="2"/>
    <x v="22"/>
    <x v="0"/>
  </r>
  <r>
    <s v="HC-04975"/>
    <s v="P-1403"/>
    <s v="Male"/>
    <n v="71"/>
    <x v="4"/>
    <s v="Follow-up"/>
    <d v="2026-02-09T00:00:00"/>
    <d v="2026-03-14T00:00:00"/>
    <s v="Saturday"/>
    <s v="Afternoon"/>
    <x v="2"/>
    <n v="33"/>
    <n v="1"/>
    <x v="0"/>
    <x v="0"/>
    <s v="WhatsApp"/>
    <n v="7.2"/>
    <x v="2"/>
    <x v="2"/>
  </r>
  <r>
    <s v="HC-04976"/>
    <s v="P-1209"/>
    <s v="Female"/>
    <n v="19"/>
    <x v="5"/>
    <s v="Follow-up"/>
    <d v="2026-03-04T00:00:00"/>
    <d v="2026-03-15T00:00:00"/>
    <s v="Sunday"/>
    <s v="Afternoon"/>
    <x v="0"/>
    <n v="11"/>
    <n v="4"/>
    <x v="0"/>
    <x v="0"/>
    <s v="SMS"/>
    <n v="12.4"/>
    <x v="25"/>
    <x v="0"/>
  </r>
  <r>
    <s v="HC-04977"/>
    <s v="P-0803"/>
    <s v="Male"/>
    <n v="47"/>
    <x v="2"/>
    <s v="Follow-up"/>
    <d v="2025-10-29T00:00:00"/>
    <d v="2025-11-10T00:00:00"/>
    <s v="Monday"/>
    <s v="Afternoon"/>
    <x v="0"/>
    <n v="12"/>
    <n v="1"/>
    <x v="0"/>
    <x v="1"/>
    <s v="None"/>
    <n v="16.3"/>
    <x v="6"/>
    <x v="0"/>
  </r>
  <r>
    <s v="HC-04978"/>
    <s v="P-1735"/>
    <s v="Female"/>
    <n v="28"/>
    <x v="1"/>
    <s v="Follow-up"/>
    <d v="2025-01-05T00:00:00"/>
    <d v="2025-03-02T00:00:00"/>
    <s v="Sunday"/>
    <s v="Afternoon"/>
    <x v="2"/>
    <n v="56"/>
    <n v="7"/>
    <x v="0"/>
    <x v="0"/>
    <s v="WhatsApp"/>
    <n v="5.2"/>
    <x v="12"/>
    <x v="0"/>
  </r>
  <r>
    <s v="HC-04979"/>
    <s v="P-0492"/>
    <s v="Female"/>
    <n v="25"/>
    <x v="1"/>
    <s v="Diagnostic Test"/>
    <d v="2026-05-05T00:00:00"/>
    <d v="2026-05-20T00:00:00"/>
    <s v="Wednesday"/>
    <s v="Afternoon"/>
    <x v="3"/>
    <n v="15"/>
    <n v="5"/>
    <x v="2"/>
    <x v="0"/>
    <s v="Email"/>
    <n v="8.1999999999999993"/>
    <x v="13"/>
    <x v="1"/>
  </r>
  <r>
    <s v="HC-04980"/>
    <s v="P-1654"/>
    <s v="Female"/>
    <n v="19"/>
    <x v="5"/>
    <s v="Follow-up"/>
    <d v="2025-11-23T00:00:00"/>
    <d v="2025-11-29T00:00:00"/>
    <s v="Saturday"/>
    <s v="Afternoon"/>
    <x v="1"/>
    <n v="6"/>
    <n v="4"/>
    <x v="0"/>
    <x v="0"/>
    <s v="WhatsApp"/>
    <n v="4.0999999999999996"/>
    <x v="62"/>
    <x v="1"/>
  </r>
  <r>
    <s v="HC-04981"/>
    <s v="P-0157"/>
    <s v="Male"/>
    <n v="29"/>
    <x v="1"/>
    <s v="Specialist Consultation"/>
    <d v="2026-04-11T00:00:00"/>
    <d v="2026-05-08T00:00:00"/>
    <s v="Friday"/>
    <s v="Morning"/>
    <x v="3"/>
    <n v="27"/>
    <n v="1"/>
    <x v="0"/>
    <x v="0"/>
    <s v="SMS"/>
    <m/>
    <x v="45"/>
    <x v="1"/>
  </r>
  <r>
    <s v="HC-04982"/>
    <s v="P-0453"/>
    <s v="Female"/>
    <n v="77"/>
    <x v="4"/>
    <s v="Follow-up"/>
    <d v="2026-06-08T00:00:00"/>
    <d v="2026-06-08T00:00:00"/>
    <s v="Monday"/>
    <s v="Morning"/>
    <x v="1"/>
    <n v="0"/>
    <n v="3"/>
    <x v="0"/>
    <x v="0"/>
    <s v="Email"/>
    <n v="2.2999999999999998"/>
    <x v="27"/>
    <x v="1"/>
  </r>
  <r>
    <s v="HC-04983"/>
    <s v="P-0136"/>
    <s v="Male"/>
    <n v="46"/>
    <x v="2"/>
    <s v="General Consultation"/>
    <d v="2025-03-24T00:00:00"/>
    <d v="2025-04-13T00:00:00"/>
    <s v="Sunday"/>
    <s v="Morning"/>
    <x v="3"/>
    <n v="20"/>
    <n v="3"/>
    <x v="0"/>
    <x v="1"/>
    <s v="None"/>
    <n v="3.3"/>
    <x v="5"/>
    <x v="1"/>
  </r>
  <r>
    <s v="HC-04984"/>
    <s v="P-1333"/>
    <s v="Male"/>
    <n v="80"/>
    <x v="4"/>
    <s v="Specialist Consultation"/>
    <d v="2025-06-17T00:00:00"/>
    <d v="2025-08-08T00:00:00"/>
    <s v="Friday"/>
    <s v="Afternoon"/>
    <x v="2"/>
    <n v="52"/>
    <n v="4"/>
    <x v="3"/>
    <x v="0"/>
    <s v="SMS"/>
    <n v="3.3"/>
    <x v="2"/>
    <x v="0"/>
  </r>
  <r>
    <s v="HC-04985"/>
    <s v="P-1192"/>
    <s v="Male"/>
    <n v="34"/>
    <x v="1"/>
    <s v="Follow-up"/>
    <d v="2025-03-31T00:00:00"/>
    <d v="2025-04-16T00:00:00"/>
    <s v="Wednesday"/>
    <s v="Evening"/>
    <x v="3"/>
    <n v="16"/>
    <n v="0"/>
    <x v="0"/>
    <x v="1"/>
    <s v="None"/>
    <n v="16.8"/>
    <x v="25"/>
    <x v="1"/>
  </r>
  <r>
    <s v="HC-04986"/>
    <s v="P-0696"/>
    <s v="Female"/>
    <n v="66"/>
    <x v="4"/>
    <s v="Follow-up"/>
    <d v="2024-12-17T00:00:00"/>
    <d v="2025-01-28T00:00:00"/>
    <s v="Tuesday"/>
    <s v="Morning"/>
    <x v="2"/>
    <n v="42"/>
    <n v="1"/>
    <x v="0"/>
    <x v="1"/>
    <s v="None"/>
    <n v="4.8"/>
    <x v="13"/>
    <x v="0"/>
  </r>
  <r>
    <s v="HC-04987"/>
    <s v="P-0730"/>
    <s v="Female"/>
    <n v="23"/>
    <x v="5"/>
    <s v="General Consultation"/>
    <d v="2026-05-14T00:00:00"/>
    <d v="2026-06-12T00:00:00"/>
    <s v="Friday"/>
    <s v="Afternoon"/>
    <x v="3"/>
    <n v="29"/>
    <n v="1"/>
    <x v="0"/>
    <x v="0"/>
    <s v="SMS"/>
    <n v="13.9"/>
    <x v="20"/>
    <x v="1"/>
  </r>
  <r>
    <s v="HC-04988"/>
    <s v="P-0211"/>
    <s v="Male"/>
    <n v="24"/>
    <x v="5"/>
    <s v="Follow-up"/>
    <d v="2026-04-29T00:00:00"/>
    <d v="2026-05-20T00:00:00"/>
    <s v="Wednesday"/>
    <s v="Morning"/>
    <x v="3"/>
    <n v="21"/>
    <n v="2"/>
    <x v="0"/>
    <x v="0"/>
    <s v="SMS"/>
    <n v="3.4"/>
    <x v="4"/>
    <x v="1"/>
  </r>
  <r>
    <s v="HC-04989"/>
    <s v="P-1174"/>
    <s v="Male"/>
    <n v="19"/>
    <x v="5"/>
    <s v="Diagnostic Test"/>
    <d v="2026-04-14T00:00:00"/>
    <d v="2026-05-24T00:00:00"/>
    <s v="Sunday"/>
    <s v="Afternoon"/>
    <x v="2"/>
    <n v="40"/>
    <n v="3"/>
    <x v="0"/>
    <x v="0"/>
    <s v="WhatsApp"/>
    <n v="8.6"/>
    <x v="50"/>
    <x v="0"/>
  </r>
  <r>
    <s v="HC-04990"/>
    <s v="P-0546"/>
    <s v="Male"/>
    <n v="74"/>
    <x v="4"/>
    <s v="General Consultation"/>
    <d v="2026-03-23T00:00:00"/>
    <d v="2026-04-28T00:00:00"/>
    <s v="Tuesday"/>
    <s v="Afternoon"/>
    <x v="2"/>
    <n v="36"/>
    <n v="4"/>
    <x v="1"/>
    <x v="1"/>
    <s v="None"/>
    <n v="10.5"/>
    <x v="17"/>
    <x v="0"/>
  </r>
  <r>
    <s v="HC-04991"/>
    <s v="P-1139"/>
    <s v="Male"/>
    <n v="60"/>
    <x v="3"/>
    <s v="General Consultation"/>
    <d v="2025-12-02T00:00:00"/>
    <d v="2025-12-21T00:00:00"/>
    <s v="Sunday"/>
    <s v="Afternoon"/>
    <x v="3"/>
    <n v="19"/>
    <n v="3"/>
    <x v="2"/>
    <x v="1"/>
    <s v="None"/>
    <n v="11.9"/>
    <x v="35"/>
    <x v="0"/>
  </r>
  <r>
    <s v="HC-04992"/>
    <s v="P-0091"/>
    <s v="Female"/>
    <n v="64"/>
    <x v="3"/>
    <s v="General Consultation"/>
    <d v="2025-09-30T00:00:00"/>
    <d v="2025-10-13T00:00:00"/>
    <s v="Monday"/>
    <s v="Afternoon"/>
    <x v="0"/>
    <n v="13"/>
    <n v="1"/>
    <x v="0"/>
    <x v="0"/>
    <s v="WhatsApp"/>
    <n v="1.8"/>
    <x v="22"/>
    <x v="0"/>
  </r>
  <r>
    <s v="HC-04993"/>
    <s v="P-0070"/>
    <s v="Male"/>
    <n v="76"/>
    <x v="4"/>
    <s v="Follow-up"/>
    <d v="2026-05-02T00:00:00"/>
    <d v="2026-06-26T00:00:00"/>
    <s v="Friday"/>
    <s v="Afternoon"/>
    <x v="2"/>
    <n v="55"/>
    <n v="8"/>
    <x v="2"/>
    <x v="0"/>
    <s v="SMS"/>
    <n v="12.1"/>
    <x v="25"/>
    <x v="0"/>
  </r>
  <r>
    <s v="HC-04994"/>
    <s v="P-0944"/>
    <s v="Male"/>
    <n v="38"/>
    <x v="0"/>
    <s v="Specialist Consultation"/>
    <d v="2025-10-19T00:00:00"/>
    <d v="2025-10-29T00:00:00"/>
    <s v="Wednesday"/>
    <s v="Morning"/>
    <x v="0"/>
    <n v="10"/>
    <n v="5"/>
    <x v="3"/>
    <x v="0"/>
    <s v="Email"/>
    <n v="13.2"/>
    <x v="0"/>
    <x v="0"/>
  </r>
  <r>
    <s v="HC-04995"/>
    <s v="P-0540"/>
    <s v="Prefer not to say"/>
    <n v="63"/>
    <x v="3"/>
    <s v="Follow-up"/>
    <d v="2025-10-20T00:00:00"/>
    <d v="2025-12-17T00:00:00"/>
    <s v="Wednesday"/>
    <s v="Afternoon"/>
    <x v="2"/>
    <n v="58"/>
    <n v="2"/>
    <x v="2"/>
    <x v="0"/>
    <s v="WhatsApp"/>
    <n v="0.9"/>
    <x v="19"/>
    <x v="0"/>
  </r>
  <r>
    <s v="HC-04996"/>
    <s v="P-0007"/>
    <s v="Male"/>
    <n v="49"/>
    <x v="2"/>
    <s v="Diagnostic Test"/>
    <d v="2025-03-29T00:00:00"/>
    <d v="2025-04-26T00:00:00"/>
    <s v="Saturday"/>
    <s v="Morning"/>
    <x v="3"/>
    <n v="28"/>
    <n v="5"/>
    <x v="1"/>
    <x v="0"/>
    <s v="Email"/>
    <n v="4.4000000000000004"/>
    <x v="3"/>
    <x v="0"/>
  </r>
  <r>
    <s v="HC-04997"/>
    <s v="P-1501"/>
    <s v="Female"/>
    <n v="52"/>
    <x v="2"/>
    <s v="Follow-up"/>
    <d v="2025-12-14T00:00:00"/>
    <d v="2026-02-12T00:00:00"/>
    <s v="Thursday"/>
    <s v="Evening"/>
    <x v="2"/>
    <n v="60"/>
    <n v="6"/>
    <x v="2"/>
    <x v="0"/>
    <s v="WhatsApp"/>
    <n v="12.6"/>
    <x v="20"/>
    <x v="1"/>
  </r>
  <r>
    <s v="HC-04998"/>
    <s v="P-0315"/>
    <s v="Male"/>
    <n v="59"/>
    <x v="3"/>
    <s v="General Consultation"/>
    <d v="2026-03-03T00:00:00"/>
    <d v="2026-03-24T00:00:00"/>
    <s v="Tuesday"/>
    <s v="Afternoon"/>
    <x v="3"/>
    <n v="21"/>
    <n v="5"/>
    <x v="0"/>
    <x v="1"/>
    <s v="None"/>
    <n v="22.8"/>
    <x v="25"/>
    <x v="1"/>
  </r>
  <r>
    <s v="HC-04999"/>
    <s v="P-1262"/>
    <s v="Male"/>
    <n v="47"/>
    <x v="2"/>
    <s v="General Consultation"/>
    <d v="2025-12-03T00:00:00"/>
    <d v="2026-01-06T00:00:00"/>
    <s v="Tuesday"/>
    <s v="Morning"/>
    <x v="2"/>
    <n v="34"/>
    <n v="4"/>
    <x v="1"/>
    <x v="1"/>
    <s v="None"/>
    <n v="12.5"/>
    <x v="11"/>
    <x v="1"/>
  </r>
  <r>
    <s v="HC-05000"/>
    <s v="P-1793"/>
    <s v="Female"/>
    <n v="19"/>
    <x v="5"/>
    <s v="General Consultation"/>
    <d v="2025-08-24T00:00:00"/>
    <d v="2025-09-30T00:00:00"/>
    <s v="Tuesday"/>
    <s v="Morning"/>
    <x v="2"/>
    <n v="37"/>
    <n v="6"/>
    <x v="1"/>
    <x v="0"/>
    <s v="WhatsApp"/>
    <n v="1.1000000000000001"/>
    <x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outcome" fld="18" subtotal="count" showDataAs="percentOfTotal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I12" firstHeaderRow="1" firstDataRow="3" firstDataCol="1"/>
  <pivotFields count="19">
    <pivotField showAll="0"/>
    <pivotField showAll="0"/>
    <pivotField showAll="0"/>
    <pivotField showAll="0"/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numFmtId="14" showAll="0"/>
    <pivotField numFmtId="14"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2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appointment_outcome" fld="18" subtotal="count" baseField="0" baseItem="0"/>
    <dataField name="Count of appointment_outcome2" fld="18" subtotal="count" showDataAs="percentOfRow" baseField="4" baseItem="4" numFmtId="10"/>
  </dataFields>
  <chartFormats count="12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7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 defaultSubtota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dataField="1" showAll="0">
      <items count="4">
        <item x="1"/>
        <item x="2"/>
        <item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appointment_outcome" fld="18" subtotal="count" showDataAs="percentOfRow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1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 defaultSubtota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dataField="1" showAll="0">
      <items count="4">
        <item x="1"/>
        <item x="2"/>
        <item x="0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appointment_outcome" fld="18" subtotal="count" showDataAs="percentOfRow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 defaultSubtotal="0">
      <items count="4">
        <item x="1"/>
        <item x="3"/>
        <item x="2"/>
        <item x="0"/>
      </items>
    </pivotField>
    <pivotField showAll="0"/>
    <pivotField showAll="0"/>
    <pivotField showAll="0"/>
    <pivotField showAll="0"/>
    <pivotField showAll="0"/>
    <pivotField showAll="0"/>
    <pivotField showAll="0">
      <items count="64">
        <item x="27"/>
        <item x="32"/>
        <item x="48"/>
        <item x="42"/>
        <item x="46"/>
        <item x="37"/>
        <item x="45"/>
        <item x="51"/>
        <item x="22"/>
        <item x="2"/>
        <item x="21"/>
        <item x="16"/>
        <item x="36"/>
        <item x="10"/>
        <item x="11"/>
        <item x="17"/>
        <item x="23"/>
        <item x="15"/>
        <item x="8"/>
        <item x="7"/>
        <item x="12"/>
        <item x="19"/>
        <item x="20"/>
        <item x="14"/>
        <item x="26"/>
        <item x="4"/>
        <item x="25"/>
        <item x="0"/>
        <item x="6"/>
        <item x="13"/>
        <item x="18"/>
        <item x="9"/>
        <item x="47"/>
        <item x="3"/>
        <item x="5"/>
        <item x="31"/>
        <item x="35"/>
        <item x="24"/>
        <item x="49"/>
        <item x="38"/>
        <item x="1"/>
        <item x="50"/>
        <item x="39"/>
        <item x="29"/>
        <item x="43"/>
        <item x="52"/>
        <item x="44"/>
        <item x="40"/>
        <item x="30"/>
        <item x="53"/>
        <item x="54"/>
        <item x="33"/>
        <item x="34"/>
        <item x="59"/>
        <item x="41"/>
        <item x="60"/>
        <item x="55"/>
        <item x="58"/>
        <item x="57"/>
        <item x="56"/>
        <item x="61"/>
        <item x="62"/>
        <item x="28"/>
        <item t="default"/>
      </items>
    </pivotField>
    <pivotField axis="axisCol" dataField="1" showAll="0">
      <items count="4">
        <item x="1"/>
        <item x="2"/>
        <item x="0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appointment_outcome" fld="18" subtotal="count" showDataAs="percentOfRow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12" firstHeaderRow="1" firstDataRow="3" firstDataCol="1"/>
  <pivotFields count="19">
    <pivotField dataField="1" showAll="0"/>
    <pivotField showAll="0"/>
    <pivotField showAll="0"/>
    <pivotField showAll="0"/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4"/>
    <field x="18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1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2">
    <field x="10"/>
    <field x="18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1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16" sqref="B16"/>
    </sheetView>
  </sheetViews>
  <sheetFormatPr defaultRowHeight="14.4" x14ac:dyDescent="0.3"/>
  <cols>
    <col min="1" max="1" width="20.109375" customWidth="1"/>
    <col min="2" max="2" width="28.77734375" customWidth="1"/>
  </cols>
  <sheetData>
    <row r="3" spans="1:2" x14ac:dyDescent="0.3">
      <c r="A3" s="2" t="s">
        <v>6746</v>
      </c>
      <c r="B3" t="s">
        <v>6748</v>
      </c>
    </row>
    <row r="4" spans="1:2" x14ac:dyDescent="0.3">
      <c r="A4" s="3" t="s">
        <v>36</v>
      </c>
      <c r="B4" s="5">
        <v>0.46279999999999999</v>
      </c>
    </row>
    <row r="5" spans="1:2" x14ac:dyDescent="0.3">
      <c r="A5" s="3" t="s">
        <v>71</v>
      </c>
      <c r="B5" s="5">
        <v>5.2600000000000001E-2</v>
      </c>
    </row>
    <row r="6" spans="1:2" x14ac:dyDescent="0.3">
      <c r="A6" s="3" t="s">
        <v>27</v>
      </c>
      <c r="B6" s="5">
        <v>0.48459999999999998</v>
      </c>
    </row>
    <row r="7" spans="1:2" x14ac:dyDescent="0.3">
      <c r="A7" s="3" t="s">
        <v>6747</v>
      </c>
      <c r="B7" s="5">
        <v>1</v>
      </c>
    </row>
    <row r="10" spans="1:2" x14ac:dyDescent="0.3">
      <c r="A10" s="8"/>
      <c r="B10" s="8"/>
    </row>
    <row r="11" spans="1:2" x14ac:dyDescent="0.3">
      <c r="A11" s="8" t="s">
        <v>6766</v>
      </c>
      <c r="B11" s="8" t="s">
        <v>6767</v>
      </c>
    </row>
    <row r="12" spans="1:2" x14ac:dyDescent="0.3">
      <c r="A12" t="s">
        <v>6768</v>
      </c>
      <c r="B12" s="5">
        <v>0.46279999999999999</v>
      </c>
    </row>
    <row r="13" spans="1:2" x14ac:dyDescent="0.3">
      <c r="A13" t="s">
        <v>6769</v>
      </c>
      <c r="B13" s="5">
        <v>5.2600000000000001E-2</v>
      </c>
    </row>
    <row r="14" spans="1:2" x14ac:dyDescent="0.3">
      <c r="A14" s="8" t="s">
        <v>6761</v>
      </c>
      <c r="B14" s="10">
        <v>0.48459999999999998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2"/>
  <sheetViews>
    <sheetView topLeftCell="A7"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28.77734375" bestFit="1" customWidth="1"/>
    <col min="3" max="3" width="29.88671875" bestFit="1" customWidth="1"/>
    <col min="4" max="4" width="28.77734375" bestFit="1" customWidth="1"/>
    <col min="5" max="5" width="29.88671875" bestFit="1" customWidth="1"/>
    <col min="6" max="6" width="28.77734375" bestFit="1" customWidth="1"/>
    <col min="7" max="7" width="29.88671875" bestFit="1" customWidth="1"/>
    <col min="8" max="8" width="33.6640625" bestFit="1" customWidth="1"/>
    <col min="9" max="9" width="34.6640625" bestFit="1" customWidth="1"/>
  </cols>
  <sheetData>
    <row r="3" spans="1:9" x14ac:dyDescent="0.3">
      <c r="B3" s="2" t="s">
        <v>6749</v>
      </c>
    </row>
    <row r="4" spans="1:9" x14ac:dyDescent="0.3">
      <c r="B4" t="s">
        <v>36</v>
      </c>
      <c r="D4" t="s">
        <v>71</v>
      </c>
      <c r="F4" t="s">
        <v>27</v>
      </c>
      <c r="H4" t="s">
        <v>6755</v>
      </c>
      <c r="I4" t="s">
        <v>6756</v>
      </c>
    </row>
    <row r="5" spans="1:9" x14ac:dyDescent="0.3">
      <c r="A5" s="2" t="s">
        <v>6746</v>
      </c>
      <c r="B5" t="s">
        <v>6748</v>
      </c>
      <c r="C5" t="s">
        <v>6757</v>
      </c>
      <c r="D5" t="s">
        <v>6748</v>
      </c>
      <c r="E5" t="s">
        <v>6757</v>
      </c>
      <c r="F5" t="s">
        <v>6748</v>
      </c>
      <c r="G5" t="s">
        <v>6757</v>
      </c>
    </row>
    <row r="6" spans="1:9" x14ac:dyDescent="0.3">
      <c r="A6" s="3" t="s">
        <v>66</v>
      </c>
      <c r="B6" s="4">
        <v>257</v>
      </c>
      <c r="C6" s="5">
        <v>0.45567375886524825</v>
      </c>
      <c r="D6" s="4">
        <v>24</v>
      </c>
      <c r="E6" s="5">
        <v>4.2553191489361701E-2</v>
      </c>
      <c r="F6" s="4">
        <v>283</v>
      </c>
      <c r="G6" s="5">
        <v>0.50177304964539005</v>
      </c>
      <c r="H6" s="4">
        <v>564</v>
      </c>
      <c r="I6" s="5">
        <v>1</v>
      </c>
    </row>
    <row r="7" spans="1:9" x14ac:dyDescent="0.3">
      <c r="A7" s="3" t="s">
        <v>31</v>
      </c>
      <c r="B7" s="4">
        <v>353</v>
      </c>
      <c r="C7" s="5">
        <v>0.45083014048531289</v>
      </c>
      <c r="D7" s="4">
        <v>33</v>
      </c>
      <c r="E7" s="5">
        <v>4.2145593869731802E-2</v>
      </c>
      <c r="F7" s="4">
        <v>397</v>
      </c>
      <c r="G7" s="5">
        <v>0.50702426564495529</v>
      </c>
      <c r="H7" s="4">
        <v>783</v>
      </c>
      <c r="I7" s="5">
        <v>1</v>
      </c>
    </row>
    <row r="8" spans="1:9" x14ac:dyDescent="0.3">
      <c r="A8" s="3" t="s">
        <v>21</v>
      </c>
      <c r="B8" s="4">
        <v>374</v>
      </c>
      <c r="C8" s="5">
        <v>0.45665445665445664</v>
      </c>
      <c r="D8" s="4">
        <v>49</v>
      </c>
      <c r="E8" s="5">
        <v>5.9829059829059832E-2</v>
      </c>
      <c r="F8" s="4">
        <v>396</v>
      </c>
      <c r="G8" s="5">
        <v>0.48351648351648352</v>
      </c>
      <c r="H8" s="4">
        <v>819</v>
      </c>
      <c r="I8" s="5">
        <v>1</v>
      </c>
    </row>
    <row r="9" spans="1:9" x14ac:dyDescent="0.3">
      <c r="A9" s="3" t="s">
        <v>39</v>
      </c>
      <c r="B9" s="4">
        <v>365</v>
      </c>
      <c r="C9" s="5">
        <v>0.46027742749054223</v>
      </c>
      <c r="D9" s="4">
        <v>47</v>
      </c>
      <c r="E9" s="5">
        <v>5.9268600252206809E-2</v>
      </c>
      <c r="F9" s="4">
        <v>381</v>
      </c>
      <c r="G9" s="5">
        <v>0.48045397225725095</v>
      </c>
      <c r="H9" s="4">
        <v>793</v>
      </c>
      <c r="I9" s="5">
        <v>1</v>
      </c>
    </row>
    <row r="10" spans="1:9" x14ac:dyDescent="0.3">
      <c r="A10" s="3" t="s">
        <v>44</v>
      </c>
      <c r="B10" s="4">
        <v>360</v>
      </c>
      <c r="C10" s="5">
        <v>0.45</v>
      </c>
      <c r="D10" s="4">
        <v>34</v>
      </c>
      <c r="E10" s="5">
        <v>4.2500000000000003E-2</v>
      </c>
      <c r="F10" s="4">
        <v>406</v>
      </c>
      <c r="G10" s="5">
        <v>0.50749999999999995</v>
      </c>
      <c r="H10" s="4">
        <v>800</v>
      </c>
      <c r="I10" s="5">
        <v>1</v>
      </c>
    </row>
    <row r="11" spans="1:9" x14ac:dyDescent="0.3">
      <c r="A11" s="3" t="s">
        <v>53</v>
      </c>
      <c r="B11" s="4">
        <v>605</v>
      </c>
      <c r="C11" s="5">
        <v>0.48751007252215955</v>
      </c>
      <c r="D11" s="4">
        <v>76</v>
      </c>
      <c r="E11" s="5">
        <v>6.1240934730056408E-2</v>
      </c>
      <c r="F11" s="4">
        <v>560</v>
      </c>
      <c r="G11" s="5">
        <v>0.45124899274778407</v>
      </c>
      <c r="H11" s="4">
        <v>1241</v>
      </c>
      <c r="I11" s="5">
        <v>1</v>
      </c>
    </row>
    <row r="12" spans="1:9" x14ac:dyDescent="0.3">
      <c r="A12" s="3" t="s">
        <v>6747</v>
      </c>
      <c r="B12" s="4">
        <v>2314</v>
      </c>
      <c r="C12" s="5">
        <v>0.46279999999999999</v>
      </c>
      <c r="D12" s="4">
        <v>263</v>
      </c>
      <c r="E12" s="5">
        <v>5.2600000000000001E-2</v>
      </c>
      <c r="F12" s="4">
        <v>2423</v>
      </c>
      <c r="G12" s="5">
        <v>0.48459999999999998</v>
      </c>
      <c r="H12" s="4">
        <v>5000</v>
      </c>
      <c r="I12" s="5">
        <v>1</v>
      </c>
    </row>
    <row r="15" spans="1:9" x14ac:dyDescent="0.3">
      <c r="A15" s="8" t="s">
        <v>6760</v>
      </c>
      <c r="B15" s="8"/>
    </row>
    <row r="16" spans="1:9" x14ac:dyDescent="0.3">
      <c r="A16" s="7" t="s">
        <v>6758</v>
      </c>
      <c r="B16" s="8" t="s">
        <v>6759</v>
      </c>
    </row>
    <row r="17" spans="1:2" x14ac:dyDescent="0.3">
      <c r="A17" s="3" t="s">
        <v>66</v>
      </c>
      <c r="B17" s="6">
        <v>0.50180000000000002</v>
      </c>
    </row>
    <row r="18" spans="1:2" x14ac:dyDescent="0.3">
      <c r="A18" s="3" t="s">
        <v>31</v>
      </c>
      <c r="B18" s="6">
        <v>0.50700000000000001</v>
      </c>
    </row>
    <row r="19" spans="1:2" x14ac:dyDescent="0.3">
      <c r="A19" s="3" t="s">
        <v>21</v>
      </c>
      <c r="B19" s="6">
        <v>0.48349999999999999</v>
      </c>
    </row>
    <row r="20" spans="1:2" x14ac:dyDescent="0.3">
      <c r="A20" s="3" t="s">
        <v>39</v>
      </c>
      <c r="B20" s="6">
        <v>0.48049999999999998</v>
      </c>
    </row>
    <row r="21" spans="1:2" x14ac:dyDescent="0.3">
      <c r="A21" s="3" t="s">
        <v>44</v>
      </c>
      <c r="B21" s="6">
        <v>0.50749999999999995</v>
      </c>
    </row>
    <row r="22" spans="1:2" x14ac:dyDescent="0.3">
      <c r="A22" s="7" t="s">
        <v>53</v>
      </c>
      <c r="B22" s="9">
        <v>0.45119999999999999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2"/>
  <sheetViews>
    <sheetView workbookViewId="0">
      <selection activeCell="B21" sqref="B21"/>
    </sheetView>
  </sheetViews>
  <sheetFormatPr defaultRowHeight="14.4" x14ac:dyDescent="0.3"/>
  <cols>
    <col min="1" max="1" width="28.77734375" bestFit="1" customWidth="1"/>
    <col min="2" max="2" width="15.5546875" bestFit="1" customWidth="1"/>
    <col min="3" max="3" width="9.109375" bestFit="1" customWidth="1"/>
    <col min="4" max="4" width="8.77734375" customWidth="1"/>
    <col min="5" max="5" width="10.77734375" bestFit="1" customWidth="1"/>
  </cols>
  <sheetData>
    <row r="3" spans="1:5" x14ac:dyDescent="0.3">
      <c r="A3" s="2" t="s">
        <v>6748</v>
      </c>
      <c r="B3" s="2" t="s">
        <v>6749</v>
      </c>
    </row>
    <row r="4" spans="1:5" x14ac:dyDescent="0.3">
      <c r="A4" s="2" t="s">
        <v>6746</v>
      </c>
      <c r="B4" t="s">
        <v>36</v>
      </c>
      <c r="C4" t="s">
        <v>71</v>
      </c>
      <c r="D4" t="s">
        <v>27</v>
      </c>
      <c r="E4" t="s">
        <v>6747</v>
      </c>
    </row>
    <row r="5" spans="1:5" x14ac:dyDescent="0.3">
      <c r="A5" s="3" t="s">
        <v>54</v>
      </c>
      <c r="B5" s="5">
        <v>0.42679355783308931</v>
      </c>
      <c r="C5" s="5">
        <v>5.9297218155197659E-2</v>
      </c>
      <c r="D5" s="5">
        <v>0.51390922401171302</v>
      </c>
      <c r="E5" s="5">
        <v>1</v>
      </c>
    </row>
    <row r="6" spans="1:5" x14ac:dyDescent="0.3">
      <c r="A6" s="3" t="s">
        <v>25</v>
      </c>
      <c r="B6" s="5">
        <v>0.4763346175013759</v>
      </c>
      <c r="C6" s="5">
        <v>5.0082553659878924E-2</v>
      </c>
      <c r="D6" s="5">
        <v>0.4735828288387452</v>
      </c>
      <c r="E6" s="5">
        <v>1</v>
      </c>
    </row>
    <row r="7" spans="1:5" x14ac:dyDescent="0.3">
      <c r="A7" s="3" t="s">
        <v>6747</v>
      </c>
      <c r="B7" s="5">
        <v>0.46279999999999999</v>
      </c>
      <c r="C7" s="5">
        <v>5.2600000000000001E-2</v>
      </c>
      <c r="D7" s="5">
        <v>0.48459999999999998</v>
      </c>
      <c r="E7" s="5">
        <v>1</v>
      </c>
    </row>
    <row r="9" spans="1:5" x14ac:dyDescent="0.3">
      <c r="A9" s="8"/>
      <c r="B9" s="8"/>
    </row>
    <row r="10" spans="1:5" x14ac:dyDescent="0.3">
      <c r="A10" s="7" t="s">
        <v>6762</v>
      </c>
      <c r="B10" s="8" t="s">
        <v>6761</v>
      </c>
    </row>
    <row r="11" spans="1:5" x14ac:dyDescent="0.3">
      <c r="A11" s="3" t="s">
        <v>6763</v>
      </c>
      <c r="B11" s="5">
        <v>0.51390000000000002</v>
      </c>
    </row>
    <row r="12" spans="1:5" x14ac:dyDescent="0.3">
      <c r="A12" s="7" t="s">
        <v>6764</v>
      </c>
      <c r="B12" s="10">
        <v>0.47360000000000002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"/>
  <sheetViews>
    <sheetView topLeftCell="A10" workbookViewId="0">
      <selection activeCell="B25" sqref="B25"/>
    </sheetView>
  </sheetViews>
  <sheetFormatPr defaultRowHeight="14.4" x14ac:dyDescent="0.3"/>
  <cols>
    <col min="1" max="1" width="28.77734375" bestFit="1" customWidth="1"/>
    <col min="2" max="2" width="15.5546875" bestFit="1" customWidth="1"/>
    <col min="3" max="3" width="9.109375" bestFit="1" customWidth="1"/>
    <col min="4" max="4" width="8.77734375" customWidth="1"/>
    <col min="5" max="5" width="10.77734375" bestFit="1" customWidth="1"/>
  </cols>
  <sheetData>
    <row r="3" spans="1:5" x14ac:dyDescent="0.3">
      <c r="A3" s="2" t="s">
        <v>6748</v>
      </c>
      <c r="B3" s="2" t="s">
        <v>6749</v>
      </c>
    </row>
    <row r="4" spans="1:5" x14ac:dyDescent="0.3">
      <c r="A4" s="2" t="s">
        <v>6746</v>
      </c>
      <c r="B4" t="s">
        <v>36</v>
      </c>
      <c r="C4" t="s">
        <v>71</v>
      </c>
      <c r="D4" t="s">
        <v>27</v>
      </c>
      <c r="E4" t="s">
        <v>6747</v>
      </c>
    </row>
    <row r="5" spans="1:5" x14ac:dyDescent="0.3">
      <c r="A5" s="3">
        <v>0</v>
      </c>
      <c r="B5" s="5">
        <v>0.50462170489558367</v>
      </c>
      <c r="C5" s="5">
        <v>6.0253337897980146E-2</v>
      </c>
      <c r="D5" s="5">
        <v>0.43512495720643612</v>
      </c>
      <c r="E5" s="5">
        <v>1</v>
      </c>
    </row>
    <row r="6" spans="1:5" x14ac:dyDescent="0.3">
      <c r="A6" s="3">
        <v>1</v>
      </c>
      <c r="B6" s="5">
        <v>0.42248062015503873</v>
      </c>
      <c r="C6" s="5">
        <v>4.2635658914728682E-2</v>
      </c>
      <c r="D6" s="5">
        <v>0.53488372093023251</v>
      </c>
      <c r="E6" s="5">
        <v>1</v>
      </c>
    </row>
    <row r="7" spans="1:5" x14ac:dyDescent="0.3">
      <c r="A7" s="3">
        <v>2</v>
      </c>
      <c r="B7" s="5">
        <v>0.36301369863013699</v>
      </c>
      <c r="C7" s="5">
        <v>4.3378995433789952E-2</v>
      </c>
      <c r="D7" s="5">
        <v>0.59360730593607303</v>
      </c>
      <c r="E7" s="5">
        <v>1</v>
      </c>
    </row>
    <row r="8" spans="1:5" x14ac:dyDescent="0.3">
      <c r="A8" s="3">
        <v>3</v>
      </c>
      <c r="B8" s="5">
        <v>0.29487179487179488</v>
      </c>
      <c r="C8" s="5">
        <v>2.564102564102564E-2</v>
      </c>
      <c r="D8" s="5">
        <v>0.67948717948717952</v>
      </c>
      <c r="E8" s="5">
        <v>1</v>
      </c>
    </row>
    <row r="9" spans="1:5" x14ac:dyDescent="0.3">
      <c r="A9" s="3">
        <v>4</v>
      </c>
      <c r="B9" s="5">
        <v>0.33333333333333331</v>
      </c>
      <c r="C9" s="5">
        <v>0</v>
      </c>
      <c r="D9" s="5">
        <v>0.66666666666666663</v>
      </c>
      <c r="E9" s="5">
        <v>1</v>
      </c>
    </row>
    <row r="10" spans="1:5" x14ac:dyDescent="0.3">
      <c r="A10" s="3">
        <v>5</v>
      </c>
      <c r="B10" s="5">
        <v>0</v>
      </c>
      <c r="C10" s="5">
        <v>0</v>
      </c>
      <c r="D10" s="5">
        <v>1</v>
      </c>
      <c r="E10" s="5">
        <v>1</v>
      </c>
    </row>
    <row r="11" spans="1:5" x14ac:dyDescent="0.3">
      <c r="A11" s="3" t="s">
        <v>6747</v>
      </c>
      <c r="B11" s="5">
        <v>0.46279999999999999</v>
      </c>
      <c r="C11" s="5">
        <v>5.2600000000000001E-2</v>
      </c>
      <c r="D11" s="5">
        <v>0.48459999999999998</v>
      </c>
      <c r="E11" s="5">
        <v>1</v>
      </c>
    </row>
    <row r="14" spans="1:5" x14ac:dyDescent="0.3">
      <c r="A14" s="8"/>
      <c r="B14" s="8"/>
    </row>
    <row r="15" spans="1:5" x14ac:dyDescent="0.3">
      <c r="A15" s="8" t="s">
        <v>6765</v>
      </c>
      <c r="B15" s="8" t="s">
        <v>6761</v>
      </c>
    </row>
    <row r="16" spans="1:5" x14ac:dyDescent="0.3">
      <c r="A16">
        <v>0</v>
      </c>
      <c r="B16" s="5">
        <v>0.43509999999999999</v>
      </c>
    </row>
    <row r="17" spans="1:2" x14ac:dyDescent="0.3">
      <c r="A17">
        <v>1</v>
      </c>
      <c r="B17" s="5">
        <v>0.53490000000000004</v>
      </c>
    </row>
    <row r="18" spans="1:2" x14ac:dyDescent="0.3">
      <c r="A18">
        <v>2</v>
      </c>
      <c r="B18" s="5">
        <v>0.59360000000000002</v>
      </c>
    </row>
    <row r="19" spans="1:2" x14ac:dyDescent="0.3">
      <c r="A19">
        <v>3</v>
      </c>
      <c r="B19" s="5">
        <v>0.67949999999999999</v>
      </c>
    </row>
    <row r="20" spans="1:2" x14ac:dyDescent="0.3">
      <c r="A20">
        <v>4</v>
      </c>
      <c r="B20" s="5">
        <v>0.66669999999999996</v>
      </c>
    </row>
    <row r="21" spans="1:2" x14ac:dyDescent="0.3">
      <c r="A21" s="8">
        <v>5</v>
      </c>
      <c r="B21" s="11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topLeftCell="A13" workbookViewId="0">
      <selection activeCell="B24" sqref="B24"/>
    </sheetView>
  </sheetViews>
  <sheetFormatPr defaultRowHeight="14.4" x14ac:dyDescent="0.3"/>
  <cols>
    <col min="1" max="1" width="28.77734375" bestFit="1" customWidth="1"/>
    <col min="2" max="2" width="15.5546875" bestFit="1" customWidth="1"/>
    <col min="3" max="3" width="9.109375" customWidth="1"/>
    <col min="4" max="4" width="8.77734375" customWidth="1"/>
    <col min="5" max="5" width="10.77734375" customWidth="1"/>
    <col min="6" max="9" width="2" customWidth="1"/>
    <col min="10" max="63" width="3" customWidth="1"/>
    <col min="64" max="64" width="7" customWidth="1"/>
    <col min="65" max="65" width="10.77734375" bestFit="1" customWidth="1"/>
  </cols>
  <sheetData>
    <row r="3" spans="1:5" x14ac:dyDescent="0.3">
      <c r="A3" s="2" t="s">
        <v>6748</v>
      </c>
      <c r="B3" s="2" t="s">
        <v>6749</v>
      </c>
    </row>
    <row r="4" spans="1:5" x14ac:dyDescent="0.3">
      <c r="A4" s="2" t="s">
        <v>6746</v>
      </c>
      <c r="B4" t="s">
        <v>36</v>
      </c>
      <c r="C4" t="s">
        <v>71</v>
      </c>
      <c r="D4" t="s">
        <v>27</v>
      </c>
      <c r="E4" t="s">
        <v>6747</v>
      </c>
    </row>
    <row r="5" spans="1:5" x14ac:dyDescent="0.3">
      <c r="A5" s="3" t="s">
        <v>6751</v>
      </c>
      <c r="B5" s="5">
        <v>0.66562500000000002</v>
      </c>
      <c r="C5" s="5">
        <v>5.6250000000000001E-2</v>
      </c>
      <c r="D5" s="5">
        <v>0.27812500000000001</v>
      </c>
      <c r="E5" s="5">
        <v>1</v>
      </c>
    </row>
    <row r="6" spans="1:5" x14ac:dyDescent="0.3">
      <c r="A6" s="3" t="s">
        <v>6752</v>
      </c>
      <c r="B6" s="5">
        <v>0.51687921980495122</v>
      </c>
      <c r="C6" s="5">
        <v>5.1012753188297073E-2</v>
      </c>
      <c r="D6" s="5">
        <v>0.43210802700675166</v>
      </c>
      <c r="E6" s="5">
        <v>1</v>
      </c>
    </row>
    <row r="7" spans="1:5" x14ac:dyDescent="0.3">
      <c r="A7" s="3" t="s">
        <v>6753</v>
      </c>
      <c r="B7" s="5">
        <v>0.34103092783505157</v>
      </c>
      <c r="C7" s="5">
        <v>5.4020618556701032E-2</v>
      </c>
      <c r="D7" s="5">
        <v>0.60494845360824745</v>
      </c>
      <c r="E7" s="5">
        <v>1</v>
      </c>
    </row>
    <row r="8" spans="1:5" x14ac:dyDescent="0.3">
      <c r="A8" s="3" t="s">
        <v>6754</v>
      </c>
      <c r="B8" s="5">
        <v>0.61794019933554822</v>
      </c>
      <c r="C8" s="5">
        <v>4.6511627906976744E-2</v>
      </c>
      <c r="D8" s="5">
        <v>0.33554817275747506</v>
      </c>
      <c r="E8" s="5">
        <v>1</v>
      </c>
    </row>
    <row r="9" spans="1:5" x14ac:dyDescent="0.3">
      <c r="A9" s="3" t="s">
        <v>6747</v>
      </c>
      <c r="B9" s="5">
        <v>0.46279999999999999</v>
      </c>
      <c r="C9" s="5">
        <v>5.2600000000000001E-2</v>
      </c>
      <c r="D9" s="5">
        <v>0.48459999999999998</v>
      </c>
      <c r="E9" s="5">
        <v>1</v>
      </c>
    </row>
    <row r="13" spans="1:5" x14ac:dyDescent="0.3">
      <c r="A13" s="8"/>
      <c r="B13" s="8"/>
    </row>
    <row r="14" spans="1:5" x14ac:dyDescent="0.3">
      <c r="A14" s="8" t="s">
        <v>6750</v>
      </c>
      <c r="B14" s="8" t="s">
        <v>6761</v>
      </c>
    </row>
    <row r="15" spans="1:5" x14ac:dyDescent="0.3">
      <c r="A15" t="s">
        <v>6751</v>
      </c>
      <c r="B15" s="5">
        <v>0.27810000000000001</v>
      </c>
    </row>
    <row r="16" spans="1:5" x14ac:dyDescent="0.3">
      <c r="A16" t="s">
        <v>6754</v>
      </c>
      <c r="B16" s="5">
        <v>0.33550000000000002</v>
      </c>
    </row>
    <row r="17" spans="1:2" x14ac:dyDescent="0.3">
      <c r="A17" t="s">
        <v>6752</v>
      </c>
      <c r="B17" s="5">
        <v>0.43209999999999998</v>
      </c>
    </row>
    <row r="18" spans="1:2" x14ac:dyDescent="0.3">
      <c r="A18" s="8" t="s">
        <v>6753</v>
      </c>
      <c r="B18" s="10">
        <v>0.60489999999999999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9"/>
  <sheetViews>
    <sheetView topLeftCell="A15" workbookViewId="0">
      <selection activeCell="G30" sqref="G30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9.109375" customWidth="1"/>
    <col min="4" max="4" width="8.77734375" customWidth="1"/>
    <col min="5" max="5" width="13.6640625" customWidth="1"/>
    <col min="7" max="7" width="9.109375" bestFit="1" customWidth="1"/>
    <col min="8" max="8" width="8.77734375" customWidth="1"/>
    <col min="9" max="9" width="8.44140625" customWidth="1"/>
    <col min="10" max="10" width="10.77734375" bestFit="1" customWidth="1"/>
  </cols>
  <sheetData>
    <row r="3" spans="1:10" x14ac:dyDescent="0.3">
      <c r="A3" s="2" t="s">
        <v>6772</v>
      </c>
      <c r="B3" s="2" t="s">
        <v>6749</v>
      </c>
    </row>
    <row r="4" spans="1:10" x14ac:dyDescent="0.3">
      <c r="B4" t="s">
        <v>54</v>
      </c>
      <c r="E4" t="s">
        <v>6770</v>
      </c>
      <c r="F4" t="s">
        <v>25</v>
      </c>
      <c r="I4" t="s">
        <v>6771</v>
      </c>
      <c r="J4" t="s">
        <v>6747</v>
      </c>
    </row>
    <row r="5" spans="1:10" x14ac:dyDescent="0.3">
      <c r="A5" s="2" t="s">
        <v>6746</v>
      </c>
      <c r="B5" t="s">
        <v>36</v>
      </c>
      <c r="C5" t="s">
        <v>71</v>
      </c>
      <c r="D5" t="s">
        <v>27</v>
      </c>
      <c r="F5" t="s">
        <v>36</v>
      </c>
      <c r="G5" t="s">
        <v>71</v>
      </c>
      <c r="H5" t="s">
        <v>27</v>
      </c>
    </row>
    <row r="6" spans="1:10" x14ac:dyDescent="0.3">
      <c r="A6" s="3" t="s">
        <v>66</v>
      </c>
      <c r="B6" s="4">
        <v>65</v>
      </c>
      <c r="C6" s="4">
        <v>9</v>
      </c>
      <c r="D6" s="4">
        <v>78</v>
      </c>
      <c r="E6" s="4">
        <v>152</v>
      </c>
      <c r="F6" s="4">
        <v>192</v>
      </c>
      <c r="G6" s="4">
        <v>15</v>
      </c>
      <c r="H6" s="4">
        <v>205</v>
      </c>
      <c r="I6" s="4">
        <v>412</v>
      </c>
      <c r="J6" s="4">
        <v>564</v>
      </c>
    </row>
    <row r="7" spans="1:10" x14ac:dyDescent="0.3">
      <c r="A7" s="3" t="s">
        <v>31</v>
      </c>
      <c r="B7" s="4">
        <v>89</v>
      </c>
      <c r="C7" s="4">
        <v>11</v>
      </c>
      <c r="D7" s="4">
        <v>113</v>
      </c>
      <c r="E7" s="4">
        <v>213</v>
      </c>
      <c r="F7" s="4">
        <v>264</v>
      </c>
      <c r="G7" s="4">
        <v>22</v>
      </c>
      <c r="H7" s="4">
        <v>284</v>
      </c>
      <c r="I7" s="4">
        <v>570</v>
      </c>
      <c r="J7" s="4">
        <v>783</v>
      </c>
    </row>
    <row r="8" spans="1:10" x14ac:dyDescent="0.3">
      <c r="A8" s="3" t="s">
        <v>21</v>
      </c>
      <c r="B8" s="4">
        <v>88</v>
      </c>
      <c r="C8" s="4">
        <v>13</v>
      </c>
      <c r="D8" s="4">
        <v>126</v>
      </c>
      <c r="E8" s="4">
        <v>227</v>
      </c>
      <c r="F8" s="4">
        <v>286</v>
      </c>
      <c r="G8" s="4">
        <v>36</v>
      </c>
      <c r="H8" s="4">
        <v>270</v>
      </c>
      <c r="I8" s="4">
        <v>592</v>
      </c>
      <c r="J8" s="4">
        <v>819</v>
      </c>
    </row>
    <row r="9" spans="1:10" x14ac:dyDescent="0.3">
      <c r="A9" s="3" t="s">
        <v>39</v>
      </c>
      <c r="B9" s="4">
        <v>97</v>
      </c>
      <c r="C9" s="4">
        <v>15</v>
      </c>
      <c r="D9" s="4">
        <v>105</v>
      </c>
      <c r="E9" s="4">
        <v>217</v>
      </c>
      <c r="F9" s="4">
        <v>268</v>
      </c>
      <c r="G9" s="4">
        <v>32</v>
      </c>
      <c r="H9" s="4">
        <v>276</v>
      </c>
      <c r="I9" s="4">
        <v>576</v>
      </c>
      <c r="J9" s="4">
        <v>793</v>
      </c>
    </row>
    <row r="10" spans="1:10" x14ac:dyDescent="0.3">
      <c r="A10" s="3" t="s">
        <v>44</v>
      </c>
      <c r="B10" s="4">
        <v>88</v>
      </c>
      <c r="C10" s="4">
        <v>5</v>
      </c>
      <c r="D10" s="4">
        <v>123</v>
      </c>
      <c r="E10" s="4">
        <v>216</v>
      </c>
      <c r="F10" s="4">
        <v>272</v>
      </c>
      <c r="G10" s="4">
        <v>29</v>
      </c>
      <c r="H10" s="4">
        <v>283</v>
      </c>
      <c r="I10" s="4">
        <v>584</v>
      </c>
      <c r="J10" s="4">
        <v>800</v>
      </c>
    </row>
    <row r="11" spans="1:10" x14ac:dyDescent="0.3">
      <c r="A11" s="3" t="s">
        <v>53</v>
      </c>
      <c r="B11" s="4">
        <v>156</v>
      </c>
      <c r="C11" s="4">
        <v>28</v>
      </c>
      <c r="D11" s="4">
        <v>157</v>
      </c>
      <c r="E11" s="4">
        <v>341</v>
      </c>
      <c r="F11" s="4">
        <v>449</v>
      </c>
      <c r="G11" s="4">
        <v>48</v>
      </c>
      <c r="H11" s="4">
        <v>403</v>
      </c>
      <c r="I11" s="4">
        <v>900</v>
      </c>
      <c r="J11" s="4">
        <v>1241</v>
      </c>
    </row>
    <row r="12" spans="1:10" x14ac:dyDescent="0.3">
      <c r="A12" s="3" t="s">
        <v>6747</v>
      </c>
      <c r="B12" s="4">
        <v>583</v>
      </c>
      <c r="C12" s="4">
        <v>81</v>
      </c>
      <c r="D12" s="4">
        <v>702</v>
      </c>
      <c r="E12" s="4">
        <v>1366</v>
      </c>
      <c r="F12" s="4">
        <v>1731</v>
      </c>
      <c r="G12" s="4">
        <v>182</v>
      </c>
      <c r="H12" s="4">
        <v>1721</v>
      </c>
      <c r="I12" s="4">
        <v>3634</v>
      </c>
      <c r="J12" s="4">
        <v>5000</v>
      </c>
    </row>
    <row r="15" spans="1:10" ht="15" thickBot="1" x14ac:dyDescent="0.35"/>
    <row r="16" spans="1:10" x14ac:dyDescent="0.3">
      <c r="A16" s="20" t="s">
        <v>6773</v>
      </c>
      <c r="B16" s="21" t="s">
        <v>6774</v>
      </c>
      <c r="C16" s="21" t="s">
        <v>6761</v>
      </c>
      <c r="D16" s="21" t="s">
        <v>6775</v>
      </c>
      <c r="E16" s="22" t="s">
        <v>6759</v>
      </c>
    </row>
    <row r="17" spans="1:5" x14ac:dyDescent="0.3">
      <c r="A17" s="13" t="s">
        <v>66</v>
      </c>
      <c r="B17" s="18" t="s">
        <v>6763</v>
      </c>
      <c r="C17" s="18">
        <v>78</v>
      </c>
      <c r="D17" s="18">
        <v>152</v>
      </c>
      <c r="E17" s="14">
        <v>0.51319999999999999</v>
      </c>
    </row>
    <row r="18" spans="1:5" x14ac:dyDescent="0.3">
      <c r="A18" s="13"/>
      <c r="B18" s="18" t="s">
        <v>6764</v>
      </c>
      <c r="C18" s="18">
        <v>205</v>
      </c>
      <c r="D18" s="18">
        <v>412</v>
      </c>
      <c r="E18" s="14">
        <v>0.48759999999999998</v>
      </c>
    </row>
    <row r="19" spans="1:5" x14ac:dyDescent="0.3">
      <c r="A19" s="13" t="s">
        <v>31</v>
      </c>
      <c r="B19" s="18" t="s">
        <v>6763</v>
      </c>
      <c r="C19" s="18">
        <v>113</v>
      </c>
      <c r="D19" s="18">
        <v>213</v>
      </c>
      <c r="E19" s="14">
        <v>0.53049999999999997</v>
      </c>
    </row>
    <row r="20" spans="1:5" x14ac:dyDescent="0.3">
      <c r="A20" s="13"/>
      <c r="B20" s="18" t="s">
        <v>6764</v>
      </c>
      <c r="C20" s="18">
        <v>284</v>
      </c>
      <c r="D20" s="18">
        <v>570</v>
      </c>
      <c r="E20" s="14">
        <v>0.49819999999999998</v>
      </c>
    </row>
    <row r="21" spans="1:5" x14ac:dyDescent="0.3">
      <c r="A21" s="13" t="s">
        <v>21</v>
      </c>
      <c r="B21" s="18" t="s">
        <v>6763</v>
      </c>
      <c r="C21" s="18">
        <v>126</v>
      </c>
      <c r="D21" s="18">
        <v>227</v>
      </c>
      <c r="E21" s="14">
        <v>0.55510000000000004</v>
      </c>
    </row>
    <row r="22" spans="1:5" x14ac:dyDescent="0.3">
      <c r="A22" s="13"/>
      <c r="B22" s="18" t="s">
        <v>6764</v>
      </c>
      <c r="C22" s="18">
        <v>270</v>
      </c>
      <c r="D22" s="18">
        <v>592</v>
      </c>
      <c r="E22" s="14">
        <v>0.45610000000000001</v>
      </c>
    </row>
    <row r="23" spans="1:5" x14ac:dyDescent="0.3">
      <c r="A23" s="13" t="s">
        <v>39</v>
      </c>
      <c r="B23" s="18" t="s">
        <v>6763</v>
      </c>
      <c r="C23" s="18">
        <v>105</v>
      </c>
      <c r="D23" s="18">
        <v>217</v>
      </c>
      <c r="E23" s="14">
        <v>0.4869</v>
      </c>
    </row>
    <row r="24" spans="1:5" x14ac:dyDescent="0.3">
      <c r="A24" s="13"/>
      <c r="B24" s="18" t="s">
        <v>6764</v>
      </c>
      <c r="C24" s="18">
        <v>276</v>
      </c>
      <c r="D24" s="18">
        <v>576</v>
      </c>
      <c r="E24" s="14">
        <v>0.47920000000000001</v>
      </c>
    </row>
    <row r="25" spans="1:5" x14ac:dyDescent="0.3">
      <c r="A25" s="13" t="s">
        <v>6776</v>
      </c>
      <c r="B25" s="18" t="s">
        <v>6763</v>
      </c>
      <c r="C25" s="18">
        <v>123</v>
      </c>
      <c r="D25" s="18">
        <v>216</v>
      </c>
      <c r="E25" s="14">
        <v>0.56940000000000002</v>
      </c>
    </row>
    <row r="26" spans="1:5" x14ac:dyDescent="0.3">
      <c r="A26" s="13"/>
      <c r="B26" s="18" t="s">
        <v>6764</v>
      </c>
      <c r="C26" s="18">
        <v>283</v>
      </c>
      <c r="D26" s="18">
        <v>584</v>
      </c>
      <c r="E26" s="14">
        <v>0.48459999999999998</v>
      </c>
    </row>
    <row r="27" spans="1:5" x14ac:dyDescent="0.3">
      <c r="A27" s="13" t="s">
        <v>53</v>
      </c>
      <c r="B27" s="18" t="s">
        <v>6763</v>
      </c>
      <c r="C27" s="18">
        <v>157</v>
      </c>
      <c r="D27" s="18">
        <v>341</v>
      </c>
      <c r="E27" s="14">
        <v>0.45040000000000002</v>
      </c>
    </row>
    <row r="28" spans="1:5" x14ac:dyDescent="0.3">
      <c r="A28" s="13"/>
      <c r="B28" s="18" t="s">
        <v>6764</v>
      </c>
      <c r="C28" s="18">
        <v>403</v>
      </c>
      <c r="D28" s="18">
        <v>900</v>
      </c>
      <c r="E28" s="14">
        <v>0.4476</v>
      </c>
    </row>
    <row r="29" spans="1:5" ht="15" thickBot="1" x14ac:dyDescent="0.35">
      <c r="A29" s="15"/>
      <c r="B29" s="19"/>
      <c r="C29" s="19"/>
      <c r="D29" s="19"/>
      <c r="E29" s="16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topLeftCell="D10" workbookViewId="0">
      <selection activeCell="F7" sqref="F7"/>
    </sheetView>
  </sheetViews>
  <sheetFormatPr defaultRowHeight="14.4" x14ac:dyDescent="0.3"/>
  <cols>
    <col min="1" max="1" width="22.6640625" customWidth="1"/>
    <col min="2" max="2" width="15.5546875" customWidth="1"/>
    <col min="3" max="3" width="9.109375" bestFit="1" customWidth="1"/>
    <col min="4" max="4" width="8.77734375" customWidth="1"/>
    <col min="5" max="5" width="10.77734375" bestFit="1" customWidth="1"/>
    <col min="6" max="6" width="14.33203125" customWidth="1"/>
  </cols>
  <sheetData>
    <row r="3" spans="1:6" x14ac:dyDescent="0.3">
      <c r="A3" s="2" t="s">
        <v>6772</v>
      </c>
      <c r="B3" s="2" t="s">
        <v>6749</v>
      </c>
    </row>
    <row r="4" spans="1:6" x14ac:dyDescent="0.3">
      <c r="A4" s="2" t="s">
        <v>6746</v>
      </c>
      <c r="B4" t="s">
        <v>36</v>
      </c>
      <c r="C4" t="s">
        <v>71</v>
      </c>
      <c r="D4" t="s">
        <v>27</v>
      </c>
      <c r="E4" t="s">
        <v>6747</v>
      </c>
    </row>
    <row r="5" spans="1:6" x14ac:dyDescent="0.3">
      <c r="A5" s="3" t="s">
        <v>6751</v>
      </c>
      <c r="B5" s="4">
        <v>426</v>
      </c>
      <c r="C5" s="4">
        <v>36</v>
      </c>
      <c r="D5" s="4">
        <v>178</v>
      </c>
      <c r="E5" s="4">
        <v>640</v>
      </c>
    </row>
    <row r="6" spans="1:6" x14ac:dyDescent="0.3">
      <c r="A6" s="3" t="s">
        <v>6752</v>
      </c>
      <c r="B6" s="4">
        <v>689</v>
      </c>
      <c r="C6" s="4">
        <v>68</v>
      </c>
      <c r="D6" s="4">
        <v>576</v>
      </c>
      <c r="E6" s="4">
        <v>1333</v>
      </c>
    </row>
    <row r="7" spans="1:6" x14ac:dyDescent="0.3">
      <c r="A7" s="3" t="s">
        <v>6753</v>
      </c>
      <c r="B7" s="4">
        <v>827</v>
      </c>
      <c r="C7" s="4">
        <v>131</v>
      </c>
      <c r="D7" s="4">
        <v>1467</v>
      </c>
      <c r="E7" s="4">
        <v>2425</v>
      </c>
    </row>
    <row r="8" spans="1:6" x14ac:dyDescent="0.3">
      <c r="A8" s="3" t="s">
        <v>6754</v>
      </c>
      <c r="B8" s="4">
        <v>372</v>
      </c>
      <c r="C8" s="4">
        <v>28</v>
      </c>
      <c r="D8" s="4">
        <v>202</v>
      </c>
      <c r="E8" s="4">
        <v>602</v>
      </c>
    </row>
    <row r="9" spans="1:6" x14ac:dyDescent="0.3">
      <c r="A9" s="3" t="s">
        <v>6747</v>
      </c>
      <c r="B9" s="4">
        <v>2314</v>
      </c>
      <c r="C9" s="4">
        <v>263</v>
      </c>
      <c r="D9" s="4">
        <v>2423</v>
      </c>
      <c r="E9" s="4">
        <v>5000</v>
      </c>
    </row>
    <row r="11" spans="1:6" ht="15" thickBot="1" x14ac:dyDescent="0.35"/>
    <row r="12" spans="1:6" x14ac:dyDescent="0.3">
      <c r="A12" s="23" t="s">
        <v>6777</v>
      </c>
      <c r="B12" s="17" t="s">
        <v>6768</v>
      </c>
      <c r="C12" s="26" t="s">
        <v>6769</v>
      </c>
      <c r="D12" s="17" t="s">
        <v>6761</v>
      </c>
      <c r="E12" s="17" t="s">
        <v>6778</v>
      </c>
      <c r="F12" s="29" t="s">
        <v>6759</v>
      </c>
    </row>
    <row r="13" spans="1:6" x14ac:dyDescent="0.3">
      <c r="A13" s="24" t="s">
        <v>6751</v>
      </c>
      <c r="B13" s="18">
        <v>426</v>
      </c>
      <c r="C13" s="27">
        <v>36</v>
      </c>
      <c r="D13" s="18">
        <v>178</v>
      </c>
      <c r="E13" s="18">
        <v>640</v>
      </c>
      <c r="F13" s="30">
        <v>0.27810000000000001</v>
      </c>
    </row>
    <row r="14" spans="1:6" x14ac:dyDescent="0.3">
      <c r="A14" s="24" t="s">
        <v>6780</v>
      </c>
      <c r="B14" s="18">
        <v>372</v>
      </c>
      <c r="C14" s="27">
        <v>28</v>
      </c>
      <c r="D14" s="18">
        <v>202</v>
      </c>
      <c r="E14" s="18">
        <v>602</v>
      </c>
      <c r="F14" s="30">
        <v>0.33350000000000002</v>
      </c>
    </row>
    <row r="15" spans="1:6" x14ac:dyDescent="0.3">
      <c r="A15" s="24" t="s">
        <v>6779</v>
      </c>
      <c r="B15" s="18">
        <v>689</v>
      </c>
      <c r="C15" s="27">
        <v>68</v>
      </c>
      <c r="D15" s="18">
        <v>476</v>
      </c>
      <c r="E15" s="18">
        <v>1333</v>
      </c>
      <c r="F15" s="30">
        <v>0.43209999999999998</v>
      </c>
    </row>
    <row r="16" spans="1:6" ht="15" thickBot="1" x14ac:dyDescent="0.35">
      <c r="A16" s="25" t="s">
        <v>6781</v>
      </c>
      <c r="B16" s="19">
        <v>827</v>
      </c>
      <c r="C16" s="28">
        <v>131</v>
      </c>
      <c r="D16" s="19">
        <v>1467</v>
      </c>
      <c r="E16" s="19">
        <v>2425</v>
      </c>
      <c r="F16" s="31">
        <v>0.60450000000000004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9"/>
  <sheetViews>
    <sheetView topLeftCell="A16" zoomScale="82" zoomScaleNormal="82" workbookViewId="0">
      <selection activeCell="E28" sqref="E28"/>
    </sheetView>
  </sheetViews>
  <sheetFormatPr defaultRowHeight="14.4" x14ac:dyDescent="0.3"/>
  <cols>
    <col min="1" max="1" width="22.6640625" customWidth="1"/>
    <col min="2" max="2" width="15.5546875" customWidth="1"/>
    <col min="3" max="3" width="16.33203125" customWidth="1"/>
    <col min="4" max="4" width="10.77734375" customWidth="1"/>
    <col min="5" max="5" width="11.109375" bestFit="1" customWidth="1"/>
    <col min="6" max="6" width="4" customWidth="1"/>
    <col min="7" max="7" width="13.88671875" bestFit="1" customWidth="1"/>
    <col min="8" max="8" width="10.77734375" bestFit="1" customWidth="1"/>
    <col min="9" max="9" width="5" customWidth="1"/>
    <col min="10" max="10" width="13.5546875" bestFit="1" customWidth="1"/>
    <col min="11" max="11" width="10.77734375" bestFit="1" customWidth="1"/>
  </cols>
  <sheetData>
    <row r="3" spans="1:4" x14ac:dyDescent="0.3">
      <c r="A3" s="2" t="s">
        <v>6772</v>
      </c>
      <c r="B3" s="2" t="s">
        <v>6749</v>
      </c>
    </row>
    <row r="4" spans="1:4" x14ac:dyDescent="0.3">
      <c r="A4" s="2" t="s">
        <v>6746</v>
      </c>
      <c r="B4" t="s">
        <v>54</v>
      </c>
      <c r="C4" t="s">
        <v>25</v>
      </c>
      <c r="D4" t="s">
        <v>6747</v>
      </c>
    </row>
    <row r="5" spans="1:4" x14ac:dyDescent="0.3">
      <c r="A5" s="3" t="s">
        <v>6751</v>
      </c>
      <c r="B5" s="4">
        <v>167</v>
      </c>
      <c r="C5" s="4">
        <v>473</v>
      </c>
      <c r="D5" s="4">
        <v>640</v>
      </c>
    </row>
    <row r="6" spans="1:4" x14ac:dyDescent="0.3">
      <c r="A6" s="32" t="s">
        <v>36</v>
      </c>
      <c r="B6" s="4">
        <v>110</v>
      </c>
      <c r="C6" s="4">
        <v>316</v>
      </c>
      <c r="D6" s="4">
        <v>426</v>
      </c>
    </row>
    <row r="7" spans="1:4" x14ac:dyDescent="0.3">
      <c r="A7" s="32" t="s">
        <v>71</v>
      </c>
      <c r="B7" s="4">
        <v>7</v>
      </c>
      <c r="C7" s="4">
        <v>29</v>
      </c>
      <c r="D7" s="4">
        <v>36</v>
      </c>
    </row>
    <row r="8" spans="1:4" x14ac:dyDescent="0.3">
      <c r="A8" s="32" t="s">
        <v>27</v>
      </c>
      <c r="B8" s="4">
        <v>50</v>
      </c>
      <c r="C8" s="4">
        <v>128</v>
      </c>
      <c r="D8" s="4">
        <v>178</v>
      </c>
    </row>
    <row r="9" spans="1:4" x14ac:dyDescent="0.3">
      <c r="A9" s="3" t="s">
        <v>6752</v>
      </c>
      <c r="B9" s="4">
        <v>378</v>
      </c>
      <c r="C9" s="4">
        <v>955</v>
      </c>
      <c r="D9" s="4">
        <v>1333</v>
      </c>
    </row>
    <row r="10" spans="1:4" x14ac:dyDescent="0.3">
      <c r="A10" s="32" t="s">
        <v>36</v>
      </c>
      <c r="B10" s="4">
        <v>178</v>
      </c>
      <c r="C10" s="4">
        <v>511</v>
      </c>
      <c r="D10" s="4">
        <v>689</v>
      </c>
    </row>
    <row r="11" spans="1:4" x14ac:dyDescent="0.3">
      <c r="A11" s="32" t="s">
        <v>71</v>
      </c>
      <c r="B11" s="4">
        <v>24</v>
      </c>
      <c r="C11" s="4">
        <v>44</v>
      </c>
      <c r="D11" s="4">
        <v>68</v>
      </c>
    </row>
    <row r="12" spans="1:4" x14ac:dyDescent="0.3">
      <c r="A12" s="32" t="s">
        <v>27</v>
      </c>
      <c r="B12" s="4">
        <v>176</v>
      </c>
      <c r="C12" s="4">
        <v>400</v>
      </c>
      <c r="D12" s="4">
        <v>576</v>
      </c>
    </row>
    <row r="13" spans="1:4" x14ac:dyDescent="0.3">
      <c r="A13" s="3" t="s">
        <v>6753</v>
      </c>
      <c r="B13" s="4">
        <v>660</v>
      </c>
      <c r="C13" s="4">
        <v>1765</v>
      </c>
      <c r="D13" s="4">
        <v>2425</v>
      </c>
    </row>
    <row r="14" spans="1:4" x14ac:dyDescent="0.3">
      <c r="A14" s="32" t="s">
        <v>36</v>
      </c>
      <c r="B14" s="4">
        <v>201</v>
      </c>
      <c r="C14" s="4">
        <v>626</v>
      </c>
      <c r="D14" s="4">
        <v>827</v>
      </c>
    </row>
    <row r="15" spans="1:4" x14ac:dyDescent="0.3">
      <c r="A15" s="32" t="s">
        <v>71</v>
      </c>
      <c r="B15" s="4">
        <v>39</v>
      </c>
      <c r="C15" s="4">
        <v>92</v>
      </c>
      <c r="D15" s="4">
        <v>131</v>
      </c>
    </row>
    <row r="16" spans="1:4" x14ac:dyDescent="0.3">
      <c r="A16" s="32" t="s">
        <v>27</v>
      </c>
      <c r="B16" s="4">
        <v>420</v>
      </c>
      <c r="C16" s="4">
        <v>1047</v>
      </c>
      <c r="D16" s="4">
        <v>1467</v>
      </c>
    </row>
    <row r="17" spans="1:4" x14ac:dyDescent="0.3">
      <c r="A17" s="3" t="s">
        <v>6754</v>
      </c>
      <c r="B17" s="4">
        <v>161</v>
      </c>
      <c r="C17" s="4">
        <v>441</v>
      </c>
      <c r="D17" s="4">
        <v>602</v>
      </c>
    </row>
    <row r="18" spans="1:4" x14ac:dyDescent="0.3">
      <c r="A18" s="32" t="s">
        <v>36</v>
      </c>
      <c r="B18" s="4">
        <v>94</v>
      </c>
      <c r="C18" s="4">
        <v>278</v>
      </c>
      <c r="D18" s="4">
        <v>372</v>
      </c>
    </row>
    <row r="19" spans="1:4" x14ac:dyDescent="0.3">
      <c r="A19" s="32" t="s">
        <v>71</v>
      </c>
      <c r="B19" s="4">
        <v>11</v>
      </c>
      <c r="C19" s="4">
        <v>17</v>
      </c>
      <c r="D19" s="4">
        <v>28</v>
      </c>
    </row>
    <row r="20" spans="1:4" x14ac:dyDescent="0.3">
      <c r="A20" s="32" t="s">
        <v>27</v>
      </c>
      <c r="B20" s="4">
        <v>56</v>
      </c>
      <c r="C20" s="4">
        <v>146</v>
      </c>
      <c r="D20" s="4">
        <v>202</v>
      </c>
    </row>
    <row r="21" spans="1:4" x14ac:dyDescent="0.3">
      <c r="A21" s="3" t="s">
        <v>6747</v>
      </c>
      <c r="B21" s="4">
        <v>1366</v>
      </c>
      <c r="C21" s="4">
        <v>3634</v>
      </c>
      <c r="D21" s="4">
        <v>5000</v>
      </c>
    </row>
    <row r="24" spans="1:4" ht="15" thickBot="1" x14ac:dyDescent="0.35"/>
    <row r="25" spans="1:4" x14ac:dyDescent="0.3">
      <c r="A25" s="12" t="s">
        <v>6782</v>
      </c>
      <c r="B25" s="17" t="s">
        <v>6783</v>
      </c>
      <c r="C25" s="29" t="s">
        <v>6762</v>
      </c>
    </row>
    <row r="26" spans="1:4" x14ac:dyDescent="0.3">
      <c r="A26" s="13" t="s">
        <v>6784</v>
      </c>
      <c r="B26" s="33">
        <v>0.2994</v>
      </c>
      <c r="C26" s="30">
        <v>0.21060000000000001</v>
      </c>
    </row>
    <row r="27" spans="1:4" x14ac:dyDescent="0.3">
      <c r="A27" s="13" t="s">
        <v>6780</v>
      </c>
      <c r="B27" s="33">
        <v>0.3276</v>
      </c>
      <c r="C27" s="30">
        <v>0.33110000000000001</v>
      </c>
    </row>
    <row r="28" spans="1:4" x14ac:dyDescent="0.3">
      <c r="A28" s="13" t="s">
        <v>6781</v>
      </c>
      <c r="B28" s="33">
        <v>0.46560000000000001</v>
      </c>
      <c r="C28" s="30">
        <v>0.41880000000000001</v>
      </c>
    </row>
    <row r="29" spans="1:4" ht="15" thickBot="1" x14ac:dyDescent="0.35">
      <c r="A29" s="15" t="s">
        <v>6785</v>
      </c>
      <c r="B29" s="34">
        <v>0.63639999999999997</v>
      </c>
      <c r="C29" s="31">
        <v>0.59319999999999995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tabSelected="1" topLeftCell="A5" zoomScale="86" zoomScaleNormal="86" workbookViewId="0">
      <selection activeCell="E21" sqref="E21"/>
    </sheetView>
  </sheetViews>
  <sheetFormatPr defaultRowHeight="14.4" x14ac:dyDescent="0.3"/>
  <cols>
    <col min="1" max="1" width="22.6640625" customWidth="1"/>
    <col min="2" max="2" width="15.5546875" customWidth="1"/>
    <col min="3" max="3" width="12.44140625" customWidth="1"/>
    <col min="4" max="4" width="8.77734375" customWidth="1"/>
    <col min="5" max="5" width="10.77734375" bestFit="1" customWidth="1"/>
  </cols>
  <sheetData>
    <row r="3" spans="1:5" x14ac:dyDescent="0.3">
      <c r="A3" s="2" t="s">
        <v>6772</v>
      </c>
      <c r="B3" s="2" t="s">
        <v>6749</v>
      </c>
    </row>
    <row r="4" spans="1:5" x14ac:dyDescent="0.3">
      <c r="A4" s="2" t="s">
        <v>6746</v>
      </c>
      <c r="B4" t="s">
        <v>36</v>
      </c>
      <c r="C4" t="s">
        <v>71</v>
      </c>
      <c r="D4" t="s">
        <v>27</v>
      </c>
      <c r="E4" t="s">
        <v>6747</v>
      </c>
    </row>
    <row r="5" spans="1:5" x14ac:dyDescent="0.3">
      <c r="A5" s="3">
        <v>0</v>
      </c>
      <c r="B5" s="4">
        <v>1474</v>
      </c>
      <c r="C5" s="4">
        <v>176</v>
      </c>
      <c r="D5" s="4">
        <v>1271</v>
      </c>
      <c r="E5" s="4">
        <v>2921</v>
      </c>
    </row>
    <row r="6" spans="1:5" x14ac:dyDescent="0.3">
      <c r="A6" s="3">
        <v>1</v>
      </c>
      <c r="B6" s="4">
        <v>654</v>
      </c>
      <c r="C6" s="4">
        <v>66</v>
      </c>
      <c r="D6" s="4">
        <v>828</v>
      </c>
      <c r="E6" s="4">
        <v>1548</v>
      </c>
    </row>
    <row r="7" spans="1:5" x14ac:dyDescent="0.3">
      <c r="A7" s="3">
        <v>2</v>
      </c>
      <c r="B7" s="4">
        <v>159</v>
      </c>
      <c r="C7" s="4">
        <v>19</v>
      </c>
      <c r="D7" s="4">
        <v>260</v>
      </c>
      <c r="E7" s="4">
        <v>438</v>
      </c>
    </row>
    <row r="8" spans="1:5" x14ac:dyDescent="0.3">
      <c r="A8" s="3">
        <v>3</v>
      </c>
      <c r="B8" s="4">
        <v>23</v>
      </c>
      <c r="C8" s="4">
        <v>2</v>
      </c>
      <c r="D8" s="4">
        <v>53</v>
      </c>
      <c r="E8" s="4">
        <v>78</v>
      </c>
    </row>
    <row r="9" spans="1:5" x14ac:dyDescent="0.3">
      <c r="A9" s="3">
        <v>4</v>
      </c>
      <c r="B9" s="4">
        <v>4</v>
      </c>
      <c r="C9" s="4"/>
      <c r="D9" s="4">
        <v>8</v>
      </c>
      <c r="E9" s="4">
        <v>12</v>
      </c>
    </row>
    <row r="10" spans="1:5" x14ac:dyDescent="0.3">
      <c r="A10" s="3">
        <v>5</v>
      </c>
      <c r="B10" s="4"/>
      <c r="C10" s="4"/>
      <c r="D10" s="4">
        <v>3</v>
      </c>
      <c r="E10" s="4">
        <v>3</v>
      </c>
    </row>
    <row r="11" spans="1:5" x14ac:dyDescent="0.3">
      <c r="A11" s="3" t="s">
        <v>6747</v>
      </c>
      <c r="B11" s="4">
        <v>2314</v>
      </c>
      <c r="C11" s="4">
        <v>263</v>
      </c>
      <c r="D11" s="4">
        <v>2423</v>
      </c>
      <c r="E11" s="4">
        <v>5000</v>
      </c>
    </row>
    <row r="13" spans="1:5" ht="15" thickBot="1" x14ac:dyDescent="0.35"/>
    <row r="14" spans="1:5" x14ac:dyDescent="0.3">
      <c r="A14" s="20" t="s">
        <v>6786</v>
      </c>
      <c r="B14" s="21" t="s">
        <v>6787</v>
      </c>
      <c r="C14" s="36" t="s">
        <v>6759</v>
      </c>
    </row>
    <row r="15" spans="1:5" x14ac:dyDescent="0.3">
      <c r="A15" s="13">
        <v>0</v>
      </c>
      <c r="B15" s="18">
        <v>1271</v>
      </c>
      <c r="C15" s="30">
        <v>0.43509999999999999</v>
      </c>
    </row>
    <row r="16" spans="1:5" x14ac:dyDescent="0.3">
      <c r="A16" s="13">
        <v>1</v>
      </c>
      <c r="B16" s="18">
        <v>828</v>
      </c>
      <c r="C16" s="30">
        <v>0.53490000000000004</v>
      </c>
    </row>
    <row r="17" spans="1:3" x14ac:dyDescent="0.3">
      <c r="A17" s="13">
        <v>2</v>
      </c>
      <c r="B17" s="18">
        <v>260</v>
      </c>
      <c r="C17" s="30">
        <v>0.59360000000000002</v>
      </c>
    </row>
    <row r="18" spans="1:3" x14ac:dyDescent="0.3">
      <c r="A18" s="13">
        <v>3</v>
      </c>
      <c r="B18" s="18">
        <v>53</v>
      </c>
      <c r="C18" s="30">
        <v>0.67949999999999999</v>
      </c>
    </row>
    <row r="19" spans="1:3" x14ac:dyDescent="0.3">
      <c r="A19" s="13">
        <v>4</v>
      </c>
      <c r="B19" s="18">
        <v>8</v>
      </c>
      <c r="C19" s="30">
        <v>0.66669999999999996</v>
      </c>
    </row>
    <row r="20" spans="1:3" ht="15" thickBot="1" x14ac:dyDescent="0.35">
      <c r="A20" s="15">
        <v>5</v>
      </c>
      <c r="B20" s="19">
        <v>3</v>
      </c>
      <c r="C20" s="3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1"/>
  <sheetViews>
    <sheetView workbookViewId="0">
      <selection activeCell="B9" sqref="B9"/>
    </sheetView>
  </sheetViews>
  <sheetFormatPr defaultRowHeight="14.4" x14ac:dyDescent="0.3"/>
  <cols>
    <col min="1" max="1" width="16.88671875" customWidth="1"/>
    <col min="2" max="2" width="14.33203125" customWidth="1"/>
    <col min="3" max="3" width="14.5546875" customWidth="1"/>
    <col min="5" max="5" width="11.88671875" customWidth="1"/>
    <col min="6" max="6" width="21.109375" customWidth="1"/>
    <col min="7" max="7" width="18.44140625" customWidth="1"/>
    <col min="8" max="8" width="16.6640625" customWidth="1"/>
    <col min="9" max="9" width="16.21875" customWidth="1"/>
    <col min="10" max="11" width="17" customWidth="1"/>
    <col min="12" max="12" width="19.109375" customWidth="1"/>
    <col min="13" max="13" width="22.21875" customWidth="1"/>
    <col min="14" max="14" width="22.109375" customWidth="1"/>
    <col min="15" max="15" width="17.77734375" customWidth="1"/>
    <col min="16" max="16" width="15.77734375" customWidth="1"/>
    <col min="17" max="17" width="18.109375" customWidth="1"/>
    <col min="18" max="18" width="19.6640625" customWidth="1"/>
    <col min="19" max="19" width="19.21875" customWidth="1"/>
    <col min="20" max="20" width="14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6750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 t="str">
        <f>IF(L2&lt;=7,"0-7 days",IF(L2&lt;=14,"8-14 days",IF(L2&lt;=30,"15-30 days","31-60 days")))</f>
        <v>8-14 days</v>
      </c>
      <c r="L2">
        <v>12</v>
      </c>
      <c r="M2">
        <v>2</v>
      </c>
      <c r="N2">
        <v>0</v>
      </c>
      <c r="O2" t="s">
        <v>25</v>
      </c>
      <c r="P2" t="s">
        <v>26</v>
      </c>
      <c r="Q2">
        <v>19.3</v>
      </c>
      <c r="R2">
        <v>29</v>
      </c>
      <c r="S2" t="s">
        <v>27</v>
      </c>
    </row>
    <row r="3" spans="1:19" x14ac:dyDescent="0.3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 t="str">
        <f t="shared" ref="K3:K66" si="0">IF(L3&lt;=7,"0-7 days",IF(L3&lt;=14,"8-14 days",IF(L3&lt;=30,"15-30 days","31-60 days")))</f>
        <v>0-7 days</v>
      </c>
      <c r="L3">
        <v>2</v>
      </c>
      <c r="M3">
        <v>6</v>
      </c>
      <c r="N3">
        <v>0</v>
      </c>
      <c r="O3" t="s">
        <v>25</v>
      </c>
      <c r="P3" t="s">
        <v>35</v>
      </c>
      <c r="Q3">
        <v>14.3</v>
      </c>
      <c r="R3">
        <v>42</v>
      </c>
      <c r="S3" t="s">
        <v>36</v>
      </c>
    </row>
    <row r="4" spans="1:19" x14ac:dyDescent="0.3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 t="str">
        <f t="shared" si="0"/>
        <v>31-60 days</v>
      </c>
      <c r="L4">
        <v>38</v>
      </c>
      <c r="M4">
        <v>5</v>
      </c>
      <c r="N4">
        <v>1</v>
      </c>
      <c r="O4" t="s">
        <v>25</v>
      </c>
      <c r="P4" t="s">
        <v>35</v>
      </c>
      <c r="Q4">
        <v>11.4</v>
      </c>
      <c r="R4">
        <v>11</v>
      </c>
      <c r="S4" t="s">
        <v>27</v>
      </c>
    </row>
    <row r="5" spans="1:19" x14ac:dyDescent="0.3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 t="str">
        <f t="shared" si="0"/>
        <v>31-60 days</v>
      </c>
      <c r="L5">
        <v>41</v>
      </c>
      <c r="M5">
        <v>3</v>
      </c>
      <c r="N5">
        <v>1</v>
      </c>
      <c r="O5" t="s">
        <v>25</v>
      </c>
      <c r="P5" t="s">
        <v>35</v>
      </c>
      <c r="Q5">
        <v>7.4</v>
      </c>
      <c r="R5">
        <v>35</v>
      </c>
      <c r="S5" t="s">
        <v>36</v>
      </c>
    </row>
    <row r="6" spans="1:19" x14ac:dyDescent="0.3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 t="str">
        <f t="shared" si="0"/>
        <v>31-60 days</v>
      </c>
      <c r="L6">
        <v>47</v>
      </c>
      <c r="M6">
        <v>3</v>
      </c>
      <c r="N6">
        <v>1</v>
      </c>
      <c r="O6" t="s">
        <v>25</v>
      </c>
      <c r="P6" t="s">
        <v>50</v>
      </c>
      <c r="Q6">
        <v>5.6</v>
      </c>
      <c r="R6">
        <v>27</v>
      </c>
      <c r="S6" t="s">
        <v>27</v>
      </c>
    </row>
    <row r="7" spans="1:19" x14ac:dyDescent="0.3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 t="str">
        <f t="shared" si="0"/>
        <v>31-60 days</v>
      </c>
      <c r="L7">
        <v>57</v>
      </c>
      <c r="M7">
        <v>4</v>
      </c>
      <c r="N7">
        <v>2</v>
      </c>
      <c r="O7" t="s">
        <v>54</v>
      </c>
      <c r="P7" t="s">
        <v>55</v>
      </c>
      <c r="Q7">
        <v>3.1</v>
      </c>
      <c r="R7">
        <v>36</v>
      </c>
      <c r="S7" t="s">
        <v>27</v>
      </c>
    </row>
    <row r="8" spans="1:19" x14ac:dyDescent="0.3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 t="str">
        <f t="shared" si="0"/>
        <v>15-30 days</v>
      </c>
      <c r="L8">
        <v>30</v>
      </c>
      <c r="M8">
        <v>4</v>
      </c>
      <c r="N8">
        <v>1</v>
      </c>
      <c r="O8" t="s">
        <v>25</v>
      </c>
      <c r="P8" t="s">
        <v>26</v>
      </c>
      <c r="Q8">
        <v>8.1999999999999993</v>
      </c>
      <c r="R8">
        <v>30</v>
      </c>
      <c r="S8" t="s">
        <v>27</v>
      </c>
    </row>
    <row r="9" spans="1:19" x14ac:dyDescent="0.3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 t="str">
        <f t="shared" si="0"/>
        <v>31-60 days</v>
      </c>
      <c r="L9">
        <v>50</v>
      </c>
      <c r="M9">
        <v>6</v>
      </c>
      <c r="N9">
        <v>1</v>
      </c>
      <c r="O9" t="s">
        <v>25</v>
      </c>
      <c r="P9" t="s">
        <v>35</v>
      </c>
      <c r="Q9">
        <v>19.2</v>
      </c>
      <c r="R9">
        <v>21</v>
      </c>
      <c r="S9" t="s">
        <v>36</v>
      </c>
    </row>
    <row r="10" spans="1:19" x14ac:dyDescent="0.3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 t="str">
        <f t="shared" si="0"/>
        <v>31-60 days</v>
      </c>
      <c r="L10">
        <v>43</v>
      </c>
      <c r="M10">
        <v>3</v>
      </c>
      <c r="N10">
        <v>0</v>
      </c>
      <c r="O10" t="s">
        <v>25</v>
      </c>
      <c r="P10" t="s">
        <v>35</v>
      </c>
      <c r="Q10">
        <v>10.1</v>
      </c>
      <c r="R10">
        <v>27</v>
      </c>
      <c r="S10" t="s">
        <v>27</v>
      </c>
    </row>
    <row r="11" spans="1:19" x14ac:dyDescent="0.3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 t="str">
        <f t="shared" si="0"/>
        <v>15-30 days</v>
      </c>
      <c r="L11">
        <v>16</v>
      </c>
      <c r="M11">
        <v>2</v>
      </c>
      <c r="N11">
        <v>0</v>
      </c>
      <c r="O11" t="s">
        <v>25</v>
      </c>
      <c r="P11" t="s">
        <v>35</v>
      </c>
      <c r="Q11">
        <v>28</v>
      </c>
      <c r="R11">
        <v>20</v>
      </c>
      <c r="S11" t="s">
        <v>36</v>
      </c>
    </row>
    <row r="12" spans="1:19" x14ac:dyDescent="0.3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 t="str">
        <f t="shared" si="0"/>
        <v>31-60 days</v>
      </c>
      <c r="L12">
        <v>51</v>
      </c>
      <c r="M12">
        <v>6</v>
      </c>
      <c r="N12">
        <v>1</v>
      </c>
      <c r="O12" t="s">
        <v>25</v>
      </c>
      <c r="P12" t="s">
        <v>50</v>
      </c>
      <c r="Q12">
        <v>12.8</v>
      </c>
      <c r="R12">
        <v>33</v>
      </c>
      <c r="S12" t="s">
        <v>27</v>
      </c>
    </row>
    <row r="13" spans="1:19" x14ac:dyDescent="0.3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 t="str">
        <f t="shared" si="0"/>
        <v>0-7 days</v>
      </c>
      <c r="L13">
        <v>3</v>
      </c>
      <c r="M13">
        <v>6</v>
      </c>
      <c r="N13">
        <v>0</v>
      </c>
      <c r="O13" t="s">
        <v>25</v>
      </c>
      <c r="P13" t="s">
        <v>50</v>
      </c>
      <c r="Q13">
        <v>10.3</v>
      </c>
      <c r="R13">
        <v>15</v>
      </c>
      <c r="S13" t="s">
        <v>71</v>
      </c>
    </row>
    <row r="14" spans="1:19" x14ac:dyDescent="0.3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 t="str">
        <f t="shared" si="0"/>
        <v>31-60 days</v>
      </c>
      <c r="L14">
        <v>36</v>
      </c>
      <c r="M14">
        <v>2</v>
      </c>
      <c r="N14">
        <v>1</v>
      </c>
      <c r="O14" t="s">
        <v>54</v>
      </c>
      <c r="P14" t="s">
        <v>55</v>
      </c>
      <c r="Q14">
        <v>28.3</v>
      </c>
      <c r="R14">
        <v>16</v>
      </c>
      <c r="S14" t="s">
        <v>71</v>
      </c>
    </row>
    <row r="15" spans="1:19" x14ac:dyDescent="0.3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 t="str">
        <f t="shared" si="0"/>
        <v>31-60 days</v>
      </c>
      <c r="L15">
        <v>57</v>
      </c>
      <c r="M15">
        <v>1</v>
      </c>
      <c r="N15">
        <v>0</v>
      </c>
      <c r="O15" t="s">
        <v>54</v>
      </c>
      <c r="P15" t="s">
        <v>55</v>
      </c>
      <c r="Q15">
        <v>5.5</v>
      </c>
      <c r="R15">
        <v>22</v>
      </c>
      <c r="S15" t="s">
        <v>36</v>
      </c>
    </row>
    <row r="16" spans="1:19" x14ac:dyDescent="0.3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 t="str">
        <f t="shared" si="0"/>
        <v>31-60 days</v>
      </c>
      <c r="L16">
        <v>40</v>
      </c>
      <c r="M16">
        <v>3</v>
      </c>
      <c r="N16">
        <v>0</v>
      </c>
      <c r="O16" t="s">
        <v>25</v>
      </c>
      <c r="P16" t="s">
        <v>35</v>
      </c>
      <c r="Q16">
        <v>6.6</v>
      </c>
      <c r="R16">
        <v>31</v>
      </c>
      <c r="S16" t="s">
        <v>36</v>
      </c>
    </row>
    <row r="17" spans="1:19" x14ac:dyDescent="0.3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 t="str">
        <f t="shared" si="0"/>
        <v>31-60 days</v>
      </c>
      <c r="L17">
        <v>57</v>
      </c>
      <c r="M17">
        <v>2</v>
      </c>
      <c r="N17">
        <v>0</v>
      </c>
      <c r="O17" t="s">
        <v>25</v>
      </c>
      <c r="P17" t="s">
        <v>35</v>
      </c>
      <c r="Q17">
        <v>8.6999999999999993</v>
      </c>
      <c r="R17">
        <v>25</v>
      </c>
      <c r="S17" t="s">
        <v>27</v>
      </c>
    </row>
    <row r="18" spans="1:19" x14ac:dyDescent="0.3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 t="str">
        <f t="shared" si="0"/>
        <v>0-7 days</v>
      </c>
      <c r="L18">
        <v>3</v>
      </c>
      <c r="M18">
        <v>4</v>
      </c>
      <c r="N18">
        <v>3</v>
      </c>
      <c r="O18" t="s">
        <v>54</v>
      </c>
      <c r="P18" t="s">
        <v>55</v>
      </c>
      <c r="Q18">
        <v>13.8</v>
      </c>
      <c r="R18">
        <v>20</v>
      </c>
      <c r="S18" t="s">
        <v>36</v>
      </c>
    </row>
    <row r="19" spans="1:19" x14ac:dyDescent="0.3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 t="str">
        <f t="shared" si="0"/>
        <v>31-60 days</v>
      </c>
      <c r="L19">
        <v>32</v>
      </c>
      <c r="M19">
        <v>1</v>
      </c>
      <c r="N19">
        <v>0</v>
      </c>
      <c r="O19" t="s">
        <v>25</v>
      </c>
      <c r="P19" t="s">
        <v>35</v>
      </c>
      <c r="Q19">
        <v>14</v>
      </c>
      <c r="R19">
        <v>36</v>
      </c>
      <c r="S19" t="s">
        <v>36</v>
      </c>
    </row>
    <row r="20" spans="1:19" x14ac:dyDescent="0.3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 t="str">
        <f t="shared" si="0"/>
        <v>31-60 days</v>
      </c>
      <c r="L20">
        <v>47</v>
      </c>
      <c r="M20">
        <v>3</v>
      </c>
      <c r="N20">
        <v>1</v>
      </c>
      <c r="O20" t="s">
        <v>25</v>
      </c>
      <c r="P20" t="s">
        <v>26</v>
      </c>
      <c r="Q20">
        <v>5.0999999999999996</v>
      </c>
      <c r="R20">
        <v>30</v>
      </c>
      <c r="S20" t="s">
        <v>36</v>
      </c>
    </row>
    <row r="21" spans="1:19" x14ac:dyDescent="0.3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 t="str">
        <f t="shared" si="0"/>
        <v>31-60 days</v>
      </c>
      <c r="L21">
        <v>39</v>
      </c>
      <c r="M21">
        <v>4</v>
      </c>
      <c r="N21">
        <v>0</v>
      </c>
      <c r="O21" t="s">
        <v>25</v>
      </c>
      <c r="P21" t="s">
        <v>26</v>
      </c>
      <c r="Q21">
        <v>9.4</v>
      </c>
      <c r="R21">
        <v>19</v>
      </c>
      <c r="S21" t="s">
        <v>27</v>
      </c>
    </row>
    <row r="22" spans="1:19" x14ac:dyDescent="0.3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 t="str">
        <f t="shared" si="0"/>
        <v>31-60 days</v>
      </c>
      <c r="L22">
        <v>53</v>
      </c>
      <c r="M22">
        <v>1</v>
      </c>
      <c r="N22">
        <v>0</v>
      </c>
      <c r="O22" t="s">
        <v>25</v>
      </c>
      <c r="P22" t="s">
        <v>26</v>
      </c>
      <c r="Q22">
        <v>19.899999999999999</v>
      </c>
      <c r="R22">
        <v>13</v>
      </c>
      <c r="S22" t="s">
        <v>36</v>
      </c>
    </row>
    <row r="23" spans="1:19" x14ac:dyDescent="0.3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 t="str">
        <f t="shared" si="0"/>
        <v>15-30 days</v>
      </c>
      <c r="L23">
        <v>28</v>
      </c>
      <c r="M23">
        <v>0</v>
      </c>
      <c r="N23">
        <v>0</v>
      </c>
      <c r="O23" t="s">
        <v>54</v>
      </c>
      <c r="P23" t="s">
        <v>55</v>
      </c>
      <c r="Q23">
        <v>2.9</v>
      </c>
      <c r="R23">
        <v>22</v>
      </c>
      <c r="S23" t="s">
        <v>36</v>
      </c>
    </row>
    <row r="24" spans="1:19" x14ac:dyDescent="0.3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 t="str">
        <f t="shared" si="0"/>
        <v>31-60 days</v>
      </c>
      <c r="L24">
        <v>41</v>
      </c>
      <c r="M24">
        <v>2</v>
      </c>
      <c r="N24">
        <v>0</v>
      </c>
      <c r="O24" t="s">
        <v>54</v>
      </c>
      <c r="P24" t="s">
        <v>55</v>
      </c>
      <c r="Q24">
        <v>19.7</v>
      </c>
      <c r="R24">
        <v>17</v>
      </c>
      <c r="S24" t="s">
        <v>27</v>
      </c>
    </row>
    <row r="25" spans="1:19" x14ac:dyDescent="0.3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 t="str">
        <f t="shared" si="0"/>
        <v>15-30 days</v>
      </c>
      <c r="L25">
        <v>25</v>
      </c>
      <c r="M25">
        <v>0</v>
      </c>
      <c r="N25">
        <v>0</v>
      </c>
      <c r="O25" t="s">
        <v>54</v>
      </c>
      <c r="P25" t="s">
        <v>55</v>
      </c>
      <c r="Q25">
        <v>11.2</v>
      </c>
      <c r="R25">
        <v>16</v>
      </c>
      <c r="S25" t="s">
        <v>36</v>
      </c>
    </row>
    <row r="26" spans="1:19" x14ac:dyDescent="0.3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 t="str">
        <f t="shared" si="0"/>
        <v>31-60 days</v>
      </c>
      <c r="L26">
        <v>53</v>
      </c>
      <c r="M26">
        <v>6</v>
      </c>
      <c r="N26">
        <v>1</v>
      </c>
      <c r="O26" t="s">
        <v>54</v>
      </c>
      <c r="P26" t="s">
        <v>55</v>
      </c>
      <c r="Q26">
        <v>11.1</v>
      </c>
      <c r="R26">
        <v>32</v>
      </c>
      <c r="S26" t="s">
        <v>36</v>
      </c>
    </row>
    <row r="27" spans="1:19" x14ac:dyDescent="0.3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 t="str">
        <f t="shared" si="0"/>
        <v>0-7 days</v>
      </c>
      <c r="L27">
        <v>7</v>
      </c>
      <c r="M27">
        <v>2</v>
      </c>
      <c r="N27">
        <v>0</v>
      </c>
      <c r="O27" t="s">
        <v>54</v>
      </c>
      <c r="P27" t="s">
        <v>55</v>
      </c>
      <c r="Q27">
        <v>5.7</v>
      </c>
      <c r="R27">
        <v>36</v>
      </c>
      <c r="S27" t="s">
        <v>27</v>
      </c>
    </row>
    <row r="28" spans="1:19" x14ac:dyDescent="0.3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 t="str">
        <f t="shared" si="0"/>
        <v>15-30 days</v>
      </c>
      <c r="L28">
        <v>15</v>
      </c>
      <c r="M28">
        <v>4</v>
      </c>
      <c r="N28">
        <v>0</v>
      </c>
      <c r="O28" t="s">
        <v>25</v>
      </c>
      <c r="P28" t="s">
        <v>35</v>
      </c>
      <c r="Q28">
        <v>13.3</v>
      </c>
      <c r="R28">
        <v>23</v>
      </c>
      <c r="S28" t="s">
        <v>36</v>
      </c>
    </row>
    <row r="29" spans="1:19" x14ac:dyDescent="0.3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 t="str">
        <f t="shared" si="0"/>
        <v>0-7 days</v>
      </c>
      <c r="L29">
        <v>5</v>
      </c>
      <c r="M29">
        <v>5</v>
      </c>
      <c r="N29">
        <v>0</v>
      </c>
      <c r="O29" t="s">
        <v>25</v>
      </c>
      <c r="P29" t="s">
        <v>26</v>
      </c>
      <c r="Q29">
        <v>5.3</v>
      </c>
      <c r="R29">
        <v>24</v>
      </c>
      <c r="S29" t="s">
        <v>36</v>
      </c>
    </row>
    <row r="30" spans="1:19" x14ac:dyDescent="0.3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 t="str">
        <f t="shared" si="0"/>
        <v>31-60 days</v>
      </c>
      <c r="L30">
        <v>42</v>
      </c>
      <c r="M30">
        <v>0</v>
      </c>
      <c r="N30">
        <v>0</v>
      </c>
      <c r="O30" t="s">
        <v>25</v>
      </c>
      <c r="P30" t="s">
        <v>26</v>
      </c>
      <c r="Q30">
        <v>4.0999999999999996</v>
      </c>
      <c r="R30">
        <v>16</v>
      </c>
      <c r="S30" t="s">
        <v>71</v>
      </c>
    </row>
    <row r="31" spans="1:19" x14ac:dyDescent="0.3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 t="str">
        <f t="shared" si="0"/>
        <v>8-14 days</v>
      </c>
      <c r="L31">
        <v>14</v>
      </c>
      <c r="M31">
        <v>2</v>
      </c>
      <c r="N31">
        <v>1</v>
      </c>
      <c r="O31" t="s">
        <v>54</v>
      </c>
      <c r="P31" t="s">
        <v>55</v>
      </c>
      <c r="Q31">
        <v>5</v>
      </c>
      <c r="R31">
        <v>12</v>
      </c>
      <c r="S31" t="s">
        <v>27</v>
      </c>
    </row>
    <row r="32" spans="1:19" x14ac:dyDescent="0.3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 t="str">
        <f t="shared" si="0"/>
        <v>15-30 days</v>
      </c>
      <c r="L32">
        <v>19</v>
      </c>
      <c r="M32">
        <v>1</v>
      </c>
      <c r="N32">
        <v>0</v>
      </c>
      <c r="O32" t="s">
        <v>25</v>
      </c>
      <c r="P32" t="s">
        <v>35</v>
      </c>
      <c r="Q32">
        <v>8.9</v>
      </c>
      <c r="R32">
        <v>33</v>
      </c>
      <c r="S32" t="s">
        <v>36</v>
      </c>
    </row>
    <row r="33" spans="1:19" x14ac:dyDescent="0.3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 t="str">
        <f t="shared" si="0"/>
        <v>31-60 days</v>
      </c>
      <c r="L33">
        <v>51</v>
      </c>
      <c r="M33">
        <v>1</v>
      </c>
      <c r="N33">
        <v>0</v>
      </c>
      <c r="O33" t="s">
        <v>25</v>
      </c>
      <c r="P33" t="s">
        <v>35</v>
      </c>
      <c r="Q33">
        <v>9.3000000000000007</v>
      </c>
      <c r="R33">
        <v>10</v>
      </c>
      <c r="S33" t="s">
        <v>71</v>
      </c>
    </row>
    <row r="34" spans="1:19" x14ac:dyDescent="0.3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 t="str">
        <f t="shared" si="0"/>
        <v>15-30 days</v>
      </c>
      <c r="L34">
        <v>21</v>
      </c>
      <c r="M34">
        <v>3</v>
      </c>
      <c r="N34">
        <v>1</v>
      </c>
      <c r="O34" t="s">
        <v>25</v>
      </c>
      <c r="P34" t="s">
        <v>35</v>
      </c>
      <c r="Q34">
        <v>11.5</v>
      </c>
      <c r="R34">
        <v>17</v>
      </c>
      <c r="S34" t="s">
        <v>36</v>
      </c>
    </row>
    <row r="35" spans="1:19" x14ac:dyDescent="0.3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 t="str">
        <f t="shared" si="0"/>
        <v>8-14 days</v>
      </c>
      <c r="L35">
        <v>8</v>
      </c>
      <c r="M35">
        <v>3</v>
      </c>
      <c r="N35">
        <v>0</v>
      </c>
      <c r="O35" t="s">
        <v>25</v>
      </c>
      <c r="P35" t="s">
        <v>50</v>
      </c>
      <c r="Q35">
        <v>8.1999999999999993</v>
      </c>
      <c r="R35">
        <v>17</v>
      </c>
      <c r="S35" t="s">
        <v>27</v>
      </c>
    </row>
    <row r="36" spans="1:19" x14ac:dyDescent="0.3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 t="str">
        <f t="shared" si="0"/>
        <v>0-7 days</v>
      </c>
      <c r="L36">
        <v>1</v>
      </c>
      <c r="M36">
        <v>2</v>
      </c>
      <c r="N36">
        <v>0</v>
      </c>
      <c r="O36" t="s">
        <v>25</v>
      </c>
      <c r="P36" t="s">
        <v>35</v>
      </c>
      <c r="Q36">
        <v>7.5</v>
      </c>
      <c r="R36">
        <v>29</v>
      </c>
      <c r="S36" t="s">
        <v>36</v>
      </c>
    </row>
    <row r="37" spans="1:19" x14ac:dyDescent="0.3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 t="str">
        <f t="shared" si="0"/>
        <v>8-14 days</v>
      </c>
      <c r="L37">
        <v>13</v>
      </c>
      <c r="M37">
        <v>4</v>
      </c>
      <c r="N37">
        <v>1</v>
      </c>
      <c r="O37" t="s">
        <v>25</v>
      </c>
      <c r="P37" t="s">
        <v>35</v>
      </c>
      <c r="Q37">
        <v>1.5</v>
      </c>
      <c r="R37">
        <v>22</v>
      </c>
      <c r="S37" t="s">
        <v>36</v>
      </c>
    </row>
    <row r="38" spans="1:19" x14ac:dyDescent="0.3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 t="str">
        <f t="shared" si="0"/>
        <v>31-60 days</v>
      </c>
      <c r="L38">
        <v>55</v>
      </c>
      <c r="M38">
        <v>5</v>
      </c>
      <c r="N38">
        <v>2</v>
      </c>
      <c r="O38" t="s">
        <v>25</v>
      </c>
      <c r="P38" t="s">
        <v>35</v>
      </c>
      <c r="Q38">
        <v>22.6</v>
      </c>
      <c r="R38">
        <v>18</v>
      </c>
      <c r="S38" t="s">
        <v>27</v>
      </c>
    </row>
    <row r="39" spans="1:19" x14ac:dyDescent="0.3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 t="str">
        <f t="shared" si="0"/>
        <v>31-60 days</v>
      </c>
      <c r="L39">
        <v>33</v>
      </c>
      <c r="M39">
        <v>1</v>
      </c>
      <c r="N39">
        <v>1</v>
      </c>
      <c r="O39" t="s">
        <v>25</v>
      </c>
      <c r="P39" t="s">
        <v>35</v>
      </c>
      <c r="Q39">
        <v>7.1</v>
      </c>
      <c r="R39">
        <v>39</v>
      </c>
      <c r="S39" t="s">
        <v>71</v>
      </c>
    </row>
    <row r="40" spans="1:19" x14ac:dyDescent="0.3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 t="str">
        <f t="shared" si="0"/>
        <v>31-60 days</v>
      </c>
      <c r="L40">
        <v>60</v>
      </c>
      <c r="M40">
        <v>6</v>
      </c>
      <c r="N40">
        <v>1</v>
      </c>
      <c r="O40" t="s">
        <v>25</v>
      </c>
      <c r="P40" t="s">
        <v>35</v>
      </c>
      <c r="R40">
        <v>42</v>
      </c>
      <c r="S40" t="s">
        <v>71</v>
      </c>
    </row>
    <row r="41" spans="1:19" x14ac:dyDescent="0.3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 t="str">
        <f t="shared" si="0"/>
        <v>8-14 days</v>
      </c>
      <c r="L41">
        <v>13</v>
      </c>
      <c r="M41">
        <v>5</v>
      </c>
      <c r="N41">
        <v>0</v>
      </c>
      <c r="O41" t="s">
        <v>25</v>
      </c>
      <c r="P41" t="s">
        <v>35</v>
      </c>
      <c r="Q41">
        <v>25.6</v>
      </c>
      <c r="R41">
        <v>28</v>
      </c>
      <c r="S41" t="s">
        <v>36</v>
      </c>
    </row>
    <row r="42" spans="1:19" x14ac:dyDescent="0.3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 t="str">
        <f t="shared" si="0"/>
        <v>15-30 days</v>
      </c>
      <c r="L42">
        <v>21</v>
      </c>
      <c r="M42">
        <v>1</v>
      </c>
      <c r="N42">
        <v>0</v>
      </c>
      <c r="O42" t="s">
        <v>25</v>
      </c>
      <c r="P42" t="s">
        <v>35</v>
      </c>
      <c r="Q42">
        <v>15.4</v>
      </c>
      <c r="R42">
        <v>26</v>
      </c>
      <c r="S42" t="s">
        <v>36</v>
      </c>
    </row>
    <row r="43" spans="1:19" x14ac:dyDescent="0.3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 t="str">
        <f t="shared" si="0"/>
        <v>8-14 days</v>
      </c>
      <c r="L43">
        <v>9</v>
      </c>
      <c r="M43">
        <v>5</v>
      </c>
      <c r="N43">
        <v>0</v>
      </c>
      <c r="O43" t="s">
        <v>54</v>
      </c>
      <c r="P43" t="s">
        <v>55</v>
      </c>
      <c r="Q43">
        <v>1.4</v>
      </c>
      <c r="R43">
        <v>18</v>
      </c>
      <c r="S43" t="s">
        <v>36</v>
      </c>
    </row>
    <row r="44" spans="1:19" x14ac:dyDescent="0.3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 t="str">
        <f t="shared" si="0"/>
        <v>15-30 days</v>
      </c>
      <c r="L44">
        <v>24</v>
      </c>
      <c r="M44">
        <v>2</v>
      </c>
      <c r="N44">
        <v>1</v>
      </c>
      <c r="O44" t="s">
        <v>54</v>
      </c>
      <c r="P44" t="s">
        <v>55</v>
      </c>
      <c r="Q44">
        <v>3.6</v>
      </c>
      <c r="R44">
        <v>24</v>
      </c>
      <c r="S44" t="s">
        <v>36</v>
      </c>
    </row>
    <row r="45" spans="1:19" x14ac:dyDescent="0.3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 t="str">
        <f t="shared" si="0"/>
        <v>31-60 days</v>
      </c>
      <c r="L45">
        <v>34</v>
      </c>
      <c r="M45">
        <v>2</v>
      </c>
      <c r="N45">
        <v>0</v>
      </c>
      <c r="O45" t="s">
        <v>25</v>
      </c>
      <c r="P45" t="s">
        <v>35</v>
      </c>
      <c r="Q45">
        <v>2.6</v>
      </c>
      <c r="R45">
        <v>11</v>
      </c>
      <c r="S45" t="s">
        <v>27</v>
      </c>
    </row>
    <row r="46" spans="1:19" x14ac:dyDescent="0.3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 t="str">
        <f t="shared" si="0"/>
        <v>31-60 days</v>
      </c>
      <c r="L46">
        <v>49</v>
      </c>
      <c r="M46">
        <v>4</v>
      </c>
      <c r="N46">
        <v>0</v>
      </c>
      <c r="O46" t="s">
        <v>25</v>
      </c>
      <c r="P46" t="s">
        <v>26</v>
      </c>
      <c r="Q46">
        <v>12.8</v>
      </c>
      <c r="R46">
        <v>35</v>
      </c>
      <c r="S46" t="s">
        <v>36</v>
      </c>
    </row>
    <row r="47" spans="1:19" x14ac:dyDescent="0.3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 t="str">
        <f t="shared" si="0"/>
        <v>15-30 days</v>
      </c>
      <c r="L47">
        <v>22</v>
      </c>
      <c r="M47">
        <v>2</v>
      </c>
      <c r="N47">
        <v>0</v>
      </c>
      <c r="O47" t="s">
        <v>25</v>
      </c>
      <c r="P47" t="s">
        <v>26</v>
      </c>
      <c r="Q47">
        <v>6</v>
      </c>
      <c r="R47">
        <v>23</v>
      </c>
      <c r="S47" t="s">
        <v>36</v>
      </c>
    </row>
    <row r="48" spans="1:19" x14ac:dyDescent="0.3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 t="str">
        <f t="shared" si="0"/>
        <v>31-60 days</v>
      </c>
      <c r="L48">
        <v>47</v>
      </c>
      <c r="M48">
        <v>4</v>
      </c>
      <c r="N48">
        <v>2</v>
      </c>
      <c r="O48" t="s">
        <v>54</v>
      </c>
      <c r="P48" t="s">
        <v>55</v>
      </c>
      <c r="Q48">
        <v>2.4</v>
      </c>
      <c r="R48">
        <v>16</v>
      </c>
      <c r="S48" t="s">
        <v>36</v>
      </c>
    </row>
    <row r="49" spans="1:19" x14ac:dyDescent="0.3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 t="str">
        <f t="shared" si="0"/>
        <v>31-60 days</v>
      </c>
      <c r="L49">
        <v>38</v>
      </c>
      <c r="M49">
        <v>3</v>
      </c>
      <c r="N49">
        <v>0</v>
      </c>
      <c r="O49" t="s">
        <v>25</v>
      </c>
      <c r="P49" t="s">
        <v>26</v>
      </c>
      <c r="Q49">
        <v>2.6</v>
      </c>
      <c r="R49">
        <v>20</v>
      </c>
      <c r="S49" t="s">
        <v>36</v>
      </c>
    </row>
    <row r="50" spans="1:19" x14ac:dyDescent="0.3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 t="str">
        <f t="shared" si="0"/>
        <v>15-30 days</v>
      </c>
      <c r="L50">
        <v>17</v>
      </c>
      <c r="M50">
        <v>3</v>
      </c>
      <c r="N50">
        <v>0</v>
      </c>
      <c r="O50" t="s">
        <v>25</v>
      </c>
      <c r="P50" t="s">
        <v>35</v>
      </c>
      <c r="Q50">
        <v>4.8</v>
      </c>
      <c r="R50">
        <v>32</v>
      </c>
      <c r="S50" t="s">
        <v>36</v>
      </c>
    </row>
    <row r="51" spans="1:19" x14ac:dyDescent="0.3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 t="str">
        <f t="shared" si="0"/>
        <v>31-60 days</v>
      </c>
      <c r="L51">
        <v>55</v>
      </c>
      <c r="M51">
        <v>3</v>
      </c>
      <c r="N51">
        <v>0</v>
      </c>
      <c r="O51" t="s">
        <v>25</v>
      </c>
      <c r="P51" t="s">
        <v>50</v>
      </c>
      <c r="Q51">
        <v>2.6</v>
      </c>
      <c r="R51">
        <v>21</v>
      </c>
      <c r="S51" t="s">
        <v>27</v>
      </c>
    </row>
    <row r="52" spans="1:19" x14ac:dyDescent="0.3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 t="str">
        <f t="shared" si="0"/>
        <v>15-30 days</v>
      </c>
      <c r="L52">
        <v>26</v>
      </c>
      <c r="M52">
        <v>4</v>
      </c>
      <c r="N52">
        <v>0</v>
      </c>
      <c r="O52" t="s">
        <v>54</v>
      </c>
      <c r="P52" t="s">
        <v>55</v>
      </c>
      <c r="Q52">
        <v>8.3000000000000007</v>
      </c>
      <c r="R52">
        <v>15</v>
      </c>
      <c r="S52" t="s">
        <v>27</v>
      </c>
    </row>
    <row r="53" spans="1:19" x14ac:dyDescent="0.3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 t="str">
        <f t="shared" si="0"/>
        <v>8-14 days</v>
      </c>
      <c r="L53">
        <v>9</v>
      </c>
      <c r="M53">
        <v>1</v>
      </c>
      <c r="N53">
        <v>0</v>
      </c>
      <c r="O53" t="s">
        <v>25</v>
      </c>
      <c r="P53" t="s">
        <v>35</v>
      </c>
      <c r="Q53">
        <v>8.8000000000000007</v>
      </c>
      <c r="R53">
        <v>2</v>
      </c>
      <c r="S53" t="s">
        <v>36</v>
      </c>
    </row>
    <row r="54" spans="1:19" x14ac:dyDescent="0.3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 t="str">
        <f t="shared" si="0"/>
        <v>31-60 days</v>
      </c>
      <c r="L54">
        <v>58</v>
      </c>
      <c r="M54">
        <v>3</v>
      </c>
      <c r="N54">
        <v>2</v>
      </c>
      <c r="O54" t="s">
        <v>25</v>
      </c>
      <c r="P54" t="s">
        <v>35</v>
      </c>
      <c r="Q54">
        <v>7.5</v>
      </c>
      <c r="R54">
        <v>23</v>
      </c>
      <c r="S54" t="s">
        <v>27</v>
      </c>
    </row>
    <row r="55" spans="1:19" x14ac:dyDescent="0.3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 t="str">
        <f t="shared" si="0"/>
        <v>31-60 days</v>
      </c>
      <c r="L55">
        <v>55</v>
      </c>
      <c r="M55">
        <v>4</v>
      </c>
      <c r="N55">
        <v>1</v>
      </c>
      <c r="O55" t="s">
        <v>25</v>
      </c>
      <c r="P55" t="s">
        <v>50</v>
      </c>
      <c r="Q55">
        <v>2.5</v>
      </c>
      <c r="R55">
        <v>28</v>
      </c>
      <c r="S55" t="s">
        <v>36</v>
      </c>
    </row>
    <row r="56" spans="1:19" x14ac:dyDescent="0.3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 t="str">
        <f t="shared" si="0"/>
        <v>0-7 days</v>
      </c>
      <c r="L56">
        <v>3</v>
      </c>
      <c r="M56">
        <v>2</v>
      </c>
      <c r="N56">
        <v>0</v>
      </c>
      <c r="O56" t="s">
        <v>54</v>
      </c>
      <c r="P56" t="s">
        <v>55</v>
      </c>
      <c r="Q56">
        <v>11.3</v>
      </c>
      <c r="S56" t="s">
        <v>36</v>
      </c>
    </row>
    <row r="57" spans="1:19" x14ac:dyDescent="0.3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 t="str">
        <f t="shared" si="0"/>
        <v>31-60 days</v>
      </c>
      <c r="L57">
        <v>55</v>
      </c>
      <c r="M57">
        <v>4</v>
      </c>
      <c r="N57">
        <v>1</v>
      </c>
      <c r="O57" t="s">
        <v>25</v>
      </c>
      <c r="P57" t="s">
        <v>26</v>
      </c>
      <c r="Q57">
        <v>4.7</v>
      </c>
      <c r="R57">
        <v>15</v>
      </c>
      <c r="S57" t="s">
        <v>27</v>
      </c>
    </row>
    <row r="58" spans="1:19" x14ac:dyDescent="0.3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 t="str">
        <f t="shared" si="0"/>
        <v>31-60 days</v>
      </c>
      <c r="L58">
        <v>57</v>
      </c>
      <c r="M58">
        <v>3</v>
      </c>
      <c r="N58">
        <v>0</v>
      </c>
      <c r="O58" t="s">
        <v>25</v>
      </c>
      <c r="P58" t="s">
        <v>35</v>
      </c>
      <c r="Q58">
        <v>11.7</v>
      </c>
      <c r="R58">
        <v>12</v>
      </c>
      <c r="S58" t="s">
        <v>27</v>
      </c>
    </row>
    <row r="59" spans="1:19" x14ac:dyDescent="0.3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 t="str">
        <f t="shared" si="0"/>
        <v>31-60 days</v>
      </c>
      <c r="L59">
        <v>50</v>
      </c>
      <c r="M59">
        <v>2</v>
      </c>
      <c r="N59">
        <v>1</v>
      </c>
      <c r="O59" t="s">
        <v>25</v>
      </c>
      <c r="P59" t="s">
        <v>35</v>
      </c>
      <c r="Q59">
        <v>12.9</v>
      </c>
      <c r="R59">
        <v>20</v>
      </c>
      <c r="S59" t="s">
        <v>27</v>
      </c>
    </row>
    <row r="60" spans="1:19" x14ac:dyDescent="0.3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 t="str">
        <f t="shared" si="0"/>
        <v>15-30 days</v>
      </c>
      <c r="L60">
        <v>15</v>
      </c>
      <c r="M60">
        <v>4</v>
      </c>
      <c r="N60">
        <v>0</v>
      </c>
      <c r="O60" t="s">
        <v>25</v>
      </c>
      <c r="P60" t="s">
        <v>50</v>
      </c>
      <c r="Q60">
        <v>8.3000000000000007</v>
      </c>
      <c r="R60">
        <v>12</v>
      </c>
      <c r="S60" t="s">
        <v>71</v>
      </c>
    </row>
    <row r="61" spans="1:19" x14ac:dyDescent="0.3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 t="str">
        <f t="shared" si="0"/>
        <v>31-60 days</v>
      </c>
      <c r="L61">
        <v>38</v>
      </c>
      <c r="M61">
        <v>0</v>
      </c>
      <c r="N61">
        <v>0</v>
      </c>
      <c r="O61" t="s">
        <v>25</v>
      </c>
      <c r="P61" t="s">
        <v>35</v>
      </c>
      <c r="Q61">
        <v>11.9</v>
      </c>
      <c r="R61">
        <v>12</v>
      </c>
      <c r="S61" t="s">
        <v>27</v>
      </c>
    </row>
    <row r="62" spans="1:19" x14ac:dyDescent="0.3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 t="str">
        <f t="shared" si="0"/>
        <v>31-60 days</v>
      </c>
      <c r="L62">
        <v>32</v>
      </c>
      <c r="M62">
        <v>4</v>
      </c>
      <c r="N62">
        <v>1</v>
      </c>
      <c r="O62" t="s">
        <v>25</v>
      </c>
      <c r="P62" t="s">
        <v>35</v>
      </c>
      <c r="Q62">
        <v>5.0999999999999996</v>
      </c>
      <c r="R62">
        <v>19</v>
      </c>
      <c r="S62" t="s">
        <v>36</v>
      </c>
    </row>
    <row r="63" spans="1:19" x14ac:dyDescent="0.3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 t="str">
        <f t="shared" si="0"/>
        <v>31-60 days</v>
      </c>
      <c r="L63">
        <v>37</v>
      </c>
      <c r="M63">
        <v>4</v>
      </c>
      <c r="N63">
        <v>0</v>
      </c>
      <c r="O63" t="s">
        <v>25</v>
      </c>
      <c r="P63" t="s">
        <v>35</v>
      </c>
      <c r="Q63">
        <v>4</v>
      </c>
      <c r="R63">
        <v>45</v>
      </c>
      <c r="S63" t="s">
        <v>36</v>
      </c>
    </row>
    <row r="64" spans="1:19" x14ac:dyDescent="0.3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 t="str">
        <f t="shared" si="0"/>
        <v>31-60 days</v>
      </c>
      <c r="L64">
        <v>37</v>
      </c>
      <c r="M64">
        <v>3</v>
      </c>
      <c r="N64">
        <v>0</v>
      </c>
      <c r="O64" t="s">
        <v>54</v>
      </c>
      <c r="P64" t="s">
        <v>55</v>
      </c>
      <c r="Q64">
        <v>4.9000000000000004</v>
      </c>
      <c r="R64">
        <v>50</v>
      </c>
      <c r="S64" t="s">
        <v>27</v>
      </c>
    </row>
    <row r="65" spans="1:19" x14ac:dyDescent="0.3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 t="str">
        <f t="shared" si="0"/>
        <v>31-60 days</v>
      </c>
      <c r="L65">
        <v>38</v>
      </c>
      <c r="M65">
        <v>3</v>
      </c>
      <c r="N65">
        <v>1</v>
      </c>
      <c r="O65" t="s">
        <v>25</v>
      </c>
      <c r="P65" t="s">
        <v>35</v>
      </c>
      <c r="Q65">
        <v>11.6</v>
      </c>
      <c r="R65">
        <v>37</v>
      </c>
      <c r="S65" t="s">
        <v>36</v>
      </c>
    </row>
    <row r="66" spans="1:19" x14ac:dyDescent="0.3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 t="str">
        <f t="shared" si="0"/>
        <v>31-60 days</v>
      </c>
      <c r="L66">
        <v>31</v>
      </c>
      <c r="M66">
        <v>7</v>
      </c>
      <c r="N66">
        <v>3</v>
      </c>
      <c r="O66" t="s">
        <v>25</v>
      </c>
      <c r="P66" t="s">
        <v>26</v>
      </c>
      <c r="Q66">
        <v>2.9</v>
      </c>
      <c r="R66">
        <v>31</v>
      </c>
      <c r="S66" t="s">
        <v>27</v>
      </c>
    </row>
    <row r="67" spans="1:19" x14ac:dyDescent="0.3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 t="str">
        <f t="shared" ref="K67:K130" si="1">IF(L67&lt;=7,"0-7 days",IF(L67&lt;=14,"8-14 days",IF(L67&lt;=30,"15-30 days","31-60 days")))</f>
        <v>31-60 days</v>
      </c>
      <c r="L67">
        <v>42</v>
      </c>
      <c r="M67">
        <v>5</v>
      </c>
      <c r="N67">
        <v>0</v>
      </c>
      <c r="O67" t="s">
        <v>54</v>
      </c>
      <c r="P67" t="s">
        <v>55</v>
      </c>
      <c r="Q67">
        <v>7.4</v>
      </c>
      <c r="R67">
        <v>3</v>
      </c>
      <c r="S67" t="s">
        <v>36</v>
      </c>
    </row>
    <row r="68" spans="1:19" x14ac:dyDescent="0.3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 t="str">
        <f t="shared" si="1"/>
        <v>31-60 days</v>
      </c>
      <c r="L68">
        <v>32</v>
      </c>
      <c r="M68">
        <v>1</v>
      </c>
      <c r="N68">
        <v>0</v>
      </c>
      <c r="O68" t="s">
        <v>25</v>
      </c>
      <c r="P68" t="s">
        <v>35</v>
      </c>
      <c r="Q68">
        <v>5.3</v>
      </c>
      <c r="R68">
        <v>53</v>
      </c>
      <c r="S68" t="s">
        <v>27</v>
      </c>
    </row>
    <row r="69" spans="1:19" x14ac:dyDescent="0.3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 t="str">
        <f t="shared" si="1"/>
        <v>0-7 days</v>
      </c>
      <c r="L69">
        <v>1</v>
      </c>
      <c r="M69">
        <v>0</v>
      </c>
      <c r="N69">
        <v>0</v>
      </c>
      <c r="O69" t="s">
        <v>25</v>
      </c>
      <c r="P69" t="s">
        <v>50</v>
      </c>
      <c r="Q69">
        <v>8.6999999999999993</v>
      </c>
      <c r="R69">
        <v>28</v>
      </c>
      <c r="S69" t="s">
        <v>36</v>
      </c>
    </row>
    <row r="70" spans="1:19" x14ac:dyDescent="0.3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 t="str">
        <f t="shared" si="1"/>
        <v>0-7 days</v>
      </c>
      <c r="L70">
        <v>2</v>
      </c>
      <c r="M70">
        <v>4</v>
      </c>
      <c r="N70">
        <v>1</v>
      </c>
      <c r="O70" t="s">
        <v>25</v>
      </c>
      <c r="P70" t="s">
        <v>35</v>
      </c>
      <c r="Q70">
        <v>2.9</v>
      </c>
      <c r="R70">
        <v>12</v>
      </c>
      <c r="S70" t="s">
        <v>36</v>
      </c>
    </row>
    <row r="71" spans="1:19" x14ac:dyDescent="0.3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 t="str">
        <f t="shared" si="1"/>
        <v>31-60 days</v>
      </c>
      <c r="L71">
        <v>58</v>
      </c>
      <c r="M71">
        <v>2</v>
      </c>
      <c r="N71">
        <v>0</v>
      </c>
      <c r="O71" t="s">
        <v>25</v>
      </c>
      <c r="P71" t="s">
        <v>26</v>
      </c>
      <c r="Q71">
        <v>8</v>
      </c>
      <c r="R71">
        <v>54</v>
      </c>
      <c r="S71" t="s">
        <v>27</v>
      </c>
    </row>
    <row r="72" spans="1:19" x14ac:dyDescent="0.3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 t="str">
        <f t="shared" si="1"/>
        <v>31-60 days</v>
      </c>
      <c r="L72">
        <v>55</v>
      </c>
      <c r="M72">
        <v>1</v>
      </c>
      <c r="N72">
        <v>1</v>
      </c>
      <c r="O72" t="s">
        <v>25</v>
      </c>
      <c r="P72" t="s">
        <v>26</v>
      </c>
      <c r="Q72">
        <v>4.8</v>
      </c>
      <c r="R72">
        <v>23</v>
      </c>
      <c r="S72" t="s">
        <v>27</v>
      </c>
    </row>
    <row r="73" spans="1:19" x14ac:dyDescent="0.3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 t="str">
        <f t="shared" si="1"/>
        <v>31-60 days</v>
      </c>
      <c r="L73">
        <v>35</v>
      </c>
      <c r="M73">
        <v>3</v>
      </c>
      <c r="N73">
        <v>1</v>
      </c>
      <c r="O73" t="s">
        <v>25</v>
      </c>
      <c r="P73" t="s">
        <v>35</v>
      </c>
      <c r="Q73">
        <v>11.3</v>
      </c>
      <c r="R73">
        <v>33</v>
      </c>
      <c r="S73" t="s">
        <v>27</v>
      </c>
    </row>
    <row r="74" spans="1:19" x14ac:dyDescent="0.3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 t="str">
        <f t="shared" si="1"/>
        <v>8-14 days</v>
      </c>
      <c r="L74">
        <v>10</v>
      </c>
      <c r="M74">
        <v>4</v>
      </c>
      <c r="N74">
        <v>0</v>
      </c>
      <c r="O74" t="s">
        <v>25</v>
      </c>
      <c r="P74" t="s">
        <v>26</v>
      </c>
      <c r="Q74">
        <v>25.1</v>
      </c>
      <c r="R74">
        <v>21</v>
      </c>
      <c r="S74" t="s">
        <v>27</v>
      </c>
    </row>
    <row r="75" spans="1:19" x14ac:dyDescent="0.3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 t="str">
        <f t="shared" si="1"/>
        <v>31-60 days</v>
      </c>
      <c r="L75">
        <v>47</v>
      </c>
      <c r="M75">
        <v>2</v>
      </c>
      <c r="N75">
        <v>0</v>
      </c>
      <c r="O75" t="s">
        <v>54</v>
      </c>
      <c r="P75" t="s">
        <v>55</v>
      </c>
      <c r="Q75">
        <v>9.9</v>
      </c>
      <c r="R75">
        <v>30</v>
      </c>
      <c r="S75" t="s">
        <v>71</v>
      </c>
    </row>
    <row r="76" spans="1:19" x14ac:dyDescent="0.3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 t="str">
        <f t="shared" si="1"/>
        <v>8-14 days</v>
      </c>
      <c r="L76">
        <v>8</v>
      </c>
      <c r="M76">
        <v>4</v>
      </c>
      <c r="N76">
        <v>0</v>
      </c>
      <c r="O76" t="s">
        <v>25</v>
      </c>
      <c r="P76" t="s">
        <v>35</v>
      </c>
      <c r="Q76">
        <v>8.4</v>
      </c>
      <c r="R76">
        <v>32</v>
      </c>
      <c r="S76" t="s">
        <v>36</v>
      </c>
    </row>
    <row r="77" spans="1:19" x14ac:dyDescent="0.3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 t="str">
        <f t="shared" si="1"/>
        <v>15-30 days</v>
      </c>
      <c r="L77">
        <v>23</v>
      </c>
      <c r="M77">
        <v>3</v>
      </c>
      <c r="N77">
        <v>1</v>
      </c>
      <c r="O77" t="s">
        <v>25</v>
      </c>
      <c r="P77" t="s">
        <v>26</v>
      </c>
      <c r="Q77">
        <v>7</v>
      </c>
      <c r="R77">
        <v>33</v>
      </c>
      <c r="S77" t="s">
        <v>36</v>
      </c>
    </row>
    <row r="78" spans="1:19" x14ac:dyDescent="0.3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 t="str">
        <f t="shared" si="1"/>
        <v>15-30 days</v>
      </c>
      <c r="L78">
        <v>20</v>
      </c>
      <c r="M78">
        <v>4</v>
      </c>
      <c r="N78">
        <v>1</v>
      </c>
      <c r="O78" t="s">
        <v>25</v>
      </c>
      <c r="P78" t="s">
        <v>35</v>
      </c>
      <c r="Q78">
        <v>3.9</v>
      </c>
      <c r="R78">
        <v>38</v>
      </c>
      <c r="S78" t="s">
        <v>36</v>
      </c>
    </row>
    <row r="79" spans="1:19" x14ac:dyDescent="0.3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 t="str">
        <f t="shared" si="1"/>
        <v>0-7 days</v>
      </c>
      <c r="L79">
        <v>0</v>
      </c>
      <c r="M79">
        <v>6</v>
      </c>
      <c r="N79">
        <v>3</v>
      </c>
      <c r="O79" t="s">
        <v>54</v>
      </c>
      <c r="P79" t="s">
        <v>55</v>
      </c>
      <c r="Q79">
        <v>2.7</v>
      </c>
      <c r="R79">
        <v>26</v>
      </c>
      <c r="S79" t="s">
        <v>36</v>
      </c>
    </row>
    <row r="80" spans="1:19" x14ac:dyDescent="0.3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 t="str">
        <f t="shared" si="1"/>
        <v>31-60 days</v>
      </c>
      <c r="L80">
        <v>49</v>
      </c>
      <c r="M80">
        <v>4</v>
      </c>
      <c r="N80">
        <v>1</v>
      </c>
      <c r="O80" t="s">
        <v>25</v>
      </c>
      <c r="P80" t="s">
        <v>26</v>
      </c>
      <c r="Q80">
        <v>3.8</v>
      </c>
      <c r="R80">
        <v>26</v>
      </c>
      <c r="S80" t="s">
        <v>27</v>
      </c>
    </row>
    <row r="81" spans="1:19" x14ac:dyDescent="0.3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 t="str">
        <f t="shared" si="1"/>
        <v>31-60 days</v>
      </c>
      <c r="L81">
        <v>31</v>
      </c>
      <c r="M81">
        <v>5</v>
      </c>
      <c r="N81">
        <v>1</v>
      </c>
      <c r="O81" t="s">
        <v>54</v>
      </c>
      <c r="P81" t="s">
        <v>55</v>
      </c>
      <c r="Q81">
        <v>26.8</v>
      </c>
      <c r="R81">
        <v>23</v>
      </c>
      <c r="S81" t="s">
        <v>36</v>
      </c>
    </row>
    <row r="82" spans="1:19" x14ac:dyDescent="0.3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 t="str">
        <f t="shared" si="1"/>
        <v>15-30 days</v>
      </c>
      <c r="L82">
        <v>19</v>
      </c>
      <c r="M82">
        <v>1</v>
      </c>
      <c r="N82">
        <v>0</v>
      </c>
      <c r="O82" t="s">
        <v>25</v>
      </c>
      <c r="P82" t="s">
        <v>35</v>
      </c>
      <c r="Q82">
        <v>2.6</v>
      </c>
      <c r="R82">
        <v>13</v>
      </c>
      <c r="S82" t="s">
        <v>36</v>
      </c>
    </row>
    <row r="83" spans="1:19" x14ac:dyDescent="0.3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 t="str">
        <f t="shared" si="1"/>
        <v>15-30 days</v>
      </c>
      <c r="L83">
        <v>30</v>
      </c>
      <c r="M83">
        <v>2</v>
      </c>
      <c r="N83">
        <v>0</v>
      </c>
      <c r="O83" t="s">
        <v>25</v>
      </c>
      <c r="P83" t="s">
        <v>26</v>
      </c>
      <c r="Q83">
        <v>8.5</v>
      </c>
      <c r="R83">
        <v>14</v>
      </c>
      <c r="S83" t="s">
        <v>27</v>
      </c>
    </row>
    <row r="84" spans="1:19" x14ac:dyDescent="0.3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 t="str">
        <f t="shared" si="1"/>
        <v>0-7 days</v>
      </c>
      <c r="L84">
        <v>0</v>
      </c>
      <c r="M84">
        <v>4</v>
      </c>
      <c r="N84">
        <v>2</v>
      </c>
      <c r="O84" t="s">
        <v>54</v>
      </c>
      <c r="P84" t="s">
        <v>55</v>
      </c>
      <c r="Q84">
        <v>9</v>
      </c>
      <c r="R84">
        <v>21</v>
      </c>
      <c r="S84" t="s">
        <v>36</v>
      </c>
    </row>
    <row r="85" spans="1:19" x14ac:dyDescent="0.3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 t="str">
        <f t="shared" si="1"/>
        <v>15-30 days</v>
      </c>
      <c r="L85">
        <v>26</v>
      </c>
      <c r="M85">
        <v>0</v>
      </c>
      <c r="N85">
        <v>0</v>
      </c>
      <c r="O85" t="s">
        <v>25</v>
      </c>
      <c r="P85" t="s">
        <v>26</v>
      </c>
      <c r="Q85">
        <v>23.8</v>
      </c>
      <c r="R85">
        <v>38</v>
      </c>
      <c r="S85" t="s">
        <v>36</v>
      </c>
    </row>
    <row r="86" spans="1:19" x14ac:dyDescent="0.3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 t="str">
        <f t="shared" si="1"/>
        <v>31-60 days</v>
      </c>
      <c r="L86">
        <v>31</v>
      </c>
      <c r="M86">
        <v>5</v>
      </c>
      <c r="N86">
        <v>3</v>
      </c>
      <c r="O86" t="s">
        <v>25</v>
      </c>
      <c r="P86" t="s">
        <v>35</v>
      </c>
      <c r="Q86">
        <v>13.6</v>
      </c>
      <c r="R86">
        <v>29</v>
      </c>
      <c r="S86" t="s">
        <v>27</v>
      </c>
    </row>
    <row r="87" spans="1:19" x14ac:dyDescent="0.3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 t="str">
        <f t="shared" si="1"/>
        <v>15-30 days</v>
      </c>
      <c r="L87">
        <v>20</v>
      </c>
      <c r="M87">
        <v>6</v>
      </c>
      <c r="N87">
        <v>1</v>
      </c>
      <c r="O87" t="s">
        <v>25</v>
      </c>
      <c r="P87" t="s">
        <v>35</v>
      </c>
      <c r="Q87">
        <v>0.5</v>
      </c>
      <c r="R87">
        <v>23</v>
      </c>
      <c r="S87" t="s">
        <v>27</v>
      </c>
    </row>
    <row r="88" spans="1:19" x14ac:dyDescent="0.3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 t="str">
        <f t="shared" si="1"/>
        <v>31-60 days</v>
      </c>
      <c r="L88">
        <v>50</v>
      </c>
      <c r="M88">
        <v>3</v>
      </c>
      <c r="N88">
        <v>1</v>
      </c>
      <c r="O88" t="s">
        <v>25</v>
      </c>
      <c r="P88" t="s">
        <v>26</v>
      </c>
      <c r="Q88">
        <v>2.2999999999999998</v>
      </c>
      <c r="R88">
        <v>21</v>
      </c>
      <c r="S88" t="s">
        <v>27</v>
      </c>
    </row>
    <row r="89" spans="1:19" x14ac:dyDescent="0.3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 t="str">
        <f t="shared" si="1"/>
        <v>15-30 days</v>
      </c>
      <c r="L89">
        <v>15</v>
      </c>
      <c r="M89">
        <v>3</v>
      </c>
      <c r="N89">
        <v>1</v>
      </c>
      <c r="O89" t="s">
        <v>25</v>
      </c>
      <c r="P89" t="s">
        <v>35</v>
      </c>
      <c r="Q89">
        <v>15.7</v>
      </c>
      <c r="R89">
        <v>11</v>
      </c>
      <c r="S89" t="s">
        <v>27</v>
      </c>
    </row>
    <row r="90" spans="1:19" x14ac:dyDescent="0.3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 t="str">
        <f t="shared" si="1"/>
        <v>8-14 days</v>
      </c>
      <c r="L90">
        <v>8</v>
      </c>
      <c r="M90">
        <v>3</v>
      </c>
      <c r="N90">
        <v>0</v>
      </c>
      <c r="O90" t="s">
        <v>25</v>
      </c>
      <c r="P90" t="s">
        <v>50</v>
      </c>
      <c r="Q90">
        <v>18.899999999999999</v>
      </c>
      <c r="R90">
        <v>14</v>
      </c>
      <c r="S90" t="s">
        <v>27</v>
      </c>
    </row>
    <row r="91" spans="1:19" x14ac:dyDescent="0.3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 t="str">
        <f t="shared" si="1"/>
        <v>31-60 days</v>
      </c>
      <c r="L91">
        <v>32</v>
      </c>
      <c r="M91">
        <v>5</v>
      </c>
      <c r="N91">
        <v>1</v>
      </c>
      <c r="O91" t="s">
        <v>25</v>
      </c>
      <c r="P91" t="s">
        <v>35</v>
      </c>
      <c r="Q91">
        <v>10.3</v>
      </c>
      <c r="R91">
        <v>26</v>
      </c>
      <c r="S91" t="s">
        <v>36</v>
      </c>
    </row>
    <row r="92" spans="1:19" x14ac:dyDescent="0.3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 t="str">
        <f t="shared" si="1"/>
        <v>31-60 days</v>
      </c>
      <c r="L92">
        <v>54</v>
      </c>
      <c r="M92">
        <v>6</v>
      </c>
      <c r="N92">
        <v>3</v>
      </c>
      <c r="O92" t="s">
        <v>25</v>
      </c>
      <c r="P92" t="s">
        <v>50</v>
      </c>
      <c r="Q92">
        <v>2.2999999999999998</v>
      </c>
      <c r="R92">
        <v>24</v>
      </c>
      <c r="S92" t="s">
        <v>27</v>
      </c>
    </row>
    <row r="93" spans="1:19" x14ac:dyDescent="0.3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 t="str">
        <f t="shared" si="1"/>
        <v>15-30 days</v>
      </c>
      <c r="L93">
        <v>22</v>
      </c>
      <c r="M93">
        <v>3</v>
      </c>
      <c r="N93">
        <v>0</v>
      </c>
      <c r="O93" t="s">
        <v>25</v>
      </c>
      <c r="P93" t="s">
        <v>26</v>
      </c>
      <c r="Q93">
        <v>6.3</v>
      </c>
      <c r="R93">
        <v>33</v>
      </c>
      <c r="S93" t="s">
        <v>36</v>
      </c>
    </row>
    <row r="94" spans="1:19" x14ac:dyDescent="0.3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 t="str">
        <f t="shared" si="1"/>
        <v>0-7 days</v>
      </c>
      <c r="L94">
        <v>2</v>
      </c>
      <c r="M94">
        <v>3</v>
      </c>
      <c r="N94">
        <v>0</v>
      </c>
      <c r="O94" t="s">
        <v>25</v>
      </c>
      <c r="P94" t="s">
        <v>26</v>
      </c>
      <c r="Q94">
        <v>11.2</v>
      </c>
      <c r="R94">
        <v>22</v>
      </c>
      <c r="S94" t="s">
        <v>36</v>
      </c>
    </row>
    <row r="95" spans="1:19" x14ac:dyDescent="0.3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 t="str">
        <f t="shared" si="1"/>
        <v>31-60 days</v>
      </c>
      <c r="L95">
        <v>59</v>
      </c>
      <c r="M95">
        <v>2</v>
      </c>
      <c r="N95">
        <v>1</v>
      </c>
      <c r="O95" t="s">
        <v>54</v>
      </c>
      <c r="P95" t="s">
        <v>55</v>
      </c>
      <c r="Q95">
        <v>6.4</v>
      </c>
      <c r="R95">
        <v>30</v>
      </c>
      <c r="S95" t="s">
        <v>27</v>
      </c>
    </row>
    <row r="96" spans="1:19" x14ac:dyDescent="0.3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 t="str">
        <f t="shared" si="1"/>
        <v>15-30 days</v>
      </c>
      <c r="L96">
        <v>27</v>
      </c>
      <c r="M96">
        <v>3</v>
      </c>
      <c r="N96">
        <v>1</v>
      </c>
      <c r="O96" t="s">
        <v>54</v>
      </c>
      <c r="P96" t="s">
        <v>55</v>
      </c>
      <c r="Q96">
        <v>7.3</v>
      </c>
      <c r="R96">
        <v>7</v>
      </c>
      <c r="S96" t="s">
        <v>27</v>
      </c>
    </row>
    <row r="97" spans="1:19" x14ac:dyDescent="0.3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 t="str">
        <f t="shared" si="1"/>
        <v>8-14 days</v>
      </c>
      <c r="L97">
        <v>10</v>
      </c>
      <c r="M97">
        <v>3</v>
      </c>
      <c r="N97">
        <v>1</v>
      </c>
      <c r="O97" t="s">
        <v>54</v>
      </c>
      <c r="P97" t="s">
        <v>55</v>
      </c>
      <c r="Q97">
        <v>13.9</v>
      </c>
      <c r="R97">
        <v>14</v>
      </c>
      <c r="S97" t="s">
        <v>27</v>
      </c>
    </row>
    <row r="98" spans="1:19" x14ac:dyDescent="0.3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 t="str">
        <f t="shared" si="1"/>
        <v>31-60 days</v>
      </c>
      <c r="L98">
        <v>37</v>
      </c>
      <c r="M98">
        <v>1</v>
      </c>
      <c r="N98">
        <v>0</v>
      </c>
      <c r="O98" t="s">
        <v>25</v>
      </c>
      <c r="P98" t="s">
        <v>26</v>
      </c>
      <c r="Q98">
        <v>18.3</v>
      </c>
      <c r="R98">
        <v>27</v>
      </c>
      <c r="S98" t="s">
        <v>36</v>
      </c>
    </row>
    <row r="99" spans="1:19" x14ac:dyDescent="0.3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 t="str">
        <f t="shared" si="1"/>
        <v>15-30 days</v>
      </c>
      <c r="L99">
        <v>19</v>
      </c>
      <c r="M99">
        <v>2</v>
      </c>
      <c r="N99">
        <v>0</v>
      </c>
      <c r="O99" t="s">
        <v>25</v>
      </c>
      <c r="P99" t="s">
        <v>26</v>
      </c>
      <c r="Q99">
        <v>7.7</v>
      </c>
      <c r="R99">
        <v>24</v>
      </c>
      <c r="S99" t="s">
        <v>27</v>
      </c>
    </row>
    <row r="100" spans="1:19" x14ac:dyDescent="0.3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 t="str">
        <f t="shared" si="1"/>
        <v>31-60 days</v>
      </c>
      <c r="L100">
        <v>57</v>
      </c>
      <c r="M100">
        <v>1</v>
      </c>
      <c r="N100">
        <v>0</v>
      </c>
      <c r="O100" t="s">
        <v>25</v>
      </c>
      <c r="P100" t="s">
        <v>35</v>
      </c>
      <c r="Q100">
        <v>16.7</v>
      </c>
      <c r="R100">
        <v>32</v>
      </c>
      <c r="S100" t="s">
        <v>36</v>
      </c>
    </row>
    <row r="101" spans="1:19" x14ac:dyDescent="0.3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 t="str">
        <f t="shared" si="1"/>
        <v>15-30 days</v>
      </c>
      <c r="L101">
        <v>17</v>
      </c>
      <c r="M101">
        <v>4</v>
      </c>
      <c r="N101">
        <v>2</v>
      </c>
      <c r="O101" t="s">
        <v>25</v>
      </c>
      <c r="P101" t="s">
        <v>35</v>
      </c>
      <c r="Q101">
        <v>1.5</v>
      </c>
      <c r="R101">
        <v>37</v>
      </c>
      <c r="S101" t="s">
        <v>36</v>
      </c>
    </row>
    <row r="102" spans="1:19" x14ac:dyDescent="0.3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 t="str">
        <f t="shared" si="1"/>
        <v>31-60 days</v>
      </c>
      <c r="L102">
        <v>33</v>
      </c>
      <c r="M102">
        <v>3</v>
      </c>
      <c r="N102">
        <v>2</v>
      </c>
      <c r="O102" t="s">
        <v>54</v>
      </c>
      <c r="P102" t="s">
        <v>55</v>
      </c>
      <c r="Q102">
        <v>12.3</v>
      </c>
      <c r="R102">
        <v>37</v>
      </c>
      <c r="S102" t="s">
        <v>27</v>
      </c>
    </row>
    <row r="103" spans="1:19" x14ac:dyDescent="0.3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 t="str">
        <f t="shared" si="1"/>
        <v>31-60 days</v>
      </c>
      <c r="L103">
        <v>33</v>
      </c>
      <c r="M103">
        <v>3</v>
      </c>
      <c r="N103">
        <v>1</v>
      </c>
      <c r="O103" t="s">
        <v>25</v>
      </c>
      <c r="P103" t="s">
        <v>26</v>
      </c>
      <c r="Q103">
        <v>25.4</v>
      </c>
      <c r="R103">
        <v>41</v>
      </c>
      <c r="S103" t="s">
        <v>27</v>
      </c>
    </row>
    <row r="104" spans="1:19" x14ac:dyDescent="0.3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 t="str">
        <f t="shared" si="1"/>
        <v>8-14 days</v>
      </c>
      <c r="L104">
        <v>14</v>
      </c>
      <c r="M104">
        <v>2</v>
      </c>
      <c r="N104">
        <v>0</v>
      </c>
      <c r="O104" t="s">
        <v>25</v>
      </c>
      <c r="P104" t="s">
        <v>35</v>
      </c>
      <c r="Q104">
        <v>20.399999999999999</v>
      </c>
      <c r="R104">
        <v>44</v>
      </c>
      <c r="S104" t="s">
        <v>27</v>
      </c>
    </row>
    <row r="105" spans="1:19" x14ac:dyDescent="0.3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 t="str">
        <f t="shared" si="1"/>
        <v>15-30 days</v>
      </c>
      <c r="L105">
        <v>30</v>
      </c>
      <c r="M105">
        <v>2</v>
      </c>
      <c r="N105">
        <v>1</v>
      </c>
      <c r="O105" t="s">
        <v>25</v>
      </c>
      <c r="P105" t="s">
        <v>35</v>
      </c>
      <c r="Q105">
        <v>10.5</v>
      </c>
      <c r="R105">
        <v>20</v>
      </c>
      <c r="S105" t="s">
        <v>27</v>
      </c>
    </row>
    <row r="106" spans="1:19" x14ac:dyDescent="0.3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 t="str">
        <f t="shared" si="1"/>
        <v>0-7 days</v>
      </c>
      <c r="L106">
        <v>6</v>
      </c>
      <c r="M106">
        <v>4</v>
      </c>
      <c r="N106">
        <v>0</v>
      </c>
      <c r="O106" t="s">
        <v>54</v>
      </c>
      <c r="P106" t="s">
        <v>55</v>
      </c>
      <c r="Q106">
        <v>8.1999999999999993</v>
      </c>
      <c r="R106">
        <v>49</v>
      </c>
      <c r="S106" t="s">
        <v>36</v>
      </c>
    </row>
    <row r="107" spans="1:19" x14ac:dyDescent="0.3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 t="str">
        <f t="shared" si="1"/>
        <v>31-60 days</v>
      </c>
      <c r="L107">
        <v>39</v>
      </c>
      <c r="M107">
        <v>3</v>
      </c>
      <c r="N107">
        <v>0</v>
      </c>
      <c r="O107" t="s">
        <v>25</v>
      </c>
      <c r="P107" t="s">
        <v>26</v>
      </c>
      <c r="Q107">
        <v>5.7</v>
      </c>
      <c r="R107">
        <v>56</v>
      </c>
      <c r="S107" t="s">
        <v>36</v>
      </c>
    </row>
    <row r="108" spans="1:19" x14ac:dyDescent="0.3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 t="str">
        <f t="shared" si="1"/>
        <v>31-60 days</v>
      </c>
      <c r="L108">
        <v>46</v>
      </c>
      <c r="M108">
        <v>4</v>
      </c>
      <c r="N108">
        <v>0</v>
      </c>
      <c r="O108" t="s">
        <v>54</v>
      </c>
      <c r="P108" t="s">
        <v>55</v>
      </c>
      <c r="Q108">
        <v>7.4</v>
      </c>
      <c r="R108">
        <v>10</v>
      </c>
      <c r="S108" t="s">
        <v>27</v>
      </c>
    </row>
    <row r="109" spans="1:19" x14ac:dyDescent="0.3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 t="str">
        <f t="shared" si="1"/>
        <v>31-60 days</v>
      </c>
      <c r="L109">
        <v>57</v>
      </c>
      <c r="M109">
        <v>1</v>
      </c>
      <c r="N109">
        <v>0</v>
      </c>
      <c r="O109" t="s">
        <v>54</v>
      </c>
      <c r="P109" t="s">
        <v>55</v>
      </c>
      <c r="Q109">
        <v>14</v>
      </c>
      <c r="R109">
        <v>18</v>
      </c>
      <c r="S109" t="s">
        <v>27</v>
      </c>
    </row>
    <row r="110" spans="1:19" x14ac:dyDescent="0.3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 t="str">
        <f t="shared" si="1"/>
        <v>15-30 days</v>
      </c>
      <c r="L110">
        <v>19</v>
      </c>
      <c r="M110">
        <v>1</v>
      </c>
      <c r="N110">
        <v>0</v>
      </c>
      <c r="O110" t="s">
        <v>25</v>
      </c>
      <c r="P110" t="s">
        <v>35</v>
      </c>
      <c r="Q110">
        <v>10</v>
      </c>
      <c r="R110">
        <v>28</v>
      </c>
      <c r="S110" t="s">
        <v>27</v>
      </c>
    </row>
    <row r="111" spans="1:19" x14ac:dyDescent="0.3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 t="str">
        <f t="shared" si="1"/>
        <v>15-30 days</v>
      </c>
      <c r="L111">
        <v>17</v>
      </c>
      <c r="M111">
        <v>0</v>
      </c>
      <c r="N111">
        <v>0</v>
      </c>
      <c r="O111" t="s">
        <v>54</v>
      </c>
      <c r="P111" t="s">
        <v>55</v>
      </c>
      <c r="Q111">
        <v>11.6</v>
      </c>
      <c r="R111">
        <v>27</v>
      </c>
      <c r="S111" t="s">
        <v>36</v>
      </c>
    </row>
    <row r="112" spans="1:19" x14ac:dyDescent="0.3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 t="str">
        <f t="shared" si="1"/>
        <v>31-60 days</v>
      </c>
      <c r="L112">
        <v>33</v>
      </c>
      <c r="M112">
        <v>0</v>
      </c>
      <c r="N112">
        <v>0</v>
      </c>
      <c r="O112" t="s">
        <v>25</v>
      </c>
      <c r="P112" t="s">
        <v>50</v>
      </c>
      <c r="Q112">
        <v>15.5</v>
      </c>
      <c r="R112">
        <v>5</v>
      </c>
      <c r="S112" t="s">
        <v>27</v>
      </c>
    </row>
    <row r="113" spans="1:19" x14ac:dyDescent="0.3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 t="str">
        <f t="shared" si="1"/>
        <v>31-60 days</v>
      </c>
      <c r="L113">
        <v>42</v>
      </c>
      <c r="M113">
        <v>3</v>
      </c>
      <c r="N113">
        <v>1</v>
      </c>
      <c r="O113" t="s">
        <v>25</v>
      </c>
      <c r="P113" t="s">
        <v>26</v>
      </c>
      <c r="Q113">
        <v>1.8</v>
      </c>
      <c r="R113">
        <v>14</v>
      </c>
      <c r="S113" t="s">
        <v>36</v>
      </c>
    </row>
    <row r="114" spans="1:19" x14ac:dyDescent="0.3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 t="str">
        <f t="shared" si="1"/>
        <v>31-60 days</v>
      </c>
      <c r="L114">
        <v>60</v>
      </c>
      <c r="M114">
        <v>8</v>
      </c>
      <c r="N114">
        <v>0</v>
      </c>
      <c r="O114" t="s">
        <v>25</v>
      </c>
      <c r="P114" t="s">
        <v>26</v>
      </c>
      <c r="Q114">
        <v>8.6999999999999993</v>
      </c>
      <c r="R114">
        <v>26</v>
      </c>
      <c r="S114" t="s">
        <v>36</v>
      </c>
    </row>
    <row r="115" spans="1:19" x14ac:dyDescent="0.3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 t="str">
        <f t="shared" si="1"/>
        <v>0-7 days</v>
      </c>
      <c r="L115">
        <v>1</v>
      </c>
      <c r="M115">
        <v>3</v>
      </c>
      <c r="N115">
        <v>0</v>
      </c>
      <c r="O115" t="s">
        <v>54</v>
      </c>
      <c r="P115" t="s">
        <v>55</v>
      </c>
      <c r="Q115">
        <v>10.7</v>
      </c>
      <c r="R115">
        <v>22</v>
      </c>
      <c r="S115" t="s">
        <v>36</v>
      </c>
    </row>
    <row r="116" spans="1:19" x14ac:dyDescent="0.3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 t="str">
        <f t="shared" si="1"/>
        <v>8-14 days</v>
      </c>
      <c r="L116">
        <v>14</v>
      </c>
      <c r="M116">
        <v>2</v>
      </c>
      <c r="N116">
        <v>1</v>
      </c>
      <c r="O116" t="s">
        <v>25</v>
      </c>
      <c r="P116" t="s">
        <v>35</v>
      </c>
      <c r="Q116">
        <v>2.1</v>
      </c>
      <c r="R116">
        <v>31</v>
      </c>
      <c r="S116" t="s">
        <v>27</v>
      </c>
    </row>
    <row r="117" spans="1:19" x14ac:dyDescent="0.3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 t="str">
        <f t="shared" si="1"/>
        <v>15-30 days</v>
      </c>
      <c r="L117">
        <v>16</v>
      </c>
      <c r="M117">
        <v>2</v>
      </c>
      <c r="N117">
        <v>0</v>
      </c>
      <c r="O117" t="s">
        <v>25</v>
      </c>
      <c r="P117" t="s">
        <v>35</v>
      </c>
      <c r="Q117">
        <v>7.4</v>
      </c>
      <c r="R117">
        <v>46</v>
      </c>
      <c r="S117" t="s">
        <v>36</v>
      </c>
    </row>
    <row r="118" spans="1:19" x14ac:dyDescent="0.3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 t="str">
        <f t="shared" si="1"/>
        <v>15-30 days</v>
      </c>
      <c r="L118">
        <v>15</v>
      </c>
      <c r="M118">
        <v>3</v>
      </c>
      <c r="N118">
        <v>0</v>
      </c>
      <c r="O118" t="s">
        <v>25</v>
      </c>
      <c r="P118" t="s">
        <v>26</v>
      </c>
      <c r="Q118">
        <v>4.8</v>
      </c>
      <c r="R118">
        <v>10</v>
      </c>
      <c r="S118" t="s">
        <v>36</v>
      </c>
    </row>
    <row r="119" spans="1:19" x14ac:dyDescent="0.3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 t="str">
        <f t="shared" si="1"/>
        <v>15-30 days</v>
      </c>
      <c r="L119">
        <v>28</v>
      </c>
      <c r="M119">
        <v>1</v>
      </c>
      <c r="N119">
        <v>1</v>
      </c>
      <c r="O119" t="s">
        <v>25</v>
      </c>
      <c r="P119" t="s">
        <v>50</v>
      </c>
      <c r="Q119">
        <v>6.7</v>
      </c>
      <c r="R119">
        <v>49</v>
      </c>
      <c r="S119" t="s">
        <v>27</v>
      </c>
    </row>
    <row r="120" spans="1:19" x14ac:dyDescent="0.3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 t="str">
        <f t="shared" si="1"/>
        <v>31-60 days</v>
      </c>
      <c r="L120">
        <v>53</v>
      </c>
      <c r="M120">
        <v>2</v>
      </c>
      <c r="N120">
        <v>0</v>
      </c>
      <c r="O120" t="s">
        <v>25</v>
      </c>
      <c r="P120" t="s">
        <v>35</v>
      </c>
      <c r="Q120">
        <v>9.6</v>
      </c>
      <c r="R120">
        <v>45</v>
      </c>
      <c r="S120" t="s">
        <v>36</v>
      </c>
    </row>
    <row r="121" spans="1:19" x14ac:dyDescent="0.3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 t="str">
        <f t="shared" si="1"/>
        <v>0-7 days</v>
      </c>
      <c r="L121">
        <v>1</v>
      </c>
      <c r="M121">
        <v>3</v>
      </c>
      <c r="N121">
        <v>0</v>
      </c>
      <c r="O121" t="s">
        <v>25</v>
      </c>
      <c r="P121" t="s">
        <v>35</v>
      </c>
      <c r="Q121">
        <v>1.7</v>
      </c>
      <c r="R121">
        <v>5</v>
      </c>
      <c r="S121" t="s">
        <v>36</v>
      </c>
    </row>
    <row r="122" spans="1:19" x14ac:dyDescent="0.3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 t="str">
        <f t="shared" si="1"/>
        <v>31-60 days</v>
      </c>
      <c r="L122">
        <v>49</v>
      </c>
      <c r="M122">
        <v>1</v>
      </c>
      <c r="N122">
        <v>0</v>
      </c>
      <c r="O122" t="s">
        <v>25</v>
      </c>
      <c r="P122" t="s">
        <v>35</v>
      </c>
      <c r="Q122">
        <v>3.6</v>
      </c>
      <c r="R122">
        <v>11</v>
      </c>
      <c r="S122" t="s">
        <v>27</v>
      </c>
    </row>
    <row r="123" spans="1:19" x14ac:dyDescent="0.3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 t="str">
        <f t="shared" si="1"/>
        <v>31-60 days</v>
      </c>
      <c r="L123">
        <v>37</v>
      </c>
      <c r="M123">
        <v>6</v>
      </c>
      <c r="N123">
        <v>1</v>
      </c>
      <c r="O123" t="s">
        <v>25</v>
      </c>
      <c r="P123" t="s">
        <v>35</v>
      </c>
      <c r="Q123">
        <v>15.1</v>
      </c>
      <c r="R123">
        <v>20</v>
      </c>
      <c r="S123" t="s">
        <v>36</v>
      </c>
    </row>
    <row r="124" spans="1:19" x14ac:dyDescent="0.3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 t="str">
        <f t="shared" si="1"/>
        <v>31-60 days</v>
      </c>
      <c r="L124">
        <v>37</v>
      </c>
      <c r="M124">
        <v>2</v>
      </c>
      <c r="N124">
        <v>0</v>
      </c>
      <c r="O124" t="s">
        <v>25</v>
      </c>
      <c r="P124" t="s">
        <v>26</v>
      </c>
      <c r="Q124">
        <v>9.3000000000000007</v>
      </c>
      <c r="R124">
        <v>14</v>
      </c>
      <c r="S124" t="s">
        <v>71</v>
      </c>
    </row>
    <row r="125" spans="1:19" x14ac:dyDescent="0.3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 t="str">
        <f t="shared" si="1"/>
        <v>31-60 days</v>
      </c>
      <c r="L125">
        <v>41</v>
      </c>
      <c r="M125">
        <v>3</v>
      </c>
      <c r="N125">
        <v>1</v>
      </c>
      <c r="O125" t="s">
        <v>25</v>
      </c>
      <c r="P125" t="s">
        <v>35</v>
      </c>
      <c r="Q125">
        <v>4.0999999999999996</v>
      </c>
      <c r="R125">
        <v>30</v>
      </c>
      <c r="S125" t="s">
        <v>27</v>
      </c>
    </row>
    <row r="126" spans="1:19" x14ac:dyDescent="0.3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 t="str">
        <f t="shared" si="1"/>
        <v>0-7 days</v>
      </c>
      <c r="L126">
        <v>7</v>
      </c>
      <c r="M126">
        <v>2</v>
      </c>
      <c r="N126">
        <v>1</v>
      </c>
      <c r="O126" t="s">
        <v>25</v>
      </c>
      <c r="P126" t="s">
        <v>26</v>
      </c>
      <c r="Q126">
        <v>5.5</v>
      </c>
      <c r="R126">
        <v>31</v>
      </c>
      <c r="S126" t="s">
        <v>27</v>
      </c>
    </row>
    <row r="127" spans="1:19" x14ac:dyDescent="0.3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 t="str">
        <f t="shared" si="1"/>
        <v>31-60 days</v>
      </c>
      <c r="L127">
        <v>45</v>
      </c>
      <c r="M127">
        <v>4</v>
      </c>
      <c r="N127">
        <v>0</v>
      </c>
      <c r="O127" t="s">
        <v>54</v>
      </c>
      <c r="P127" t="s">
        <v>55</v>
      </c>
      <c r="Q127">
        <v>5</v>
      </c>
      <c r="R127">
        <v>26</v>
      </c>
      <c r="S127" t="s">
        <v>36</v>
      </c>
    </row>
    <row r="128" spans="1:19" x14ac:dyDescent="0.3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 t="str">
        <f t="shared" si="1"/>
        <v>15-30 days</v>
      </c>
      <c r="L128">
        <v>15</v>
      </c>
      <c r="M128">
        <v>1</v>
      </c>
      <c r="N128">
        <v>0</v>
      </c>
      <c r="O128" t="s">
        <v>25</v>
      </c>
      <c r="P128" t="s">
        <v>35</v>
      </c>
      <c r="Q128">
        <v>7.8</v>
      </c>
      <c r="R128">
        <v>28</v>
      </c>
      <c r="S128" t="s">
        <v>36</v>
      </c>
    </row>
    <row r="129" spans="1:19" x14ac:dyDescent="0.3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 t="str">
        <f t="shared" si="1"/>
        <v>31-60 days</v>
      </c>
      <c r="L129">
        <v>31</v>
      </c>
      <c r="M129">
        <v>3</v>
      </c>
      <c r="N129">
        <v>0</v>
      </c>
      <c r="O129" t="s">
        <v>25</v>
      </c>
      <c r="P129" t="s">
        <v>35</v>
      </c>
      <c r="Q129">
        <v>4.2</v>
      </c>
      <c r="R129">
        <v>23</v>
      </c>
      <c r="S129" t="s">
        <v>27</v>
      </c>
    </row>
    <row r="130" spans="1:19" x14ac:dyDescent="0.3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 t="str">
        <f t="shared" si="1"/>
        <v>31-60 days</v>
      </c>
      <c r="L130">
        <v>41</v>
      </c>
      <c r="M130">
        <v>3</v>
      </c>
      <c r="N130">
        <v>1</v>
      </c>
      <c r="O130" t="s">
        <v>54</v>
      </c>
      <c r="P130" t="s">
        <v>55</v>
      </c>
      <c r="Q130">
        <v>5.3</v>
      </c>
      <c r="R130">
        <v>28</v>
      </c>
      <c r="S130" t="s">
        <v>27</v>
      </c>
    </row>
    <row r="131" spans="1:19" x14ac:dyDescent="0.3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 t="str">
        <f t="shared" ref="K131:K194" si="2">IF(L131&lt;=7,"0-7 days",IF(L131&lt;=14,"8-14 days",IF(L131&lt;=30,"15-30 days","31-60 days")))</f>
        <v>31-60 days</v>
      </c>
      <c r="L131">
        <v>36</v>
      </c>
      <c r="M131">
        <v>3</v>
      </c>
      <c r="N131">
        <v>1</v>
      </c>
      <c r="O131" t="s">
        <v>25</v>
      </c>
      <c r="P131" t="s">
        <v>50</v>
      </c>
      <c r="Q131">
        <v>5.9</v>
      </c>
      <c r="R131">
        <v>45</v>
      </c>
      <c r="S131" t="s">
        <v>71</v>
      </c>
    </row>
    <row r="132" spans="1:19" x14ac:dyDescent="0.3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 t="str">
        <f t="shared" si="2"/>
        <v>15-30 days</v>
      </c>
      <c r="L132">
        <v>19</v>
      </c>
      <c r="M132">
        <v>3</v>
      </c>
      <c r="N132">
        <v>1</v>
      </c>
      <c r="O132" t="s">
        <v>25</v>
      </c>
      <c r="P132" t="s">
        <v>35</v>
      </c>
      <c r="Q132">
        <v>8.1</v>
      </c>
      <c r="R132">
        <v>2</v>
      </c>
      <c r="S132" t="s">
        <v>36</v>
      </c>
    </row>
    <row r="133" spans="1:19" x14ac:dyDescent="0.3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 t="str">
        <f t="shared" si="2"/>
        <v>15-30 days</v>
      </c>
      <c r="L133">
        <v>24</v>
      </c>
      <c r="M133">
        <v>5</v>
      </c>
      <c r="N133">
        <v>1</v>
      </c>
      <c r="O133" t="s">
        <v>25</v>
      </c>
      <c r="P133" t="s">
        <v>26</v>
      </c>
      <c r="Q133">
        <v>15.3</v>
      </c>
      <c r="R133">
        <v>24</v>
      </c>
      <c r="S133" t="s">
        <v>71</v>
      </c>
    </row>
    <row r="134" spans="1:19" x14ac:dyDescent="0.3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 t="str">
        <f t="shared" si="2"/>
        <v>15-30 days</v>
      </c>
      <c r="L134">
        <v>29</v>
      </c>
      <c r="M134">
        <v>3</v>
      </c>
      <c r="N134">
        <v>1</v>
      </c>
      <c r="O134" t="s">
        <v>25</v>
      </c>
      <c r="P134" t="s">
        <v>26</v>
      </c>
      <c r="Q134">
        <v>12.5</v>
      </c>
      <c r="R134">
        <v>29</v>
      </c>
      <c r="S134" t="s">
        <v>27</v>
      </c>
    </row>
    <row r="135" spans="1:19" x14ac:dyDescent="0.3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 t="str">
        <f t="shared" si="2"/>
        <v>0-7 days</v>
      </c>
      <c r="L135">
        <v>2</v>
      </c>
      <c r="M135">
        <v>3</v>
      </c>
      <c r="N135">
        <v>1</v>
      </c>
      <c r="O135" t="s">
        <v>25</v>
      </c>
      <c r="P135" t="s">
        <v>26</v>
      </c>
      <c r="Q135">
        <v>2.1</v>
      </c>
      <c r="R135">
        <v>23</v>
      </c>
      <c r="S135" t="s">
        <v>27</v>
      </c>
    </row>
    <row r="136" spans="1:19" x14ac:dyDescent="0.3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 t="str">
        <f t="shared" si="2"/>
        <v>31-60 days</v>
      </c>
      <c r="L136">
        <v>44</v>
      </c>
      <c r="M136">
        <v>3</v>
      </c>
      <c r="N136">
        <v>0</v>
      </c>
      <c r="O136" t="s">
        <v>54</v>
      </c>
      <c r="P136" t="s">
        <v>55</v>
      </c>
      <c r="Q136">
        <v>7.3</v>
      </c>
      <c r="R136">
        <v>27</v>
      </c>
      <c r="S136" t="s">
        <v>27</v>
      </c>
    </row>
    <row r="137" spans="1:19" x14ac:dyDescent="0.3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 t="str">
        <f t="shared" si="2"/>
        <v>0-7 days</v>
      </c>
      <c r="L137">
        <v>6</v>
      </c>
      <c r="M137">
        <v>1</v>
      </c>
      <c r="N137">
        <v>1</v>
      </c>
      <c r="O137" t="s">
        <v>25</v>
      </c>
      <c r="P137" t="s">
        <v>35</v>
      </c>
      <c r="Q137">
        <v>45</v>
      </c>
      <c r="R137">
        <v>37</v>
      </c>
      <c r="S137" t="s">
        <v>27</v>
      </c>
    </row>
    <row r="138" spans="1:19" x14ac:dyDescent="0.3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 t="str">
        <f t="shared" si="2"/>
        <v>15-30 days</v>
      </c>
      <c r="L138">
        <v>27</v>
      </c>
      <c r="M138">
        <v>2</v>
      </c>
      <c r="N138">
        <v>0</v>
      </c>
      <c r="O138" t="s">
        <v>25</v>
      </c>
      <c r="P138" t="s">
        <v>26</v>
      </c>
      <c r="Q138">
        <v>8.1</v>
      </c>
      <c r="R138">
        <v>18</v>
      </c>
      <c r="S138" t="s">
        <v>27</v>
      </c>
    </row>
    <row r="139" spans="1:19" x14ac:dyDescent="0.3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 t="str">
        <f t="shared" si="2"/>
        <v>31-60 days</v>
      </c>
      <c r="L139">
        <v>39</v>
      </c>
      <c r="M139">
        <v>4</v>
      </c>
      <c r="N139">
        <v>1</v>
      </c>
      <c r="O139" t="s">
        <v>25</v>
      </c>
      <c r="P139" t="s">
        <v>50</v>
      </c>
      <c r="Q139">
        <v>8.1999999999999993</v>
      </c>
      <c r="R139">
        <v>48</v>
      </c>
      <c r="S139" t="s">
        <v>27</v>
      </c>
    </row>
    <row r="140" spans="1:19" x14ac:dyDescent="0.3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 t="str">
        <f t="shared" si="2"/>
        <v>0-7 days</v>
      </c>
      <c r="L140">
        <v>4</v>
      </c>
      <c r="M140">
        <v>6</v>
      </c>
      <c r="N140">
        <v>2</v>
      </c>
      <c r="O140" t="s">
        <v>25</v>
      </c>
      <c r="P140" t="s">
        <v>35</v>
      </c>
      <c r="Q140">
        <v>10.1</v>
      </c>
      <c r="R140">
        <v>8</v>
      </c>
      <c r="S140" t="s">
        <v>71</v>
      </c>
    </row>
    <row r="141" spans="1:19" x14ac:dyDescent="0.3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 t="str">
        <f t="shared" si="2"/>
        <v>31-60 days</v>
      </c>
      <c r="L141">
        <v>60</v>
      </c>
      <c r="M141">
        <v>3</v>
      </c>
      <c r="N141">
        <v>1</v>
      </c>
      <c r="O141" t="s">
        <v>25</v>
      </c>
      <c r="P141" t="s">
        <v>35</v>
      </c>
      <c r="Q141">
        <v>10.5</v>
      </c>
      <c r="R141">
        <v>31</v>
      </c>
      <c r="S141" t="s">
        <v>27</v>
      </c>
    </row>
    <row r="142" spans="1:19" x14ac:dyDescent="0.3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 t="str">
        <f t="shared" si="2"/>
        <v>15-30 days</v>
      </c>
      <c r="L142">
        <v>23</v>
      </c>
      <c r="M142">
        <v>5</v>
      </c>
      <c r="N142">
        <v>1</v>
      </c>
      <c r="O142" t="s">
        <v>54</v>
      </c>
      <c r="P142" t="s">
        <v>55</v>
      </c>
      <c r="Q142">
        <v>7.3</v>
      </c>
      <c r="R142">
        <v>24</v>
      </c>
      <c r="S142" t="s">
        <v>36</v>
      </c>
    </row>
    <row r="143" spans="1:19" x14ac:dyDescent="0.3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 t="str">
        <f t="shared" si="2"/>
        <v>0-7 days</v>
      </c>
      <c r="L143">
        <v>0</v>
      </c>
      <c r="M143">
        <v>3</v>
      </c>
      <c r="N143">
        <v>0</v>
      </c>
      <c r="O143" t="s">
        <v>25</v>
      </c>
      <c r="P143" t="s">
        <v>35</v>
      </c>
      <c r="Q143">
        <v>22.2</v>
      </c>
      <c r="R143">
        <v>27</v>
      </c>
      <c r="S143" t="s">
        <v>36</v>
      </c>
    </row>
    <row r="144" spans="1:19" x14ac:dyDescent="0.3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 t="str">
        <f t="shared" si="2"/>
        <v>31-60 days</v>
      </c>
      <c r="L144">
        <v>40</v>
      </c>
      <c r="M144">
        <v>5</v>
      </c>
      <c r="N144">
        <v>1</v>
      </c>
      <c r="O144" t="s">
        <v>54</v>
      </c>
      <c r="P144" t="s">
        <v>55</v>
      </c>
      <c r="Q144">
        <v>9.8000000000000007</v>
      </c>
      <c r="R144">
        <v>32</v>
      </c>
      <c r="S144" t="s">
        <v>27</v>
      </c>
    </row>
    <row r="145" spans="1:19" x14ac:dyDescent="0.3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 t="str">
        <f t="shared" si="2"/>
        <v>31-60 days</v>
      </c>
      <c r="L145">
        <v>34</v>
      </c>
      <c r="M145">
        <v>5</v>
      </c>
      <c r="N145">
        <v>1</v>
      </c>
      <c r="O145" t="s">
        <v>25</v>
      </c>
      <c r="P145" t="s">
        <v>35</v>
      </c>
      <c r="Q145">
        <v>8.9</v>
      </c>
      <c r="R145">
        <v>17</v>
      </c>
      <c r="S145" t="s">
        <v>36</v>
      </c>
    </row>
    <row r="146" spans="1:19" x14ac:dyDescent="0.3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 t="str">
        <f t="shared" si="2"/>
        <v>31-60 days</v>
      </c>
      <c r="L146">
        <v>39</v>
      </c>
      <c r="M146">
        <v>2</v>
      </c>
      <c r="N146">
        <v>0</v>
      </c>
      <c r="O146" t="s">
        <v>25</v>
      </c>
      <c r="P146" t="s">
        <v>26</v>
      </c>
      <c r="Q146">
        <v>5.5</v>
      </c>
      <c r="R146">
        <v>36</v>
      </c>
      <c r="S146" t="s">
        <v>27</v>
      </c>
    </row>
    <row r="147" spans="1:19" x14ac:dyDescent="0.3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 t="str">
        <f t="shared" si="2"/>
        <v>31-60 days</v>
      </c>
      <c r="L147">
        <v>45</v>
      </c>
      <c r="M147">
        <v>1</v>
      </c>
      <c r="N147">
        <v>0</v>
      </c>
      <c r="O147" t="s">
        <v>25</v>
      </c>
      <c r="P147" t="s">
        <v>35</v>
      </c>
      <c r="Q147">
        <v>9.9</v>
      </c>
      <c r="R147">
        <v>46</v>
      </c>
      <c r="S147" t="s">
        <v>27</v>
      </c>
    </row>
    <row r="148" spans="1:19" x14ac:dyDescent="0.3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 t="str">
        <f t="shared" si="2"/>
        <v>15-30 days</v>
      </c>
      <c r="L148">
        <v>29</v>
      </c>
      <c r="M148">
        <v>5</v>
      </c>
      <c r="N148">
        <v>0</v>
      </c>
      <c r="O148" t="s">
        <v>25</v>
      </c>
      <c r="P148" t="s">
        <v>35</v>
      </c>
      <c r="Q148">
        <v>30.1</v>
      </c>
      <c r="R148">
        <v>21</v>
      </c>
      <c r="S148" t="s">
        <v>27</v>
      </c>
    </row>
    <row r="149" spans="1:19" x14ac:dyDescent="0.3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 t="str">
        <f t="shared" si="2"/>
        <v>31-60 days</v>
      </c>
      <c r="L149">
        <v>50</v>
      </c>
      <c r="M149">
        <v>1</v>
      </c>
      <c r="N149">
        <v>0</v>
      </c>
      <c r="O149" t="s">
        <v>25</v>
      </c>
      <c r="P149" t="s">
        <v>35</v>
      </c>
      <c r="Q149">
        <v>10.199999999999999</v>
      </c>
      <c r="R149">
        <v>18</v>
      </c>
      <c r="S149" t="s">
        <v>36</v>
      </c>
    </row>
    <row r="150" spans="1:19" x14ac:dyDescent="0.3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 t="str">
        <f t="shared" si="2"/>
        <v>15-30 days</v>
      </c>
      <c r="L150">
        <v>22</v>
      </c>
      <c r="M150">
        <v>3</v>
      </c>
      <c r="N150">
        <v>0</v>
      </c>
      <c r="O150" t="s">
        <v>54</v>
      </c>
      <c r="P150" t="s">
        <v>55</v>
      </c>
      <c r="Q150">
        <v>15.6</v>
      </c>
      <c r="R150">
        <v>38</v>
      </c>
      <c r="S150" t="s">
        <v>27</v>
      </c>
    </row>
    <row r="151" spans="1:19" x14ac:dyDescent="0.3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 t="str">
        <f t="shared" si="2"/>
        <v>31-60 days</v>
      </c>
      <c r="L151">
        <v>33</v>
      </c>
      <c r="M151">
        <v>2</v>
      </c>
      <c r="N151">
        <v>1</v>
      </c>
      <c r="O151" t="s">
        <v>25</v>
      </c>
      <c r="P151" t="s">
        <v>26</v>
      </c>
      <c r="Q151">
        <v>18.2</v>
      </c>
      <c r="R151">
        <v>35</v>
      </c>
      <c r="S151" t="s">
        <v>27</v>
      </c>
    </row>
    <row r="152" spans="1:19" x14ac:dyDescent="0.3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 t="str">
        <f t="shared" si="2"/>
        <v>8-14 days</v>
      </c>
      <c r="L152">
        <v>9</v>
      </c>
      <c r="M152">
        <v>4</v>
      </c>
      <c r="N152">
        <v>0</v>
      </c>
      <c r="O152" t="s">
        <v>25</v>
      </c>
      <c r="P152" t="s">
        <v>35</v>
      </c>
      <c r="Q152">
        <v>5.5</v>
      </c>
      <c r="R152">
        <v>7</v>
      </c>
      <c r="S152" t="s">
        <v>36</v>
      </c>
    </row>
    <row r="153" spans="1:19" x14ac:dyDescent="0.3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 t="str">
        <f t="shared" si="2"/>
        <v>31-60 days</v>
      </c>
      <c r="L153">
        <v>37</v>
      </c>
      <c r="M153">
        <v>0</v>
      </c>
      <c r="N153">
        <v>0</v>
      </c>
      <c r="O153" t="s">
        <v>25</v>
      </c>
      <c r="P153" t="s">
        <v>35</v>
      </c>
      <c r="Q153">
        <v>5.2</v>
      </c>
      <c r="R153">
        <v>30</v>
      </c>
      <c r="S153" t="s">
        <v>36</v>
      </c>
    </row>
    <row r="154" spans="1:19" x14ac:dyDescent="0.3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 t="str">
        <f t="shared" si="2"/>
        <v>15-30 days</v>
      </c>
      <c r="L154">
        <v>15</v>
      </c>
      <c r="M154">
        <v>1</v>
      </c>
      <c r="N154">
        <v>0</v>
      </c>
      <c r="O154" t="s">
        <v>25</v>
      </c>
      <c r="P154" t="s">
        <v>35</v>
      </c>
      <c r="Q154">
        <v>15.2</v>
      </c>
      <c r="R154">
        <v>33</v>
      </c>
      <c r="S154" t="s">
        <v>27</v>
      </c>
    </row>
    <row r="155" spans="1:19" x14ac:dyDescent="0.3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 t="str">
        <f t="shared" si="2"/>
        <v>31-60 days</v>
      </c>
      <c r="L155">
        <v>42</v>
      </c>
      <c r="M155">
        <v>1</v>
      </c>
      <c r="N155">
        <v>0</v>
      </c>
      <c r="O155" t="s">
        <v>25</v>
      </c>
      <c r="P155" t="s">
        <v>35</v>
      </c>
      <c r="Q155">
        <v>5.2</v>
      </c>
      <c r="R155">
        <v>23</v>
      </c>
      <c r="S155" t="s">
        <v>36</v>
      </c>
    </row>
    <row r="156" spans="1:19" x14ac:dyDescent="0.3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 t="str">
        <f t="shared" si="2"/>
        <v>31-60 days</v>
      </c>
      <c r="L156">
        <v>48</v>
      </c>
      <c r="M156">
        <v>3</v>
      </c>
      <c r="N156">
        <v>1</v>
      </c>
      <c r="O156" t="s">
        <v>25</v>
      </c>
      <c r="P156" t="s">
        <v>26</v>
      </c>
      <c r="Q156">
        <v>18.399999999999999</v>
      </c>
      <c r="R156">
        <v>41</v>
      </c>
      <c r="S156" t="s">
        <v>27</v>
      </c>
    </row>
    <row r="157" spans="1:19" x14ac:dyDescent="0.3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 t="str">
        <f t="shared" si="2"/>
        <v>31-60 days</v>
      </c>
      <c r="L157">
        <v>52</v>
      </c>
      <c r="M157">
        <v>3</v>
      </c>
      <c r="N157">
        <v>0</v>
      </c>
      <c r="O157" t="s">
        <v>25</v>
      </c>
      <c r="P157" t="s">
        <v>35</v>
      </c>
      <c r="Q157">
        <v>3.8</v>
      </c>
      <c r="R157">
        <v>6</v>
      </c>
      <c r="S157" t="s">
        <v>27</v>
      </c>
    </row>
    <row r="158" spans="1:19" x14ac:dyDescent="0.3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 t="str">
        <f t="shared" si="2"/>
        <v>31-60 days</v>
      </c>
      <c r="L158">
        <v>56</v>
      </c>
      <c r="M158">
        <v>3</v>
      </c>
      <c r="N158">
        <v>0</v>
      </c>
      <c r="O158" t="s">
        <v>54</v>
      </c>
      <c r="P158" t="s">
        <v>55</v>
      </c>
      <c r="Q158">
        <v>17.3</v>
      </c>
      <c r="R158">
        <v>2</v>
      </c>
      <c r="S158" t="s">
        <v>27</v>
      </c>
    </row>
    <row r="159" spans="1:19" x14ac:dyDescent="0.3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 t="str">
        <f t="shared" si="2"/>
        <v>0-7 days</v>
      </c>
      <c r="L159">
        <v>7</v>
      </c>
      <c r="M159">
        <v>3</v>
      </c>
      <c r="N159">
        <v>3</v>
      </c>
      <c r="O159" t="s">
        <v>25</v>
      </c>
      <c r="P159" t="s">
        <v>50</v>
      </c>
      <c r="Q159">
        <v>10.9</v>
      </c>
      <c r="R159">
        <v>36</v>
      </c>
      <c r="S159" t="s">
        <v>71</v>
      </c>
    </row>
    <row r="160" spans="1:19" x14ac:dyDescent="0.3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 t="str">
        <f t="shared" si="2"/>
        <v>8-14 days</v>
      </c>
      <c r="L160">
        <v>8</v>
      </c>
      <c r="M160">
        <v>2</v>
      </c>
      <c r="N160">
        <v>0</v>
      </c>
      <c r="O160" t="s">
        <v>54</v>
      </c>
      <c r="P160" t="s">
        <v>55</v>
      </c>
      <c r="Q160">
        <v>2.9</v>
      </c>
      <c r="R160">
        <v>15</v>
      </c>
      <c r="S160" t="s">
        <v>36</v>
      </c>
    </row>
    <row r="161" spans="1:19" x14ac:dyDescent="0.3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 t="str">
        <f t="shared" si="2"/>
        <v>31-60 days</v>
      </c>
      <c r="L161">
        <v>56</v>
      </c>
      <c r="M161">
        <v>6</v>
      </c>
      <c r="N161">
        <v>1</v>
      </c>
      <c r="O161" t="s">
        <v>54</v>
      </c>
      <c r="P161" t="s">
        <v>55</v>
      </c>
      <c r="Q161">
        <v>14.3</v>
      </c>
      <c r="R161">
        <v>24</v>
      </c>
      <c r="S161" t="s">
        <v>27</v>
      </c>
    </row>
    <row r="162" spans="1:19" x14ac:dyDescent="0.3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 t="str">
        <f t="shared" si="2"/>
        <v>15-30 days</v>
      </c>
      <c r="L162">
        <v>23</v>
      </c>
      <c r="M162">
        <v>1</v>
      </c>
      <c r="N162">
        <v>0</v>
      </c>
      <c r="O162" t="s">
        <v>25</v>
      </c>
      <c r="P162" t="s">
        <v>35</v>
      </c>
      <c r="Q162">
        <v>10</v>
      </c>
      <c r="R162">
        <v>12</v>
      </c>
      <c r="S162" t="s">
        <v>27</v>
      </c>
    </row>
    <row r="163" spans="1:19" x14ac:dyDescent="0.3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 t="str">
        <f t="shared" si="2"/>
        <v>0-7 days</v>
      </c>
      <c r="L163">
        <v>1</v>
      </c>
      <c r="M163">
        <v>3</v>
      </c>
      <c r="N163">
        <v>1</v>
      </c>
      <c r="O163" t="s">
        <v>25</v>
      </c>
      <c r="P163" t="s">
        <v>35</v>
      </c>
      <c r="Q163">
        <v>17.8</v>
      </c>
      <c r="S163" t="s">
        <v>27</v>
      </c>
    </row>
    <row r="164" spans="1:19" x14ac:dyDescent="0.3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 t="str">
        <f t="shared" si="2"/>
        <v>15-30 days</v>
      </c>
      <c r="L164">
        <v>17</v>
      </c>
      <c r="M164">
        <v>2</v>
      </c>
      <c r="N164">
        <v>0</v>
      </c>
      <c r="O164" t="s">
        <v>25</v>
      </c>
      <c r="P164" t="s">
        <v>35</v>
      </c>
      <c r="Q164">
        <v>8.6</v>
      </c>
      <c r="R164">
        <v>28</v>
      </c>
      <c r="S164" t="s">
        <v>36</v>
      </c>
    </row>
    <row r="165" spans="1:19" x14ac:dyDescent="0.3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 t="str">
        <f t="shared" si="2"/>
        <v>31-60 days</v>
      </c>
      <c r="L165">
        <v>51</v>
      </c>
      <c r="M165">
        <v>4</v>
      </c>
      <c r="N165">
        <v>0</v>
      </c>
      <c r="O165" t="s">
        <v>25</v>
      </c>
      <c r="P165" t="s">
        <v>35</v>
      </c>
      <c r="Q165">
        <v>17.600000000000001</v>
      </c>
      <c r="R165">
        <v>23</v>
      </c>
      <c r="S165" t="s">
        <v>27</v>
      </c>
    </row>
    <row r="166" spans="1:19" x14ac:dyDescent="0.3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 t="str">
        <f t="shared" si="2"/>
        <v>15-30 days</v>
      </c>
      <c r="L166">
        <v>21</v>
      </c>
      <c r="M166">
        <v>5</v>
      </c>
      <c r="N166">
        <v>2</v>
      </c>
      <c r="O166" t="s">
        <v>54</v>
      </c>
      <c r="P166" t="s">
        <v>55</v>
      </c>
      <c r="Q166">
        <v>17.5</v>
      </c>
      <c r="R166">
        <v>10</v>
      </c>
      <c r="S166" t="s">
        <v>27</v>
      </c>
    </row>
    <row r="167" spans="1:19" x14ac:dyDescent="0.3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 t="str">
        <f t="shared" si="2"/>
        <v>0-7 days</v>
      </c>
      <c r="L167">
        <v>4</v>
      </c>
      <c r="M167">
        <v>2</v>
      </c>
      <c r="N167">
        <v>0</v>
      </c>
      <c r="O167" t="s">
        <v>25</v>
      </c>
      <c r="P167" t="s">
        <v>26</v>
      </c>
      <c r="Q167">
        <v>31.6</v>
      </c>
      <c r="R167">
        <v>22</v>
      </c>
      <c r="S167" t="s">
        <v>27</v>
      </c>
    </row>
    <row r="168" spans="1:19" x14ac:dyDescent="0.3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 t="str">
        <f t="shared" si="2"/>
        <v>31-60 days</v>
      </c>
      <c r="L168">
        <v>44</v>
      </c>
      <c r="M168">
        <v>2</v>
      </c>
      <c r="N168">
        <v>1</v>
      </c>
      <c r="O168" t="s">
        <v>25</v>
      </c>
      <c r="P168" t="s">
        <v>50</v>
      </c>
      <c r="Q168">
        <v>6.7</v>
      </c>
      <c r="R168">
        <v>28</v>
      </c>
      <c r="S168" t="s">
        <v>27</v>
      </c>
    </row>
    <row r="169" spans="1:19" x14ac:dyDescent="0.3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 t="str">
        <f t="shared" si="2"/>
        <v>8-14 days</v>
      </c>
      <c r="L169">
        <v>11</v>
      </c>
      <c r="M169">
        <v>3</v>
      </c>
      <c r="N169">
        <v>0</v>
      </c>
      <c r="O169" t="s">
        <v>25</v>
      </c>
      <c r="P169" t="s">
        <v>35</v>
      </c>
      <c r="Q169">
        <v>14.1</v>
      </c>
      <c r="R169">
        <v>18</v>
      </c>
      <c r="S169" t="s">
        <v>36</v>
      </c>
    </row>
    <row r="170" spans="1:19" x14ac:dyDescent="0.3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 t="str">
        <f t="shared" si="2"/>
        <v>15-30 days</v>
      </c>
      <c r="L170">
        <v>21</v>
      </c>
      <c r="M170">
        <v>1</v>
      </c>
      <c r="N170">
        <v>0</v>
      </c>
      <c r="O170" t="s">
        <v>25</v>
      </c>
      <c r="P170" t="s">
        <v>35</v>
      </c>
      <c r="Q170">
        <v>3</v>
      </c>
      <c r="R170">
        <v>19</v>
      </c>
      <c r="S170" t="s">
        <v>36</v>
      </c>
    </row>
    <row r="171" spans="1:19" x14ac:dyDescent="0.3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 t="str">
        <f t="shared" si="2"/>
        <v>0-7 days</v>
      </c>
      <c r="L171">
        <v>0</v>
      </c>
      <c r="M171">
        <v>5</v>
      </c>
      <c r="N171">
        <v>1</v>
      </c>
      <c r="O171" t="s">
        <v>25</v>
      </c>
      <c r="P171" t="s">
        <v>26</v>
      </c>
      <c r="Q171">
        <v>0.9</v>
      </c>
      <c r="R171">
        <v>24</v>
      </c>
      <c r="S171" t="s">
        <v>71</v>
      </c>
    </row>
    <row r="172" spans="1:19" x14ac:dyDescent="0.3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 t="str">
        <f t="shared" si="2"/>
        <v>31-60 days</v>
      </c>
      <c r="L172">
        <v>36</v>
      </c>
      <c r="M172">
        <v>1</v>
      </c>
      <c r="N172">
        <v>0</v>
      </c>
      <c r="O172" t="s">
        <v>25</v>
      </c>
      <c r="P172" t="s">
        <v>35</v>
      </c>
      <c r="Q172">
        <v>13.1</v>
      </c>
      <c r="R172">
        <v>31</v>
      </c>
      <c r="S172" t="s">
        <v>36</v>
      </c>
    </row>
    <row r="173" spans="1:19" x14ac:dyDescent="0.3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 t="str">
        <f t="shared" si="2"/>
        <v>15-30 days</v>
      </c>
      <c r="L173">
        <v>27</v>
      </c>
      <c r="M173">
        <v>4</v>
      </c>
      <c r="N173">
        <v>1</v>
      </c>
      <c r="O173" t="s">
        <v>25</v>
      </c>
      <c r="P173" t="s">
        <v>35</v>
      </c>
      <c r="Q173">
        <v>17.600000000000001</v>
      </c>
      <c r="R173">
        <v>29</v>
      </c>
      <c r="S173" t="s">
        <v>27</v>
      </c>
    </row>
    <row r="174" spans="1:19" x14ac:dyDescent="0.3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 t="str">
        <f t="shared" si="2"/>
        <v>31-60 days</v>
      </c>
      <c r="L174">
        <v>52</v>
      </c>
      <c r="M174">
        <v>4</v>
      </c>
      <c r="N174">
        <v>0</v>
      </c>
      <c r="O174" t="s">
        <v>25</v>
      </c>
      <c r="P174" t="s">
        <v>26</v>
      </c>
      <c r="Q174">
        <v>3.9</v>
      </c>
      <c r="R174">
        <v>37</v>
      </c>
      <c r="S174" t="s">
        <v>36</v>
      </c>
    </row>
    <row r="175" spans="1:19" x14ac:dyDescent="0.3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 t="str">
        <f t="shared" si="2"/>
        <v>15-30 days</v>
      </c>
      <c r="L175">
        <v>20</v>
      </c>
      <c r="M175">
        <v>5</v>
      </c>
      <c r="N175">
        <v>1</v>
      </c>
      <c r="O175" t="s">
        <v>25</v>
      </c>
      <c r="P175" t="s">
        <v>35</v>
      </c>
      <c r="Q175">
        <v>5.9</v>
      </c>
      <c r="R175">
        <v>23</v>
      </c>
      <c r="S175" t="s">
        <v>27</v>
      </c>
    </row>
    <row r="176" spans="1:19" x14ac:dyDescent="0.3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 t="str">
        <f t="shared" si="2"/>
        <v>8-14 days</v>
      </c>
      <c r="L176">
        <v>12</v>
      </c>
      <c r="M176">
        <v>2</v>
      </c>
      <c r="N176">
        <v>1</v>
      </c>
      <c r="O176" t="s">
        <v>25</v>
      </c>
      <c r="P176" t="s">
        <v>26</v>
      </c>
      <c r="Q176">
        <v>17.600000000000001</v>
      </c>
      <c r="R176">
        <v>35</v>
      </c>
      <c r="S176" t="s">
        <v>36</v>
      </c>
    </row>
    <row r="177" spans="1:19" x14ac:dyDescent="0.3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 t="str">
        <f t="shared" si="2"/>
        <v>8-14 days</v>
      </c>
      <c r="L177">
        <v>10</v>
      </c>
      <c r="M177">
        <v>3</v>
      </c>
      <c r="N177">
        <v>2</v>
      </c>
      <c r="O177" t="s">
        <v>25</v>
      </c>
      <c r="P177" t="s">
        <v>35</v>
      </c>
      <c r="Q177">
        <v>5</v>
      </c>
      <c r="R177">
        <v>11</v>
      </c>
      <c r="S177" t="s">
        <v>36</v>
      </c>
    </row>
    <row r="178" spans="1:19" x14ac:dyDescent="0.3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 t="str">
        <f t="shared" si="2"/>
        <v>8-14 days</v>
      </c>
      <c r="L178">
        <v>12</v>
      </c>
      <c r="M178">
        <v>2</v>
      </c>
      <c r="N178">
        <v>0</v>
      </c>
      <c r="O178" t="s">
        <v>25</v>
      </c>
      <c r="P178" t="s">
        <v>50</v>
      </c>
      <c r="R178">
        <v>28</v>
      </c>
      <c r="S178" t="s">
        <v>27</v>
      </c>
    </row>
    <row r="179" spans="1:19" x14ac:dyDescent="0.3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 t="str">
        <f t="shared" si="2"/>
        <v>15-30 days</v>
      </c>
      <c r="L179">
        <v>27</v>
      </c>
      <c r="M179">
        <v>7</v>
      </c>
      <c r="N179">
        <v>0</v>
      </c>
      <c r="O179" t="s">
        <v>25</v>
      </c>
      <c r="P179" t="s">
        <v>35</v>
      </c>
      <c r="Q179">
        <v>21.7</v>
      </c>
      <c r="R179">
        <v>28</v>
      </c>
      <c r="S179" t="s">
        <v>36</v>
      </c>
    </row>
    <row r="180" spans="1:19" x14ac:dyDescent="0.3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 t="str">
        <f t="shared" si="2"/>
        <v>0-7 days</v>
      </c>
      <c r="L180">
        <v>5</v>
      </c>
      <c r="M180">
        <v>3</v>
      </c>
      <c r="N180">
        <v>1</v>
      </c>
      <c r="O180" t="s">
        <v>25</v>
      </c>
      <c r="P180" t="s">
        <v>26</v>
      </c>
      <c r="Q180">
        <v>24.5</v>
      </c>
      <c r="R180">
        <v>50</v>
      </c>
      <c r="S180" t="s">
        <v>27</v>
      </c>
    </row>
    <row r="181" spans="1:19" x14ac:dyDescent="0.3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 t="str">
        <f t="shared" si="2"/>
        <v>15-30 days</v>
      </c>
      <c r="L181">
        <v>24</v>
      </c>
      <c r="M181">
        <v>5</v>
      </c>
      <c r="N181">
        <v>1</v>
      </c>
      <c r="O181" t="s">
        <v>25</v>
      </c>
      <c r="P181" t="s">
        <v>35</v>
      </c>
      <c r="Q181">
        <v>9.8000000000000007</v>
      </c>
      <c r="R181">
        <v>17</v>
      </c>
      <c r="S181" t="s">
        <v>36</v>
      </c>
    </row>
    <row r="182" spans="1:19" x14ac:dyDescent="0.3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 t="str">
        <f t="shared" si="2"/>
        <v>31-60 days</v>
      </c>
      <c r="L182">
        <v>52</v>
      </c>
      <c r="M182">
        <v>3</v>
      </c>
      <c r="N182">
        <v>1</v>
      </c>
      <c r="O182" t="s">
        <v>25</v>
      </c>
      <c r="P182" t="s">
        <v>35</v>
      </c>
      <c r="Q182">
        <v>9.3000000000000007</v>
      </c>
      <c r="R182">
        <v>11</v>
      </c>
      <c r="S182" t="s">
        <v>71</v>
      </c>
    </row>
    <row r="183" spans="1:19" x14ac:dyDescent="0.3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 t="str">
        <f t="shared" si="2"/>
        <v>31-60 days</v>
      </c>
      <c r="L183">
        <v>46</v>
      </c>
      <c r="M183">
        <v>2</v>
      </c>
      <c r="N183">
        <v>1</v>
      </c>
      <c r="O183" t="s">
        <v>25</v>
      </c>
      <c r="P183" t="s">
        <v>26</v>
      </c>
      <c r="Q183">
        <v>24.9</v>
      </c>
      <c r="R183">
        <v>16</v>
      </c>
      <c r="S183" t="s">
        <v>27</v>
      </c>
    </row>
    <row r="184" spans="1:19" x14ac:dyDescent="0.3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 t="str">
        <f t="shared" si="2"/>
        <v>31-60 days</v>
      </c>
      <c r="L184">
        <v>38</v>
      </c>
      <c r="M184">
        <v>2</v>
      </c>
      <c r="N184">
        <v>0</v>
      </c>
      <c r="O184" t="s">
        <v>25</v>
      </c>
      <c r="P184" t="s">
        <v>50</v>
      </c>
      <c r="Q184">
        <v>18.2</v>
      </c>
      <c r="R184">
        <v>17</v>
      </c>
      <c r="S184" t="s">
        <v>36</v>
      </c>
    </row>
    <row r="185" spans="1:19" x14ac:dyDescent="0.3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 t="str">
        <f t="shared" si="2"/>
        <v>31-60 days</v>
      </c>
      <c r="L185">
        <v>54</v>
      </c>
      <c r="M185">
        <v>4</v>
      </c>
      <c r="N185">
        <v>0</v>
      </c>
      <c r="O185" t="s">
        <v>25</v>
      </c>
      <c r="P185" t="s">
        <v>35</v>
      </c>
      <c r="Q185">
        <v>25.4</v>
      </c>
      <c r="R185">
        <v>29</v>
      </c>
      <c r="S185" t="s">
        <v>71</v>
      </c>
    </row>
    <row r="186" spans="1:19" x14ac:dyDescent="0.3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 t="str">
        <f t="shared" si="2"/>
        <v>31-60 days</v>
      </c>
      <c r="L186">
        <v>47</v>
      </c>
      <c r="M186">
        <v>8</v>
      </c>
      <c r="N186">
        <v>3</v>
      </c>
      <c r="O186" t="s">
        <v>25</v>
      </c>
      <c r="P186" t="s">
        <v>35</v>
      </c>
      <c r="Q186">
        <v>5.6</v>
      </c>
      <c r="R186">
        <v>10</v>
      </c>
      <c r="S186" t="s">
        <v>27</v>
      </c>
    </row>
    <row r="187" spans="1:19" x14ac:dyDescent="0.3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 t="str">
        <f t="shared" si="2"/>
        <v>31-60 days</v>
      </c>
      <c r="L187">
        <v>39</v>
      </c>
      <c r="M187">
        <v>7</v>
      </c>
      <c r="N187">
        <v>1</v>
      </c>
      <c r="O187" t="s">
        <v>25</v>
      </c>
      <c r="P187" t="s">
        <v>35</v>
      </c>
      <c r="Q187">
        <v>6.7</v>
      </c>
      <c r="R187">
        <v>28</v>
      </c>
      <c r="S187" t="s">
        <v>27</v>
      </c>
    </row>
    <row r="188" spans="1:19" x14ac:dyDescent="0.3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 t="str">
        <f t="shared" si="2"/>
        <v>31-60 days</v>
      </c>
      <c r="L188">
        <v>52</v>
      </c>
      <c r="M188">
        <v>3</v>
      </c>
      <c r="N188">
        <v>1</v>
      </c>
      <c r="O188" t="s">
        <v>25</v>
      </c>
      <c r="P188" t="s">
        <v>26</v>
      </c>
      <c r="Q188">
        <v>1.7</v>
      </c>
      <c r="R188">
        <v>24</v>
      </c>
      <c r="S188" t="s">
        <v>27</v>
      </c>
    </row>
    <row r="189" spans="1:19" x14ac:dyDescent="0.3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 t="str">
        <f t="shared" si="2"/>
        <v>0-7 days</v>
      </c>
      <c r="L189">
        <v>7</v>
      </c>
      <c r="M189">
        <v>6</v>
      </c>
      <c r="N189">
        <v>2</v>
      </c>
      <c r="O189" t="s">
        <v>54</v>
      </c>
      <c r="P189" t="s">
        <v>55</v>
      </c>
      <c r="Q189">
        <v>2</v>
      </c>
      <c r="R189">
        <v>34</v>
      </c>
      <c r="S189" t="s">
        <v>36</v>
      </c>
    </row>
    <row r="190" spans="1:19" x14ac:dyDescent="0.3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 t="str">
        <f t="shared" si="2"/>
        <v>31-60 days</v>
      </c>
      <c r="L190">
        <v>49</v>
      </c>
      <c r="M190">
        <v>1</v>
      </c>
      <c r="N190">
        <v>0</v>
      </c>
      <c r="O190" t="s">
        <v>54</v>
      </c>
      <c r="P190" t="s">
        <v>55</v>
      </c>
      <c r="Q190">
        <v>2.2000000000000002</v>
      </c>
      <c r="R190">
        <v>31</v>
      </c>
      <c r="S190" t="s">
        <v>36</v>
      </c>
    </row>
    <row r="191" spans="1:19" x14ac:dyDescent="0.3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 t="str">
        <f t="shared" si="2"/>
        <v>15-30 days</v>
      </c>
      <c r="L191">
        <v>18</v>
      </c>
      <c r="M191">
        <v>4</v>
      </c>
      <c r="N191">
        <v>2</v>
      </c>
      <c r="O191" t="s">
        <v>54</v>
      </c>
      <c r="P191" t="s">
        <v>55</v>
      </c>
      <c r="Q191">
        <v>6.8</v>
      </c>
      <c r="R191">
        <v>33</v>
      </c>
      <c r="S191" t="s">
        <v>27</v>
      </c>
    </row>
    <row r="192" spans="1:19" x14ac:dyDescent="0.3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 t="str">
        <f t="shared" si="2"/>
        <v>31-60 days</v>
      </c>
      <c r="L192">
        <v>44</v>
      </c>
      <c r="M192">
        <v>5</v>
      </c>
      <c r="N192">
        <v>0</v>
      </c>
      <c r="O192" t="s">
        <v>25</v>
      </c>
      <c r="P192" t="s">
        <v>35</v>
      </c>
      <c r="Q192">
        <v>4.4000000000000004</v>
      </c>
      <c r="R192">
        <v>29</v>
      </c>
      <c r="S192" t="s">
        <v>27</v>
      </c>
    </row>
    <row r="193" spans="1:19" x14ac:dyDescent="0.3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 t="str">
        <f t="shared" si="2"/>
        <v>31-60 days</v>
      </c>
      <c r="L193">
        <v>55</v>
      </c>
      <c r="M193">
        <v>4</v>
      </c>
      <c r="N193">
        <v>2</v>
      </c>
      <c r="O193" t="s">
        <v>25</v>
      </c>
      <c r="P193" t="s">
        <v>26</v>
      </c>
      <c r="Q193">
        <v>9.6999999999999993</v>
      </c>
      <c r="S193" t="s">
        <v>27</v>
      </c>
    </row>
    <row r="194" spans="1:19" x14ac:dyDescent="0.3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 t="str">
        <f t="shared" si="2"/>
        <v>15-30 days</v>
      </c>
      <c r="L194">
        <v>30</v>
      </c>
      <c r="M194">
        <v>3</v>
      </c>
      <c r="N194">
        <v>0</v>
      </c>
      <c r="O194" t="s">
        <v>54</v>
      </c>
      <c r="P194" t="s">
        <v>55</v>
      </c>
      <c r="Q194">
        <v>5.3</v>
      </c>
      <c r="R194">
        <v>8</v>
      </c>
      <c r="S194" t="s">
        <v>36</v>
      </c>
    </row>
    <row r="195" spans="1:19" x14ac:dyDescent="0.3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 t="str">
        <f t="shared" ref="K195:K258" si="3">IF(L195&lt;=7,"0-7 days",IF(L195&lt;=14,"8-14 days",IF(L195&lt;=30,"15-30 days","31-60 days")))</f>
        <v>0-7 days</v>
      </c>
      <c r="L195">
        <v>5</v>
      </c>
      <c r="M195">
        <v>0</v>
      </c>
      <c r="N195">
        <v>0</v>
      </c>
      <c r="O195" t="s">
        <v>25</v>
      </c>
      <c r="P195" t="s">
        <v>35</v>
      </c>
      <c r="Q195">
        <v>20.100000000000001</v>
      </c>
      <c r="R195">
        <v>8</v>
      </c>
      <c r="S195" t="s">
        <v>36</v>
      </c>
    </row>
    <row r="196" spans="1:19" x14ac:dyDescent="0.3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 t="str">
        <f t="shared" si="3"/>
        <v>15-30 days</v>
      </c>
      <c r="L196">
        <v>22</v>
      </c>
      <c r="M196">
        <v>1</v>
      </c>
      <c r="N196">
        <v>0</v>
      </c>
      <c r="O196" t="s">
        <v>54</v>
      </c>
      <c r="P196" t="s">
        <v>55</v>
      </c>
      <c r="Q196">
        <v>4.0999999999999996</v>
      </c>
      <c r="R196">
        <v>24</v>
      </c>
      <c r="S196" t="s">
        <v>71</v>
      </c>
    </row>
    <row r="197" spans="1:19" x14ac:dyDescent="0.3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 t="str">
        <f t="shared" si="3"/>
        <v>15-30 days</v>
      </c>
      <c r="L197">
        <v>24</v>
      </c>
      <c r="M197">
        <v>1</v>
      </c>
      <c r="N197">
        <v>1</v>
      </c>
      <c r="O197" t="s">
        <v>25</v>
      </c>
      <c r="P197" t="s">
        <v>50</v>
      </c>
      <c r="Q197">
        <v>1.5</v>
      </c>
      <c r="R197">
        <v>25</v>
      </c>
      <c r="S197" t="s">
        <v>36</v>
      </c>
    </row>
    <row r="198" spans="1:19" x14ac:dyDescent="0.3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 t="str">
        <f t="shared" si="3"/>
        <v>31-60 days</v>
      </c>
      <c r="L198">
        <v>57</v>
      </c>
      <c r="M198">
        <v>3</v>
      </c>
      <c r="N198">
        <v>1</v>
      </c>
      <c r="O198" t="s">
        <v>25</v>
      </c>
      <c r="P198" t="s">
        <v>26</v>
      </c>
      <c r="Q198">
        <v>2.8</v>
      </c>
      <c r="R198">
        <v>13</v>
      </c>
      <c r="S198" t="s">
        <v>27</v>
      </c>
    </row>
    <row r="199" spans="1:19" x14ac:dyDescent="0.3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 t="str">
        <f t="shared" si="3"/>
        <v>31-60 days</v>
      </c>
      <c r="L199">
        <v>57</v>
      </c>
      <c r="M199">
        <v>3</v>
      </c>
      <c r="N199">
        <v>1</v>
      </c>
      <c r="O199" t="s">
        <v>25</v>
      </c>
      <c r="P199" t="s">
        <v>50</v>
      </c>
      <c r="Q199">
        <v>18.5</v>
      </c>
      <c r="R199">
        <v>30</v>
      </c>
      <c r="S199" t="s">
        <v>36</v>
      </c>
    </row>
    <row r="200" spans="1:19" x14ac:dyDescent="0.3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 t="str">
        <f t="shared" si="3"/>
        <v>31-60 days</v>
      </c>
      <c r="L200">
        <v>34</v>
      </c>
      <c r="M200">
        <v>4</v>
      </c>
      <c r="N200">
        <v>2</v>
      </c>
      <c r="O200" t="s">
        <v>25</v>
      </c>
      <c r="P200" t="s">
        <v>26</v>
      </c>
      <c r="Q200">
        <v>4.2</v>
      </c>
      <c r="R200">
        <v>10</v>
      </c>
      <c r="S200" t="s">
        <v>36</v>
      </c>
    </row>
    <row r="201" spans="1:19" x14ac:dyDescent="0.3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 t="str">
        <f t="shared" si="3"/>
        <v>31-60 days</v>
      </c>
      <c r="L201">
        <v>57</v>
      </c>
      <c r="M201">
        <v>3</v>
      </c>
      <c r="N201">
        <v>1</v>
      </c>
      <c r="O201" t="s">
        <v>25</v>
      </c>
      <c r="P201" t="s">
        <v>26</v>
      </c>
      <c r="Q201">
        <v>13.7</v>
      </c>
      <c r="R201">
        <v>21</v>
      </c>
      <c r="S201" t="s">
        <v>27</v>
      </c>
    </row>
    <row r="202" spans="1:19" x14ac:dyDescent="0.3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 t="str">
        <f t="shared" si="3"/>
        <v>15-30 days</v>
      </c>
      <c r="L202">
        <v>26</v>
      </c>
      <c r="M202">
        <v>3</v>
      </c>
      <c r="N202">
        <v>1</v>
      </c>
      <c r="O202" t="s">
        <v>54</v>
      </c>
      <c r="P202" t="s">
        <v>55</v>
      </c>
      <c r="Q202">
        <v>9.6</v>
      </c>
      <c r="R202">
        <v>24</v>
      </c>
      <c r="S202" t="s">
        <v>27</v>
      </c>
    </row>
    <row r="203" spans="1:19" x14ac:dyDescent="0.3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 t="str">
        <f t="shared" si="3"/>
        <v>15-30 days</v>
      </c>
      <c r="L203">
        <v>25</v>
      </c>
      <c r="M203">
        <v>3</v>
      </c>
      <c r="N203">
        <v>0</v>
      </c>
      <c r="O203" t="s">
        <v>25</v>
      </c>
      <c r="P203" t="s">
        <v>35</v>
      </c>
      <c r="Q203">
        <v>16.8</v>
      </c>
      <c r="R203">
        <v>30</v>
      </c>
      <c r="S203" t="s">
        <v>36</v>
      </c>
    </row>
    <row r="204" spans="1:19" x14ac:dyDescent="0.3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 t="str">
        <f t="shared" si="3"/>
        <v>31-60 days</v>
      </c>
      <c r="L204">
        <v>51</v>
      </c>
      <c r="M204">
        <v>2</v>
      </c>
      <c r="N204">
        <v>0</v>
      </c>
      <c r="O204" t="s">
        <v>25</v>
      </c>
      <c r="P204" t="s">
        <v>35</v>
      </c>
      <c r="Q204">
        <v>21.6</v>
      </c>
      <c r="R204">
        <v>18</v>
      </c>
      <c r="S204" t="s">
        <v>36</v>
      </c>
    </row>
    <row r="205" spans="1:19" x14ac:dyDescent="0.3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 t="str">
        <f t="shared" si="3"/>
        <v>31-60 days</v>
      </c>
      <c r="L205">
        <v>40</v>
      </c>
      <c r="M205">
        <v>2</v>
      </c>
      <c r="N205">
        <v>0</v>
      </c>
      <c r="O205" t="s">
        <v>25</v>
      </c>
      <c r="P205" t="s">
        <v>35</v>
      </c>
      <c r="Q205">
        <v>10.1</v>
      </c>
      <c r="R205">
        <v>37</v>
      </c>
      <c r="S205" t="s">
        <v>27</v>
      </c>
    </row>
    <row r="206" spans="1:19" x14ac:dyDescent="0.3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 t="str">
        <f t="shared" si="3"/>
        <v>31-60 days</v>
      </c>
      <c r="L206">
        <v>31</v>
      </c>
      <c r="M206">
        <v>0</v>
      </c>
      <c r="N206">
        <v>0</v>
      </c>
      <c r="O206" t="s">
        <v>25</v>
      </c>
      <c r="P206" t="s">
        <v>26</v>
      </c>
      <c r="Q206">
        <v>10.3</v>
      </c>
      <c r="R206">
        <v>42</v>
      </c>
      <c r="S206" t="s">
        <v>36</v>
      </c>
    </row>
    <row r="207" spans="1:19" x14ac:dyDescent="0.3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 t="str">
        <f t="shared" si="3"/>
        <v>15-30 days</v>
      </c>
      <c r="L207">
        <v>27</v>
      </c>
      <c r="M207">
        <v>4</v>
      </c>
      <c r="N207">
        <v>0</v>
      </c>
      <c r="O207" t="s">
        <v>54</v>
      </c>
      <c r="P207" t="s">
        <v>55</v>
      </c>
      <c r="Q207">
        <v>0.9</v>
      </c>
      <c r="R207">
        <v>41</v>
      </c>
      <c r="S207" t="s">
        <v>36</v>
      </c>
    </row>
    <row r="208" spans="1:19" x14ac:dyDescent="0.3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 t="str">
        <f t="shared" si="3"/>
        <v>31-60 days</v>
      </c>
      <c r="L208">
        <v>43</v>
      </c>
      <c r="M208">
        <v>2</v>
      </c>
      <c r="N208">
        <v>0</v>
      </c>
      <c r="O208" t="s">
        <v>25</v>
      </c>
      <c r="P208" t="s">
        <v>35</v>
      </c>
      <c r="Q208">
        <v>9</v>
      </c>
      <c r="R208">
        <v>44</v>
      </c>
      <c r="S208" t="s">
        <v>36</v>
      </c>
    </row>
    <row r="209" spans="1:19" x14ac:dyDescent="0.3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 t="str">
        <f t="shared" si="3"/>
        <v>31-60 days</v>
      </c>
      <c r="L209">
        <v>45</v>
      </c>
      <c r="M209">
        <v>4</v>
      </c>
      <c r="N209">
        <v>0</v>
      </c>
      <c r="O209" t="s">
        <v>25</v>
      </c>
      <c r="P209" t="s">
        <v>26</v>
      </c>
      <c r="Q209">
        <v>6</v>
      </c>
      <c r="R209">
        <v>36</v>
      </c>
      <c r="S209" t="s">
        <v>27</v>
      </c>
    </row>
    <row r="210" spans="1:19" x14ac:dyDescent="0.3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 t="str">
        <f t="shared" si="3"/>
        <v>15-30 days</v>
      </c>
      <c r="L210">
        <v>29</v>
      </c>
      <c r="M210">
        <v>1</v>
      </c>
      <c r="N210">
        <v>0</v>
      </c>
      <c r="O210" t="s">
        <v>25</v>
      </c>
      <c r="P210" t="s">
        <v>35</v>
      </c>
      <c r="Q210">
        <v>12.6</v>
      </c>
      <c r="R210">
        <v>31</v>
      </c>
      <c r="S210" t="s">
        <v>36</v>
      </c>
    </row>
    <row r="211" spans="1:19" x14ac:dyDescent="0.3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 t="str">
        <f t="shared" si="3"/>
        <v>0-7 days</v>
      </c>
      <c r="L211">
        <v>1</v>
      </c>
      <c r="M211">
        <v>3</v>
      </c>
      <c r="N211">
        <v>1</v>
      </c>
      <c r="O211" t="s">
        <v>25</v>
      </c>
      <c r="P211" t="s">
        <v>50</v>
      </c>
      <c r="Q211">
        <v>13.7</v>
      </c>
      <c r="R211">
        <v>16</v>
      </c>
      <c r="S211" t="s">
        <v>36</v>
      </c>
    </row>
    <row r="212" spans="1:19" x14ac:dyDescent="0.3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 t="str">
        <f t="shared" si="3"/>
        <v>0-7 days</v>
      </c>
      <c r="L212">
        <v>6</v>
      </c>
      <c r="M212">
        <v>2</v>
      </c>
      <c r="N212">
        <v>0</v>
      </c>
      <c r="O212" t="s">
        <v>25</v>
      </c>
      <c r="P212" t="s">
        <v>26</v>
      </c>
      <c r="Q212">
        <v>3.1</v>
      </c>
      <c r="R212">
        <v>18</v>
      </c>
      <c r="S212" t="s">
        <v>36</v>
      </c>
    </row>
    <row r="213" spans="1:19" x14ac:dyDescent="0.3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 t="str">
        <f t="shared" si="3"/>
        <v>8-14 days</v>
      </c>
      <c r="L213">
        <v>8</v>
      </c>
      <c r="M213">
        <v>3</v>
      </c>
      <c r="N213">
        <v>1</v>
      </c>
      <c r="O213" t="s">
        <v>25</v>
      </c>
      <c r="P213" t="s">
        <v>26</v>
      </c>
      <c r="Q213">
        <v>7.6</v>
      </c>
      <c r="R213">
        <v>34</v>
      </c>
      <c r="S213" t="s">
        <v>36</v>
      </c>
    </row>
    <row r="214" spans="1:19" x14ac:dyDescent="0.3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 t="str">
        <f t="shared" si="3"/>
        <v>15-30 days</v>
      </c>
      <c r="L214">
        <v>28</v>
      </c>
      <c r="M214">
        <v>2</v>
      </c>
      <c r="N214">
        <v>1</v>
      </c>
      <c r="O214" t="s">
        <v>54</v>
      </c>
      <c r="P214" t="s">
        <v>55</v>
      </c>
      <c r="Q214">
        <v>19.3</v>
      </c>
      <c r="R214">
        <v>4</v>
      </c>
      <c r="S214" t="s">
        <v>36</v>
      </c>
    </row>
    <row r="215" spans="1:19" x14ac:dyDescent="0.3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 t="str">
        <f t="shared" si="3"/>
        <v>31-60 days</v>
      </c>
      <c r="L215">
        <v>37</v>
      </c>
      <c r="M215">
        <v>1</v>
      </c>
      <c r="N215">
        <v>0</v>
      </c>
      <c r="O215" t="s">
        <v>25</v>
      </c>
      <c r="P215" t="s">
        <v>35</v>
      </c>
      <c r="Q215">
        <v>13.8</v>
      </c>
      <c r="R215">
        <v>39</v>
      </c>
      <c r="S215" t="s">
        <v>27</v>
      </c>
    </row>
    <row r="216" spans="1:19" x14ac:dyDescent="0.3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 t="str">
        <f t="shared" si="3"/>
        <v>31-60 days</v>
      </c>
      <c r="L216">
        <v>49</v>
      </c>
      <c r="M216">
        <v>1</v>
      </c>
      <c r="N216">
        <v>0</v>
      </c>
      <c r="O216" t="s">
        <v>25</v>
      </c>
      <c r="P216" t="s">
        <v>35</v>
      </c>
      <c r="Q216">
        <v>11</v>
      </c>
      <c r="R216">
        <v>17</v>
      </c>
      <c r="S216" t="s">
        <v>36</v>
      </c>
    </row>
    <row r="217" spans="1:19" x14ac:dyDescent="0.3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 t="str">
        <f t="shared" si="3"/>
        <v>8-14 days</v>
      </c>
      <c r="L217">
        <v>14</v>
      </c>
      <c r="M217">
        <v>4</v>
      </c>
      <c r="N217">
        <v>2</v>
      </c>
      <c r="O217" t="s">
        <v>25</v>
      </c>
      <c r="P217" t="s">
        <v>35</v>
      </c>
      <c r="Q217">
        <v>12.1</v>
      </c>
      <c r="R217">
        <v>18</v>
      </c>
      <c r="S217" t="s">
        <v>27</v>
      </c>
    </row>
    <row r="218" spans="1:19" x14ac:dyDescent="0.3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 t="str">
        <f t="shared" si="3"/>
        <v>31-60 days</v>
      </c>
      <c r="L218">
        <v>47</v>
      </c>
      <c r="M218">
        <v>8</v>
      </c>
      <c r="N218">
        <v>1</v>
      </c>
      <c r="O218" t="s">
        <v>25</v>
      </c>
      <c r="P218" t="s">
        <v>35</v>
      </c>
      <c r="Q218">
        <v>0.8</v>
      </c>
      <c r="R218">
        <v>33</v>
      </c>
      <c r="S218" t="s">
        <v>27</v>
      </c>
    </row>
    <row r="219" spans="1:19" x14ac:dyDescent="0.3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 t="str">
        <f t="shared" si="3"/>
        <v>31-60 days</v>
      </c>
      <c r="L219">
        <v>40</v>
      </c>
      <c r="M219">
        <v>2</v>
      </c>
      <c r="N219">
        <v>0</v>
      </c>
      <c r="O219" t="s">
        <v>25</v>
      </c>
      <c r="P219" t="s">
        <v>26</v>
      </c>
      <c r="Q219">
        <v>8.6</v>
      </c>
      <c r="R219">
        <v>27</v>
      </c>
      <c r="S219" t="s">
        <v>36</v>
      </c>
    </row>
    <row r="220" spans="1:19" x14ac:dyDescent="0.3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 t="str">
        <f t="shared" si="3"/>
        <v>0-7 days</v>
      </c>
      <c r="L220">
        <v>3</v>
      </c>
      <c r="M220">
        <v>4</v>
      </c>
      <c r="N220">
        <v>0</v>
      </c>
      <c r="O220" t="s">
        <v>25</v>
      </c>
      <c r="P220" t="s">
        <v>50</v>
      </c>
      <c r="Q220">
        <v>5.2</v>
      </c>
      <c r="R220">
        <v>19</v>
      </c>
      <c r="S220" t="s">
        <v>36</v>
      </c>
    </row>
    <row r="221" spans="1:19" x14ac:dyDescent="0.3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 t="str">
        <f t="shared" si="3"/>
        <v>15-30 days</v>
      </c>
      <c r="L221">
        <v>21</v>
      </c>
      <c r="M221">
        <v>4</v>
      </c>
      <c r="N221">
        <v>0</v>
      </c>
      <c r="O221" t="s">
        <v>25</v>
      </c>
      <c r="P221" t="s">
        <v>26</v>
      </c>
      <c r="Q221">
        <v>21.5</v>
      </c>
      <c r="R221">
        <v>14</v>
      </c>
      <c r="S221" t="s">
        <v>36</v>
      </c>
    </row>
    <row r="222" spans="1:19" x14ac:dyDescent="0.3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 t="str">
        <f t="shared" si="3"/>
        <v>15-30 days</v>
      </c>
      <c r="L222">
        <v>18</v>
      </c>
      <c r="M222">
        <v>0</v>
      </c>
      <c r="N222">
        <v>0</v>
      </c>
      <c r="O222" t="s">
        <v>25</v>
      </c>
      <c r="P222" t="s">
        <v>26</v>
      </c>
      <c r="Q222">
        <v>30</v>
      </c>
      <c r="R222">
        <v>7</v>
      </c>
      <c r="S222" t="s">
        <v>27</v>
      </c>
    </row>
    <row r="223" spans="1:19" x14ac:dyDescent="0.3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 t="str">
        <f t="shared" si="3"/>
        <v>31-60 days</v>
      </c>
      <c r="L223">
        <v>54</v>
      </c>
      <c r="M223">
        <v>1</v>
      </c>
      <c r="N223">
        <v>0</v>
      </c>
      <c r="O223" t="s">
        <v>25</v>
      </c>
      <c r="P223" t="s">
        <v>50</v>
      </c>
      <c r="Q223">
        <v>5.2</v>
      </c>
      <c r="R223">
        <v>2</v>
      </c>
      <c r="S223" t="s">
        <v>36</v>
      </c>
    </row>
    <row r="224" spans="1:19" x14ac:dyDescent="0.3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 t="str">
        <f t="shared" si="3"/>
        <v>31-60 days</v>
      </c>
      <c r="L224">
        <v>56</v>
      </c>
      <c r="M224">
        <v>4</v>
      </c>
      <c r="N224">
        <v>1</v>
      </c>
      <c r="O224" t="s">
        <v>54</v>
      </c>
      <c r="P224" t="s">
        <v>55</v>
      </c>
      <c r="Q224">
        <v>23.3</v>
      </c>
      <c r="R224">
        <v>40</v>
      </c>
      <c r="S224" t="s">
        <v>27</v>
      </c>
    </row>
    <row r="225" spans="1:19" x14ac:dyDescent="0.3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 t="str">
        <f t="shared" si="3"/>
        <v>31-60 days</v>
      </c>
      <c r="L225">
        <v>49</v>
      </c>
      <c r="M225">
        <v>2</v>
      </c>
      <c r="N225">
        <v>0</v>
      </c>
      <c r="O225" t="s">
        <v>25</v>
      </c>
      <c r="P225" t="s">
        <v>35</v>
      </c>
      <c r="Q225">
        <v>13.2</v>
      </c>
      <c r="R225">
        <v>22</v>
      </c>
      <c r="S225" t="s">
        <v>71</v>
      </c>
    </row>
    <row r="226" spans="1:19" x14ac:dyDescent="0.3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 t="str">
        <f t="shared" si="3"/>
        <v>31-60 days</v>
      </c>
      <c r="L226">
        <v>32</v>
      </c>
      <c r="M226">
        <v>3</v>
      </c>
      <c r="N226">
        <v>0</v>
      </c>
      <c r="O226" t="s">
        <v>25</v>
      </c>
      <c r="P226" t="s">
        <v>35</v>
      </c>
      <c r="Q226">
        <v>0.8</v>
      </c>
      <c r="R226">
        <v>14</v>
      </c>
      <c r="S226" t="s">
        <v>36</v>
      </c>
    </row>
    <row r="227" spans="1:19" x14ac:dyDescent="0.3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 t="str">
        <f t="shared" si="3"/>
        <v>15-30 days</v>
      </c>
      <c r="L227">
        <v>30</v>
      </c>
      <c r="M227">
        <v>3</v>
      </c>
      <c r="N227">
        <v>0</v>
      </c>
      <c r="O227" t="s">
        <v>25</v>
      </c>
      <c r="P227" t="s">
        <v>35</v>
      </c>
      <c r="Q227">
        <v>19.600000000000001</v>
      </c>
      <c r="R227">
        <v>32</v>
      </c>
      <c r="S227" t="s">
        <v>36</v>
      </c>
    </row>
    <row r="228" spans="1:19" x14ac:dyDescent="0.3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 t="str">
        <f t="shared" si="3"/>
        <v>15-30 days</v>
      </c>
      <c r="L228">
        <v>19</v>
      </c>
      <c r="M228">
        <v>0</v>
      </c>
      <c r="N228">
        <v>0</v>
      </c>
      <c r="O228" t="s">
        <v>54</v>
      </c>
      <c r="P228" t="s">
        <v>55</v>
      </c>
      <c r="Q228">
        <v>16.600000000000001</v>
      </c>
      <c r="R228">
        <v>15</v>
      </c>
      <c r="S228" t="s">
        <v>36</v>
      </c>
    </row>
    <row r="229" spans="1:19" x14ac:dyDescent="0.3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 t="str">
        <f t="shared" si="3"/>
        <v>31-60 days</v>
      </c>
      <c r="L229">
        <v>47</v>
      </c>
      <c r="M229">
        <v>4</v>
      </c>
      <c r="N229">
        <v>0</v>
      </c>
      <c r="O229" t="s">
        <v>25</v>
      </c>
      <c r="P229" t="s">
        <v>26</v>
      </c>
      <c r="Q229">
        <v>8.6</v>
      </c>
      <c r="R229">
        <v>16</v>
      </c>
      <c r="S229" t="s">
        <v>36</v>
      </c>
    </row>
    <row r="230" spans="1:19" x14ac:dyDescent="0.3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 t="str">
        <f t="shared" si="3"/>
        <v>0-7 days</v>
      </c>
      <c r="L230">
        <v>5</v>
      </c>
      <c r="M230">
        <v>7</v>
      </c>
      <c r="N230">
        <v>0</v>
      </c>
      <c r="O230" t="s">
        <v>25</v>
      </c>
      <c r="P230" t="s">
        <v>26</v>
      </c>
      <c r="Q230">
        <v>13.2</v>
      </c>
      <c r="R230">
        <v>37</v>
      </c>
      <c r="S230" t="s">
        <v>36</v>
      </c>
    </row>
    <row r="231" spans="1:19" x14ac:dyDescent="0.3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 t="str">
        <f t="shared" si="3"/>
        <v>15-30 days</v>
      </c>
      <c r="L231">
        <v>16</v>
      </c>
      <c r="M231">
        <v>0</v>
      </c>
      <c r="N231">
        <v>0</v>
      </c>
      <c r="O231" t="s">
        <v>25</v>
      </c>
      <c r="P231" t="s">
        <v>35</v>
      </c>
      <c r="Q231">
        <v>14.2</v>
      </c>
      <c r="R231">
        <v>32</v>
      </c>
      <c r="S231" t="s">
        <v>27</v>
      </c>
    </row>
    <row r="232" spans="1:19" x14ac:dyDescent="0.3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 t="str">
        <f t="shared" si="3"/>
        <v>8-14 days</v>
      </c>
      <c r="L232">
        <v>8</v>
      </c>
      <c r="M232">
        <v>3</v>
      </c>
      <c r="N232">
        <v>0</v>
      </c>
      <c r="O232" t="s">
        <v>25</v>
      </c>
      <c r="P232" t="s">
        <v>26</v>
      </c>
      <c r="Q232">
        <v>21.4</v>
      </c>
      <c r="R232">
        <v>26</v>
      </c>
      <c r="S232" t="s">
        <v>36</v>
      </c>
    </row>
    <row r="233" spans="1:19" x14ac:dyDescent="0.3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 t="str">
        <f t="shared" si="3"/>
        <v>15-30 days</v>
      </c>
      <c r="L233">
        <v>30</v>
      </c>
      <c r="M233">
        <v>0</v>
      </c>
      <c r="N233">
        <v>0</v>
      </c>
      <c r="O233" t="s">
        <v>25</v>
      </c>
      <c r="P233" t="s">
        <v>26</v>
      </c>
      <c r="Q233">
        <v>21.7</v>
      </c>
      <c r="R233">
        <v>18</v>
      </c>
      <c r="S233" t="s">
        <v>36</v>
      </c>
    </row>
    <row r="234" spans="1:19" x14ac:dyDescent="0.3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 t="str">
        <f t="shared" si="3"/>
        <v>15-30 days</v>
      </c>
      <c r="L234">
        <v>18</v>
      </c>
      <c r="M234">
        <v>4</v>
      </c>
      <c r="N234">
        <v>1</v>
      </c>
      <c r="O234" t="s">
        <v>54</v>
      </c>
      <c r="P234" t="s">
        <v>55</v>
      </c>
      <c r="Q234">
        <v>6.4</v>
      </c>
      <c r="R234">
        <v>27</v>
      </c>
      <c r="S234" t="s">
        <v>27</v>
      </c>
    </row>
    <row r="235" spans="1:19" x14ac:dyDescent="0.3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 t="str">
        <f t="shared" si="3"/>
        <v>8-14 days</v>
      </c>
      <c r="L235">
        <v>12</v>
      </c>
      <c r="M235">
        <v>0</v>
      </c>
      <c r="N235">
        <v>0</v>
      </c>
      <c r="O235" t="s">
        <v>54</v>
      </c>
      <c r="P235" t="s">
        <v>55</v>
      </c>
      <c r="Q235">
        <v>4.8</v>
      </c>
      <c r="R235">
        <v>30</v>
      </c>
      <c r="S235" t="s">
        <v>36</v>
      </c>
    </row>
    <row r="236" spans="1:19" x14ac:dyDescent="0.3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 t="str">
        <f t="shared" si="3"/>
        <v>15-30 days</v>
      </c>
      <c r="L236">
        <v>22</v>
      </c>
      <c r="M236">
        <v>1</v>
      </c>
      <c r="N236">
        <v>0</v>
      </c>
      <c r="O236" t="s">
        <v>54</v>
      </c>
      <c r="P236" t="s">
        <v>55</v>
      </c>
      <c r="Q236">
        <v>5.2</v>
      </c>
      <c r="R236">
        <v>27</v>
      </c>
      <c r="S236" t="s">
        <v>36</v>
      </c>
    </row>
    <row r="237" spans="1:19" x14ac:dyDescent="0.3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 t="str">
        <f t="shared" si="3"/>
        <v>31-60 days</v>
      </c>
      <c r="L237">
        <v>52</v>
      </c>
      <c r="M237">
        <v>3</v>
      </c>
      <c r="N237">
        <v>1</v>
      </c>
      <c r="O237" t="s">
        <v>54</v>
      </c>
      <c r="P237" t="s">
        <v>55</v>
      </c>
      <c r="Q237">
        <v>4.7</v>
      </c>
      <c r="R237">
        <v>37</v>
      </c>
      <c r="S237" t="s">
        <v>27</v>
      </c>
    </row>
    <row r="238" spans="1:19" x14ac:dyDescent="0.3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 t="str">
        <f t="shared" si="3"/>
        <v>31-60 days</v>
      </c>
      <c r="L238">
        <v>34</v>
      </c>
      <c r="M238">
        <v>2</v>
      </c>
      <c r="N238">
        <v>0</v>
      </c>
      <c r="O238" t="s">
        <v>25</v>
      </c>
      <c r="P238" t="s">
        <v>26</v>
      </c>
      <c r="Q238">
        <v>6.6</v>
      </c>
      <c r="R238">
        <v>13</v>
      </c>
      <c r="S238" t="s">
        <v>36</v>
      </c>
    </row>
    <row r="239" spans="1:19" x14ac:dyDescent="0.3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 t="str">
        <f t="shared" si="3"/>
        <v>31-60 days</v>
      </c>
      <c r="L239">
        <v>50</v>
      </c>
      <c r="M239">
        <v>3</v>
      </c>
      <c r="N239">
        <v>0</v>
      </c>
      <c r="O239" t="s">
        <v>54</v>
      </c>
      <c r="P239" t="s">
        <v>55</v>
      </c>
      <c r="Q239">
        <v>6.8</v>
      </c>
      <c r="R239">
        <v>21</v>
      </c>
      <c r="S239" t="s">
        <v>71</v>
      </c>
    </row>
    <row r="240" spans="1:19" x14ac:dyDescent="0.3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 t="str">
        <f t="shared" si="3"/>
        <v>31-60 days</v>
      </c>
      <c r="L240">
        <v>55</v>
      </c>
      <c r="M240">
        <v>3</v>
      </c>
      <c r="N240">
        <v>1</v>
      </c>
      <c r="O240" t="s">
        <v>54</v>
      </c>
      <c r="P240" t="s">
        <v>55</v>
      </c>
      <c r="Q240">
        <v>4.4000000000000004</v>
      </c>
      <c r="R240">
        <v>30</v>
      </c>
      <c r="S240" t="s">
        <v>27</v>
      </c>
    </row>
    <row r="241" spans="1:19" x14ac:dyDescent="0.3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 t="str">
        <f t="shared" si="3"/>
        <v>31-60 days</v>
      </c>
      <c r="L241">
        <v>55</v>
      </c>
      <c r="M241">
        <v>2</v>
      </c>
      <c r="N241">
        <v>0</v>
      </c>
      <c r="O241" t="s">
        <v>25</v>
      </c>
      <c r="P241" t="s">
        <v>35</v>
      </c>
      <c r="Q241">
        <v>7.6</v>
      </c>
      <c r="R241">
        <v>18</v>
      </c>
      <c r="S241" t="s">
        <v>27</v>
      </c>
    </row>
    <row r="242" spans="1:19" x14ac:dyDescent="0.3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 t="str">
        <f t="shared" si="3"/>
        <v>15-30 days</v>
      </c>
      <c r="L242">
        <v>21</v>
      </c>
      <c r="M242">
        <v>3</v>
      </c>
      <c r="N242">
        <v>2</v>
      </c>
      <c r="O242" t="s">
        <v>54</v>
      </c>
      <c r="P242" t="s">
        <v>55</v>
      </c>
      <c r="Q242">
        <v>19.5</v>
      </c>
      <c r="R242">
        <v>34</v>
      </c>
      <c r="S242" t="s">
        <v>27</v>
      </c>
    </row>
    <row r="243" spans="1:19" x14ac:dyDescent="0.3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 t="str">
        <f t="shared" si="3"/>
        <v>31-60 days</v>
      </c>
      <c r="L243">
        <v>53</v>
      </c>
      <c r="M243">
        <v>0</v>
      </c>
      <c r="N243">
        <v>0</v>
      </c>
      <c r="O243" t="s">
        <v>54</v>
      </c>
      <c r="P243" t="s">
        <v>55</v>
      </c>
      <c r="Q243">
        <v>9</v>
      </c>
      <c r="R243">
        <v>39</v>
      </c>
      <c r="S243" t="s">
        <v>27</v>
      </c>
    </row>
    <row r="244" spans="1:19" x14ac:dyDescent="0.3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 t="str">
        <f t="shared" si="3"/>
        <v>31-60 days</v>
      </c>
      <c r="L244">
        <v>55</v>
      </c>
      <c r="M244">
        <v>3</v>
      </c>
      <c r="N244">
        <v>0</v>
      </c>
      <c r="O244" t="s">
        <v>25</v>
      </c>
      <c r="P244" t="s">
        <v>35</v>
      </c>
      <c r="Q244">
        <v>3.1</v>
      </c>
      <c r="R244">
        <v>25</v>
      </c>
      <c r="S244" t="s">
        <v>36</v>
      </c>
    </row>
    <row r="245" spans="1:19" x14ac:dyDescent="0.3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 t="str">
        <f t="shared" si="3"/>
        <v>31-60 days</v>
      </c>
      <c r="L245">
        <v>58</v>
      </c>
      <c r="M245">
        <v>3</v>
      </c>
      <c r="N245">
        <v>1</v>
      </c>
      <c r="O245" t="s">
        <v>25</v>
      </c>
      <c r="P245" t="s">
        <v>35</v>
      </c>
      <c r="Q245">
        <v>5.4</v>
      </c>
      <c r="R245">
        <v>28</v>
      </c>
      <c r="S245" t="s">
        <v>27</v>
      </c>
    </row>
    <row r="246" spans="1:19" x14ac:dyDescent="0.3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 t="str">
        <f t="shared" si="3"/>
        <v>15-30 days</v>
      </c>
      <c r="L246">
        <v>21</v>
      </c>
      <c r="M246">
        <v>5</v>
      </c>
      <c r="N246">
        <v>2</v>
      </c>
      <c r="O246" t="s">
        <v>25</v>
      </c>
      <c r="P246" t="s">
        <v>26</v>
      </c>
      <c r="Q246">
        <v>25.1</v>
      </c>
      <c r="R246">
        <v>22</v>
      </c>
      <c r="S246" t="s">
        <v>36</v>
      </c>
    </row>
    <row r="247" spans="1:19" x14ac:dyDescent="0.3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 t="str">
        <f t="shared" si="3"/>
        <v>8-14 days</v>
      </c>
      <c r="L247">
        <v>13</v>
      </c>
      <c r="M247">
        <v>4</v>
      </c>
      <c r="N247">
        <v>1</v>
      </c>
      <c r="O247" t="s">
        <v>25</v>
      </c>
      <c r="P247" t="s">
        <v>35</v>
      </c>
      <c r="Q247">
        <v>18.899999999999999</v>
      </c>
      <c r="R247">
        <v>21</v>
      </c>
      <c r="S247" t="s">
        <v>36</v>
      </c>
    </row>
    <row r="248" spans="1:19" x14ac:dyDescent="0.3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 t="str">
        <f t="shared" si="3"/>
        <v>31-60 days</v>
      </c>
      <c r="L248">
        <v>35</v>
      </c>
      <c r="M248">
        <v>3</v>
      </c>
      <c r="N248">
        <v>1</v>
      </c>
      <c r="O248" t="s">
        <v>25</v>
      </c>
      <c r="P248" t="s">
        <v>35</v>
      </c>
      <c r="Q248">
        <v>4.4000000000000004</v>
      </c>
      <c r="R248">
        <v>38</v>
      </c>
      <c r="S248" t="s">
        <v>27</v>
      </c>
    </row>
    <row r="249" spans="1:19" x14ac:dyDescent="0.3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 t="str">
        <f t="shared" si="3"/>
        <v>31-60 days</v>
      </c>
      <c r="L249">
        <v>56</v>
      </c>
      <c r="M249">
        <v>1</v>
      </c>
      <c r="N249">
        <v>0</v>
      </c>
      <c r="O249" t="s">
        <v>25</v>
      </c>
      <c r="P249" t="s">
        <v>26</v>
      </c>
      <c r="Q249">
        <v>21.5</v>
      </c>
      <c r="R249">
        <v>15</v>
      </c>
      <c r="S249" t="s">
        <v>27</v>
      </c>
    </row>
    <row r="250" spans="1:19" x14ac:dyDescent="0.3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 t="str">
        <f t="shared" si="3"/>
        <v>31-60 days</v>
      </c>
      <c r="L250">
        <v>54</v>
      </c>
      <c r="M250">
        <v>2</v>
      </c>
      <c r="N250">
        <v>0</v>
      </c>
      <c r="O250" t="s">
        <v>25</v>
      </c>
      <c r="P250" t="s">
        <v>26</v>
      </c>
      <c r="Q250">
        <v>14.5</v>
      </c>
      <c r="R250">
        <v>33</v>
      </c>
      <c r="S250" t="s">
        <v>36</v>
      </c>
    </row>
    <row r="251" spans="1:19" x14ac:dyDescent="0.3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 t="str">
        <f t="shared" si="3"/>
        <v>31-60 days</v>
      </c>
      <c r="L251">
        <v>34</v>
      </c>
      <c r="M251">
        <v>5</v>
      </c>
      <c r="N251">
        <v>1</v>
      </c>
      <c r="O251" t="s">
        <v>25</v>
      </c>
      <c r="P251" t="s">
        <v>26</v>
      </c>
      <c r="Q251">
        <v>23.7</v>
      </c>
      <c r="R251">
        <v>19</v>
      </c>
      <c r="S251" t="s">
        <v>27</v>
      </c>
    </row>
    <row r="252" spans="1:19" x14ac:dyDescent="0.3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 t="str">
        <f t="shared" si="3"/>
        <v>8-14 days</v>
      </c>
      <c r="L252">
        <v>9</v>
      </c>
      <c r="M252">
        <v>2</v>
      </c>
      <c r="N252">
        <v>0</v>
      </c>
      <c r="O252" t="s">
        <v>25</v>
      </c>
      <c r="P252" t="s">
        <v>35</v>
      </c>
      <c r="Q252">
        <v>2.1</v>
      </c>
      <c r="R252">
        <v>15</v>
      </c>
      <c r="S252" t="s">
        <v>36</v>
      </c>
    </row>
    <row r="253" spans="1:19" x14ac:dyDescent="0.3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 t="str">
        <f t="shared" si="3"/>
        <v>15-30 days</v>
      </c>
      <c r="L253">
        <v>25</v>
      </c>
      <c r="M253">
        <v>2</v>
      </c>
      <c r="N253">
        <v>0</v>
      </c>
      <c r="O253" t="s">
        <v>25</v>
      </c>
      <c r="P253" t="s">
        <v>35</v>
      </c>
      <c r="Q253">
        <v>5.6</v>
      </c>
      <c r="R253">
        <v>35</v>
      </c>
      <c r="S253" t="s">
        <v>36</v>
      </c>
    </row>
    <row r="254" spans="1:19" x14ac:dyDescent="0.3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 t="str">
        <f t="shared" si="3"/>
        <v>31-60 days</v>
      </c>
      <c r="L254">
        <v>43</v>
      </c>
      <c r="M254">
        <v>2</v>
      </c>
      <c r="N254">
        <v>0</v>
      </c>
      <c r="O254" t="s">
        <v>25</v>
      </c>
      <c r="P254" t="s">
        <v>26</v>
      </c>
      <c r="Q254">
        <v>15.1</v>
      </c>
      <c r="R254">
        <v>32</v>
      </c>
      <c r="S254" t="s">
        <v>27</v>
      </c>
    </row>
    <row r="255" spans="1:19" x14ac:dyDescent="0.3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 t="str">
        <f t="shared" si="3"/>
        <v>31-60 days</v>
      </c>
      <c r="L255">
        <v>34</v>
      </c>
      <c r="M255">
        <v>2</v>
      </c>
      <c r="N255">
        <v>0</v>
      </c>
      <c r="O255" t="s">
        <v>54</v>
      </c>
      <c r="P255" t="s">
        <v>55</v>
      </c>
      <c r="Q255">
        <v>11.7</v>
      </c>
      <c r="R255">
        <v>17</v>
      </c>
      <c r="S255" t="s">
        <v>27</v>
      </c>
    </row>
    <row r="256" spans="1:19" x14ac:dyDescent="0.3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 t="str">
        <f t="shared" si="3"/>
        <v>15-30 days</v>
      </c>
      <c r="L256">
        <v>21</v>
      </c>
      <c r="M256">
        <v>3</v>
      </c>
      <c r="N256">
        <v>0</v>
      </c>
      <c r="O256" t="s">
        <v>25</v>
      </c>
      <c r="P256" t="s">
        <v>26</v>
      </c>
      <c r="Q256">
        <v>22.4</v>
      </c>
      <c r="R256">
        <v>22</v>
      </c>
      <c r="S256" t="s">
        <v>36</v>
      </c>
    </row>
    <row r="257" spans="1:19" x14ac:dyDescent="0.3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 t="str">
        <f t="shared" si="3"/>
        <v>15-30 days</v>
      </c>
      <c r="L257">
        <v>20</v>
      </c>
      <c r="M257">
        <v>5</v>
      </c>
      <c r="N257">
        <v>0</v>
      </c>
      <c r="O257" t="s">
        <v>54</v>
      </c>
      <c r="P257" t="s">
        <v>55</v>
      </c>
      <c r="Q257">
        <v>16.899999999999999</v>
      </c>
      <c r="R257">
        <v>23</v>
      </c>
      <c r="S257" t="s">
        <v>27</v>
      </c>
    </row>
    <row r="258" spans="1:19" x14ac:dyDescent="0.3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 t="str">
        <f t="shared" si="3"/>
        <v>0-7 days</v>
      </c>
      <c r="L258">
        <v>3</v>
      </c>
      <c r="M258">
        <v>4</v>
      </c>
      <c r="N258">
        <v>0</v>
      </c>
      <c r="O258" t="s">
        <v>25</v>
      </c>
      <c r="P258" t="s">
        <v>50</v>
      </c>
      <c r="Q258">
        <v>1.9</v>
      </c>
      <c r="R258">
        <v>27</v>
      </c>
      <c r="S258" t="s">
        <v>36</v>
      </c>
    </row>
    <row r="259" spans="1:19" x14ac:dyDescent="0.3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 t="str">
        <f t="shared" ref="K259:K322" si="4">IF(L259&lt;=7,"0-7 days",IF(L259&lt;=14,"8-14 days",IF(L259&lt;=30,"15-30 days","31-60 days")))</f>
        <v>15-30 days</v>
      </c>
      <c r="L259">
        <v>17</v>
      </c>
      <c r="M259">
        <v>1</v>
      </c>
      <c r="N259">
        <v>0</v>
      </c>
      <c r="O259" t="s">
        <v>25</v>
      </c>
      <c r="P259" t="s">
        <v>26</v>
      </c>
      <c r="Q259">
        <v>12.9</v>
      </c>
      <c r="R259">
        <v>19</v>
      </c>
      <c r="S259" t="s">
        <v>36</v>
      </c>
    </row>
    <row r="260" spans="1:19" x14ac:dyDescent="0.3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 t="str">
        <f t="shared" si="4"/>
        <v>31-60 days</v>
      </c>
      <c r="L260">
        <v>40</v>
      </c>
      <c r="M260">
        <v>1</v>
      </c>
      <c r="N260">
        <v>0</v>
      </c>
      <c r="O260" t="s">
        <v>25</v>
      </c>
      <c r="P260" t="s">
        <v>26</v>
      </c>
      <c r="Q260">
        <v>17.600000000000001</v>
      </c>
      <c r="R260">
        <v>43</v>
      </c>
      <c r="S260" t="s">
        <v>27</v>
      </c>
    </row>
    <row r="261" spans="1:19" x14ac:dyDescent="0.3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 t="str">
        <f t="shared" si="4"/>
        <v>8-14 days</v>
      </c>
      <c r="L261">
        <v>14</v>
      </c>
      <c r="M261">
        <v>4</v>
      </c>
      <c r="N261">
        <v>0</v>
      </c>
      <c r="O261" t="s">
        <v>54</v>
      </c>
      <c r="P261" t="s">
        <v>55</v>
      </c>
      <c r="Q261">
        <v>3.8</v>
      </c>
      <c r="R261">
        <v>12</v>
      </c>
      <c r="S261" t="s">
        <v>36</v>
      </c>
    </row>
    <row r="262" spans="1:19" x14ac:dyDescent="0.3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 t="str">
        <f t="shared" si="4"/>
        <v>31-60 days</v>
      </c>
      <c r="L262">
        <v>60</v>
      </c>
      <c r="M262">
        <v>5</v>
      </c>
      <c r="N262">
        <v>1</v>
      </c>
      <c r="O262" t="s">
        <v>25</v>
      </c>
      <c r="P262" t="s">
        <v>35</v>
      </c>
      <c r="Q262">
        <v>9.8000000000000007</v>
      </c>
      <c r="S262" t="s">
        <v>27</v>
      </c>
    </row>
    <row r="263" spans="1:19" x14ac:dyDescent="0.3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 t="str">
        <f t="shared" si="4"/>
        <v>0-7 days</v>
      </c>
      <c r="L263">
        <v>5</v>
      </c>
      <c r="M263">
        <v>7</v>
      </c>
      <c r="N263">
        <v>0</v>
      </c>
      <c r="O263" t="s">
        <v>54</v>
      </c>
      <c r="P263" t="s">
        <v>55</v>
      </c>
      <c r="Q263">
        <v>4.2</v>
      </c>
      <c r="R263">
        <v>23</v>
      </c>
      <c r="S263" t="s">
        <v>36</v>
      </c>
    </row>
    <row r="264" spans="1:19" x14ac:dyDescent="0.3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 t="str">
        <f t="shared" si="4"/>
        <v>31-60 days</v>
      </c>
      <c r="L264">
        <v>35</v>
      </c>
      <c r="M264">
        <v>0</v>
      </c>
      <c r="N264">
        <v>0</v>
      </c>
      <c r="O264" t="s">
        <v>25</v>
      </c>
      <c r="P264" t="s">
        <v>26</v>
      </c>
      <c r="Q264">
        <v>11.3</v>
      </c>
      <c r="R264">
        <v>2</v>
      </c>
      <c r="S264" t="s">
        <v>36</v>
      </c>
    </row>
    <row r="265" spans="1:19" x14ac:dyDescent="0.3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 t="str">
        <f t="shared" si="4"/>
        <v>15-30 days</v>
      </c>
      <c r="L265">
        <v>30</v>
      </c>
      <c r="M265">
        <v>8</v>
      </c>
      <c r="N265">
        <v>3</v>
      </c>
      <c r="O265" t="s">
        <v>25</v>
      </c>
      <c r="P265" t="s">
        <v>26</v>
      </c>
      <c r="Q265">
        <v>7.5</v>
      </c>
      <c r="R265">
        <v>15</v>
      </c>
      <c r="S265" t="s">
        <v>27</v>
      </c>
    </row>
    <row r="266" spans="1:19" x14ac:dyDescent="0.3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 t="str">
        <f t="shared" si="4"/>
        <v>31-60 days</v>
      </c>
      <c r="L266">
        <v>50</v>
      </c>
      <c r="M266">
        <v>3</v>
      </c>
      <c r="N266">
        <v>1</v>
      </c>
      <c r="O266" t="s">
        <v>54</v>
      </c>
      <c r="P266" t="s">
        <v>55</v>
      </c>
      <c r="Q266">
        <v>8.9</v>
      </c>
      <c r="R266">
        <v>17</v>
      </c>
      <c r="S266" t="s">
        <v>27</v>
      </c>
    </row>
    <row r="267" spans="1:19" x14ac:dyDescent="0.3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 t="str">
        <f t="shared" si="4"/>
        <v>31-60 days</v>
      </c>
      <c r="L267">
        <v>54</v>
      </c>
      <c r="M267">
        <v>3</v>
      </c>
      <c r="N267">
        <v>1</v>
      </c>
      <c r="O267" t="s">
        <v>25</v>
      </c>
      <c r="P267" t="s">
        <v>35</v>
      </c>
      <c r="Q267">
        <v>17.7</v>
      </c>
      <c r="R267">
        <v>24</v>
      </c>
      <c r="S267" t="s">
        <v>36</v>
      </c>
    </row>
    <row r="268" spans="1:19" x14ac:dyDescent="0.3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 t="str">
        <f t="shared" si="4"/>
        <v>31-60 days</v>
      </c>
      <c r="L268">
        <v>33</v>
      </c>
      <c r="M268">
        <v>3</v>
      </c>
      <c r="N268">
        <v>1</v>
      </c>
      <c r="O268" t="s">
        <v>25</v>
      </c>
      <c r="P268" t="s">
        <v>50</v>
      </c>
      <c r="Q268">
        <v>6.3</v>
      </c>
      <c r="R268">
        <v>22</v>
      </c>
      <c r="S268" t="s">
        <v>36</v>
      </c>
    </row>
    <row r="269" spans="1:19" x14ac:dyDescent="0.3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 t="str">
        <f t="shared" si="4"/>
        <v>31-60 days</v>
      </c>
      <c r="L269">
        <v>38</v>
      </c>
      <c r="M269">
        <v>3</v>
      </c>
      <c r="N269">
        <v>0</v>
      </c>
      <c r="O269" t="s">
        <v>25</v>
      </c>
      <c r="P269" t="s">
        <v>35</v>
      </c>
      <c r="Q269">
        <v>7</v>
      </c>
      <c r="R269">
        <v>27</v>
      </c>
      <c r="S269" t="s">
        <v>36</v>
      </c>
    </row>
    <row r="270" spans="1:19" x14ac:dyDescent="0.3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 t="str">
        <f t="shared" si="4"/>
        <v>31-60 days</v>
      </c>
      <c r="L270">
        <v>42</v>
      </c>
      <c r="M270">
        <v>2</v>
      </c>
      <c r="N270">
        <v>0</v>
      </c>
      <c r="O270" t="s">
        <v>54</v>
      </c>
      <c r="P270" t="s">
        <v>55</v>
      </c>
      <c r="Q270">
        <v>7.3</v>
      </c>
      <c r="R270">
        <v>15</v>
      </c>
      <c r="S270" t="s">
        <v>71</v>
      </c>
    </row>
    <row r="271" spans="1:19" x14ac:dyDescent="0.3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 t="str">
        <f t="shared" si="4"/>
        <v>31-60 days</v>
      </c>
      <c r="L271">
        <v>31</v>
      </c>
      <c r="M271">
        <v>0</v>
      </c>
      <c r="N271">
        <v>0</v>
      </c>
      <c r="O271" t="s">
        <v>25</v>
      </c>
      <c r="P271" t="s">
        <v>35</v>
      </c>
      <c r="Q271">
        <v>10.5</v>
      </c>
      <c r="R271">
        <v>20</v>
      </c>
      <c r="S271" t="s">
        <v>36</v>
      </c>
    </row>
    <row r="272" spans="1:19" x14ac:dyDescent="0.3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 t="str">
        <f t="shared" si="4"/>
        <v>8-14 days</v>
      </c>
      <c r="L272">
        <v>11</v>
      </c>
      <c r="M272">
        <v>1</v>
      </c>
      <c r="N272">
        <v>0</v>
      </c>
      <c r="O272" t="s">
        <v>25</v>
      </c>
      <c r="P272" t="s">
        <v>26</v>
      </c>
      <c r="Q272">
        <v>6.4</v>
      </c>
      <c r="R272">
        <v>30</v>
      </c>
      <c r="S272" t="s">
        <v>36</v>
      </c>
    </row>
    <row r="273" spans="1:19" x14ac:dyDescent="0.3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 t="str">
        <f t="shared" si="4"/>
        <v>15-30 days</v>
      </c>
      <c r="L273">
        <v>26</v>
      </c>
      <c r="M273">
        <v>5</v>
      </c>
      <c r="N273">
        <v>2</v>
      </c>
      <c r="O273" t="s">
        <v>25</v>
      </c>
      <c r="P273" t="s">
        <v>35</v>
      </c>
      <c r="Q273">
        <v>4.8</v>
      </c>
      <c r="R273">
        <v>2</v>
      </c>
      <c r="S273" t="s">
        <v>36</v>
      </c>
    </row>
    <row r="274" spans="1:19" x14ac:dyDescent="0.3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 t="str">
        <f t="shared" si="4"/>
        <v>8-14 days</v>
      </c>
      <c r="L274">
        <v>14</v>
      </c>
      <c r="M274">
        <v>2</v>
      </c>
      <c r="N274">
        <v>1</v>
      </c>
      <c r="O274" t="s">
        <v>25</v>
      </c>
      <c r="P274" t="s">
        <v>26</v>
      </c>
      <c r="Q274">
        <v>15.3</v>
      </c>
      <c r="R274">
        <v>29</v>
      </c>
      <c r="S274" t="s">
        <v>27</v>
      </c>
    </row>
    <row r="275" spans="1:19" x14ac:dyDescent="0.3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 t="str">
        <f t="shared" si="4"/>
        <v>15-30 days</v>
      </c>
      <c r="L275">
        <v>28</v>
      </c>
      <c r="M275">
        <v>2</v>
      </c>
      <c r="N275">
        <v>0</v>
      </c>
      <c r="O275" t="s">
        <v>25</v>
      </c>
      <c r="P275" t="s">
        <v>35</v>
      </c>
      <c r="Q275">
        <v>6.9</v>
      </c>
      <c r="R275">
        <v>2</v>
      </c>
      <c r="S275" t="s">
        <v>27</v>
      </c>
    </row>
    <row r="276" spans="1:19" x14ac:dyDescent="0.3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 t="str">
        <f t="shared" si="4"/>
        <v>31-60 days</v>
      </c>
      <c r="L276">
        <v>37</v>
      </c>
      <c r="M276">
        <v>2</v>
      </c>
      <c r="N276">
        <v>1</v>
      </c>
      <c r="O276" t="s">
        <v>25</v>
      </c>
      <c r="P276" t="s">
        <v>35</v>
      </c>
      <c r="Q276">
        <v>8.1999999999999993</v>
      </c>
      <c r="R276">
        <v>24</v>
      </c>
      <c r="S276" t="s">
        <v>36</v>
      </c>
    </row>
    <row r="277" spans="1:19" x14ac:dyDescent="0.3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 t="str">
        <f t="shared" si="4"/>
        <v>8-14 days</v>
      </c>
      <c r="L277">
        <v>12</v>
      </c>
      <c r="M277">
        <v>0</v>
      </c>
      <c r="N277">
        <v>0</v>
      </c>
      <c r="O277" t="s">
        <v>25</v>
      </c>
      <c r="P277" t="s">
        <v>35</v>
      </c>
      <c r="Q277">
        <v>13.6</v>
      </c>
      <c r="R277">
        <v>30</v>
      </c>
      <c r="S277" t="s">
        <v>27</v>
      </c>
    </row>
    <row r="278" spans="1:19" x14ac:dyDescent="0.3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 t="str">
        <f t="shared" si="4"/>
        <v>15-30 days</v>
      </c>
      <c r="L278">
        <v>15</v>
      </c>
      <c r="M278">
        <v>3</v>
      </c>
      <c r="N278">
        <v>0</v>
      </c>
      <c r="O278" t="s">
        <v>25</v>
      </c>
      <c r="P278" t="s">
        <v>35</v>
      </c>
      <c r="Q278">
        <v>5.8</v>
      </c>
      <c r="R278">
        <v>27</v>
      </c>
      <c r="S278" t="s">
        <v>36</v>
      </c>
    </row>
    <row r="279" spans="1:19" x14ac:dyDescent="0.3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 t="str">
        <f t="shared" si="4"/>
        <v>31-60 days</v>
      </c>
      <c r="L279">
        <v>50</v>
      </c>
      <c r="M279">
        <v>3</v>
      </c>
      <c r="N279">
        <v>1</v>
      </c>
      <c r="O279" t="s">
        <v>54</v>
      </c>
      <c r="P279" t="s">
        <v>55</v>
      </c>
      <c r="Q279">
        <v>3</v>
      </c>
      <c r="R279">
        <v>17</v>
      </c>
      <c r="S279" t="s">
        <v>27</v>
      </c>
    </row>
    <row r="280" spans="1:19" x14ac:dyDescent="0.3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 t="str">
        <f t="shared" si="4"/>
        <v>15-30 days</v>
      </c>
      <c r="L280">
        <v>23</v>
      </c>
      <c r="M280">
        <v>3</v>
      </c>
      <c r="N280">
        <v>1</v>
      </c>
      <c r="O280" t="s">
        <v>25</v>
      </c>
      <c r="P280" t="s">
        <v>26</v>
      </c>
      <c r="Q280">
        <v>21.1</v>
      </c>
      <c r="R280">
        <v>27</v>
      </c>
      <c r="S280" t="s">
        <v>27</v>
      </c>
    </row>
    <row r="281" spans="1:19" x14ac:dyDescent="0.3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 t="str">
        <f t="shared" si="4"/>
        <v>8-14 days</v>
      </c>
      <c r="L281">
        <v>12</v>
      </c>
      <c r="M281">
        <v>6</v>
      </c>
      <c r="N281">
        <v>2</v>
      </c>
      <c r="O281" t="s">
        <v>25</v>
      </c>
      <c r="P281" t="s">
        <v>35</v>
      </c>
      <c r="Q281">
        <v>11.6</v>
      </c>
      <c r="R281">
        <v>14</v>
      </c>
      <c r="S281" t="s">
        <v>36</v>
      </c>
    </row>
    <row r="282" spans="1:19" x14ac:dyDescent="0.3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 t="str">
        <f t="shared" si="4"/>
        <v>31-60 days</v>
      </c>
      <c r="L282">
        <v>43</v>
      </c>
      <c r="M282">
        <v>2</v>
      </c>
      <c r="N282">
        <v>0</v>
      </c>
      <c r="O282" t="s">
        <v>25</v>
      </c>
      <c r="P282" t="s">
        <v>26</v>
      </c>
      <c r="Q282">
        <v>8.8000000000000007</v>
      </c>
      <c r="R282">
        <v>39</v>
      </c>
      <c r="S282" t="s">
        <v>71</v>
      </c>
    </row>
    <row r="283" spans="1:19" x14ac:dyDescent="0.3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 t="str">
        <f t="shared" si="4"/>
        <v>31-60 days</v>
      </c>
      <c r="L283">
        <v>43</v>
      </c>
      <c r="M283">
        <v>4</v>
      </c>
      <c r="N283">
        <v>1</v>
      </c>
      <c r="O283" t="s">
        <v>25</v>
      </c>
      <c r="P283" t="s">
        <v>35</v>
      </c>
      <c r="Q283">
        <v>9.4</v>
      </c>
      <c r="R283">
        <v>33</v>
      </c>
      <c r="S283" t="s">
        <v>71</v>
      </c>
    </row>
    <row r="284" spans="1:19" x14ac:dyDescent="0.3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 t="str">
        <f t="shared" si="4"/>
        <v>31-60 days</v>
      </c>
      <c r="L284">
        <v>50</v>
      </c>
      <c r="M284">
        <v>8</v>
      </c>
      <c r="N284">
        <v>1</v>
      </c>
      <c r="O284" t="s">
        <v>25</v>
      </c>
      <c r="P284" t="s">
        <v>35</v>
      </c>
      <c r="Q284">
        <v>23.9</v>
      </c>
      <c r="R284">
        <v>14</v>
      </c>
      <c r="S284" t="s">
        <v>36</v>
      </c>
    </row>
    <row r="285" spans="1:19" x14ac:dyDescent="0.3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 t="str">
        <f t="shared" si="4"/>
        <v>31-60 days</v>
      </c>
      <c r="L285">
        <v>46</v>
      </c>
      <c r="M285">
        <v>1</v>
      </c>
      <c r="N285">
        <v>0</v>
      </c>
      <c r="O285" t="s">
        <v>25</v>
      </c>
      <c r="P285" t="s">
        <v>35</v>
      </c>
      <c r="Q285">
        <v>13.7</v>
      </c>
      <c r="R285">
        <v>39</v>
      </c>
      <c r="S285" t="s">
        <v>36</v>
      </c>
    </row>
    <row r="286" spans="1:19" x14ac:dyDescent="0.3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 t="str">
        <f t="shared" si="4"/>
        <v>31-60 days</v>
      </c>
      <c r="L286">
        <v>60</v>
      </c>
      <c r="M286">
        <v>3</v>
      </c>
      <c r="N286">
        <v>1</v>
      </c>
      <c r="O286" t="s">
        <v>25</v>
      </c>
      <c r="P286" t="s">
        <v>26</v>
      </c>
      <c r="Q286">
        <v>0.7</v>
      </c>
      <c r="R286">
        <v>26</v>
      </c>
      <c r="S286" t="s">
        <v>36</v>
      </c>
    </row>
    <row r="287" spans="1:19" x14ac:dyDescent="0.3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 t="str">
        <f t="shared" si="4"/>
        <v>31-60 days</v>
      </c>
      <c r="L287">
        <v>35</v>
      </c>
      <c r="M287">
        <v>1</v>
      </c>
      <c r="N287">
        <v>1</v>
      </c>
      <c r="O287" t="s">
        <v>25</v>
      </c>
      <c r="P287" t="s">
        <v>35</v>
      </c>
      <c r="Q287">
        <v>8.6999999999999993</v>
      </c>
      <c r="R287">
        <v>12</v>
      </c>
      <c r="S287" t="s">
        <v>27</v>
      </c>
    </row>
    <row r="288" spans="1:19" x14ac:dyDescent="0.3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 t="str">
        <f t="shared" si="4"/>
        <v>15-30 days</v>
      </c>
      <c r="L288">
        <v>17</v>
      </c>
      <c r="M288">
        <v>2</v>
      </c>
      <c r="N288">
        <v>1</v>
      </c>
      <c r="O288" t="s">
        <v>54</v>
      </c>
      <c r="P288" t="s">
        <v>55</v>
      </c>
      <c r="Q288">
        <v>9.5</v>
      </c>
      <c r="R288">
        <v>37</v>
      </c>
      <c r="S288" t="s">
        <v>36</v>
      </c>
    </row>
    <row r="289" spans="1:19" x14ac:dyDescent="0.3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 t="str">
        <f t="shared" si="4"/>
        <v>31-60 days</v>
      </c>
      <c r="L289">
        <v>52</v>
      </c>
      <c r="M289">
        <v>3</v>
      </c>
      <c r="N289">
        <v>0</v>
      </c>
      <c r="O289" t="s">
        <v>25</v>
      </c>
      <c r="P289" t="s">
        <v>35</v>
      </c>
      <c r="Q289">
        <v>8.9</v>
      </c>
      <c r="R289">
        <v>42</v>
      </c>
      <c r="S289" t="s">
        <v>27</v>
      </c>
    </row>
    <row r="290" spans="1:19" x14ac:dyDescent="0.3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 t="str">
        <f t="shared" si="4"/>
        <v>15-30 days</v>
      </c>
      <c r="L290">
        <v>16</v>
      </c>
      <c r="M290">
        <v>4</v>
      </c>
      <c r="N290">
        <v>0</v>
      </c>
      <c r="O290" t="s">
        <v>25</v>
      </c>
      <c r="P290" t="s">
        <v>35</v>
      </c>
      <c r="Q290">
        <v>1.6</v>
      </c>
      <c r="R290">
        <v>21</v>
      </c>
      <c r="S290" t="s">
        <v>36</v>
      </c>
    </row>
    <row r="291" spans="1:19" x14ac:dyDescent="0.3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 t="str">
        <f t="shared" si="4"/>
        <v>15-30 days</v>
      </c>
      <c r="L291">
        <v>17</v>
      </c>
      <c r="M291">
        <v>2</v>
      </c>
      <c r="N291">
        <v>0</v>
      </c>
      <c r="O291" t="s">
        <v>25</v>
      </c>
      <c r="P291" t="s">
        <v>35</v>
      </c>
      <c r="Q291">
        <v>3.6</v>
      </c>
      <c r="R291">
        <v>28</v>
      </c>
      <c r="S291" t="s">
        <v>36</v>
      </c>
    </row>
    <row r="292" spans="1:19" x14ac:dyDescent="0.3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 t="str">
        <f t="shared" si="4"/>
        <v>31-60 days</v>
      </c>
      <c r="L292">
        <v>50</v>
      </c>
      <c r="M292">
        <v>4</v>
      </c>
      <c r="N292">
        <v>0</v>
      </c>
      <c r="O292" t="s">
        <v>25</v>
      </c>
      <c r="P292" t="s">
        <v>35</v>
      </c>
      <c r="Q292">
        <v>2.1</v>
      </c>
      <c r="R292">
        <v>24</v>
      </c>
      <c r="S292" t="s">
        <v>36</v>
      </c>
    </row>
    <row r="293" spans="1:19" x14ac:dyDescent="0.3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 t="str">
        <f t="shared" si="4"/>
        <v>31-60 days</v>
      </c>
      <c r="L293">
        <v>53</v>
      </c>
      <c r="M293">
        <v>1</v>
      </c>
      <c r="N293">
        <v>0</v>
      </c>
      <c r="O293" t="s">
        <v>25</v>
      </c>
      <c r="P293" t="s">
        <v>26</v>
      </c>
      <c r="Q293">
        <v>26.3</v>
      </c>
      <c r="R293">
        <v>30</v>
      </c>
      <c r="S293" t="s">
        <v>27</v>
      </c>
    </row>
    <row r="294" spans="1:19" x14ac:dyDescent="0.3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 t="str">
        <f t="shared" si="4"/>
        <v>15-30 days</v>
      </c>
      <c r="L294">
        <v>20</v>
      </c>
      <c r="M294">
        <v>4</v>
      </c>
      <c r="N294">
        <v>0</v>
      </c>
      <c r="O294" t="s">
        <v>25</v>
      </c>
      <c r="P294" t="s">
        <v>35</v>
      </c>
      <c r="Q294">
        <v>9</v>
      </c>
      <c r="R294">
        <v>33</v>
      </c>
      <c r="S294" t="s">
        <v>36</v>
      </c>
    </row>
    <row r="295" spans="1:19" x14ac:dyDescent="0.3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 t="str">
        <f t="shared" si="4"/>
        <v>31-60 days</v>
      </c>
      <c r="L295">
        <v>44</v>
      </c>
      <c r="M295">
        <v>6</v>
      </c>
      <c r="N295">
        <v>1</v>
      </c>
      <c r="O295" t="s">
        <v>25</v>
      </c>
      <c r="P295" t="s">
        <v>35</v>
      </c>
      <c r="Q295">
        <v>10</v>
      </c>
      <c r="R295">
        <v>35</v>
      </c>
      <c r="S295" t="s">
        <v>27</v>
      </c>
    </row>
    <row r="296" spans="1:19" x14ac:dyDescent="0.3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 t="str">
        <f t="shared" si="4"/>
        <v>31-60 days</v>
      </c>
      <c r="L296">
        <v>56</v>
      </c>
      <c r="M296">
        <v>1</v>
      </c>
      <c r="N296">
        <v>0</v>
      </c>
      <c r="O296" t="s">
        <v>25</v>
      </c>
      <c r="P296" t="s">
        <v>50</v>
      </c>
      <c r="Q296">
        <v>7.7</v>
      </c>
      <c r="R296">
        <v>4</v>
      </c>
      <c r="S296" t="s">
        <v>27</v>
      </c>
    </row>
    <row r="297" spans="1:19" x14ac:dyDescent="0.3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 t="str">
        <f t="shared" si="4"/>
        <v>31-60 days</v>
      </c>
      <c r="L297">
        <v>48</v>
      </c>
      <c r="M297">
        <v>4</v>
      </c>
      <c r="N297">
        <v>0</v>
      </c>
      <c r="O297" t="s">
        <v>25</v>
      </c>
      <c r="P297" t="s">
        <v>35</v>
      </c>
      <c r="Q297">
        <v>2.4</v>
      </c>
      <c r="R297">
        <v>18</v>
      </c>
      <c r="S297" t="s">
        <v>27</v>
      </c>
    </row>
    <row r="298" spans="1:19" x14ac:dyDescent="0.3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 t="str">
        <f t="shared" si="4"/>
        <v>0-7 days</v>
      </c>
      <c r="L298">
        <v>0</v>
      </c>
      <c r="M298">
        <v>1</v>
      </c>
      <c r="N298">
        <v>1</v>
      </c>
      <c r="O298" t="s">
        <v>54</v>
      </c>
      <c r="P298" t="s">
        <v>55</v>
      </c>
      <c r="Q298">
        <v>4.4000000000000004</v>
      </c>
      <c r="R298">
        <v>35</v>
      </c>
      <c r="S298" t="s">
        <v>27</v>
      </c>
    </row>
    <row r="299" spans="1:19" x14ac:dyDescent="0.3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 t="str">
        <f t="shared" si="4"/>
        <v>31-60 days</v>
      </c>
      <c r="L299">
        <v>40</v>
      </c>
      <c r="M299">
        <v>5</v>
      </c>
      <c r="N299">
        <v>3</v>
      </c>
      <c r="O299" t="s">
        <v>25</v>
      </c>
      <c r="P299" t="s">
        <v>26</v>
      </c>
      <c r="Q299">
        <v>4.8</v>
      </c>
      <c r="R299">
        <v>16</v>
      </c>
      <c r="S299" t="s">
        <v>27</v>
      </c>
    </row>
    <row r="300" spans="1:19" x14ac:dyDescent="0.3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 t="str">
        <f t="shared" si="4"/>
        <v>8-14 days</v>
      </c>
      <c r="L300">
        <v>10</v>
      </c>
      <c r="M300">
        <v>1</v>
      </c>
      <c r="N300">
        <v>0</v>
      </c>
      <c r="O300" t="s">
        <v>54</v>
      </c>
      <c r="P300" t="s">
        <v>55</v>
      </c>
      <c r="Q300">
        <v>26.4</v>
      </c>
      <c r="R300">
        <v>28</v>
      </c>
      <c r="S300" t="s">
        <v>27</v>
      </c>
    </row>
    <row r="301" spans="1:19" x14ac:dyDescent="0.3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 t="str">
        <f t="shared" si="4"/>
        <v>31-60 days</v>
      </c>
      <c r="L301">
        <v>51</v>
      </c>
      <c r="M301">
        <v>1</v>
      </c>
      <c r="N301">
        <v>0</v>
      </c>
      <c r="O301" t="s">
        <v>25</v>
      </c>
      <c r="P301" t="s">
        <v>26</v>
      </c>
      <c r="Q301">
        <v>7.9</v>
      </c>
      <c r="R301">
        <v>14</v>
      </c>
      <c r="S301" t="s">
        <v>36</v>
      </c>
    </row>
    <row r="302" spans="1:19" x14ac:dyDescent="0.3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 t="str">
        <f t="shared" si="4"/>
        <v>0-7 days</v>
      </c>
      <c r="L302">
        <v>4</v>
      </c>
      <c r="M302">
        <v>3</v>
      </c>
      <c r="N302">
        <v>0</v>
      </c>
      <c r="O302" t="s">
        <v>25</v>
      </c>
      <c r="P302" t="s">
        <v>50</v>
      </c>
      <c r="Q302">
        <v>5.7</v>
      </c>
      <c r="R302">
        <v>31</v>
      </c>
      <c r="S302" t="s">
        <v>36</v>
      </c>
    </row>
    <row r="303" spans="1:19" x14ac:dyDescent="0.3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 t="str">
        <f t="shared" si="4"/>
        <v>31-60 days</v>
      </c>
      <c r="L303">
        <v>60</v>
      </c>
      <c r="M303">
        <v>6</v>
      </c>
      <c r="N303">
        <v>1</v>
      </c>
      <c r="O303" t="s">
        <v>25</v>
      </c>
      <c r="P303" t="s">
        <v>26</v>
      </c>
      <c r="Q303">
        <v>17</v>
      </c>
      <c r="R303">
        <v>24</v>
      </c>
      <c r="S303" t="s">
        <v>27</v>
      </c>
    </row>
    <row r="304" spans="1:19" x14ac:dyDescent="0.3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 t="str">
        <f t="shared" si="4"/>
        <v>8-14 days</v>
      </c>
      <c r="L304">
        <v>10</v>
      </c>
      <c r="M304">
        <v>3</v>
      </c>
      <c r="N304">
        <v>1</v>
      </c>
      <c r="O304" t="s">
        <v>25</v>
      </c>
      <c r="P304" t="s">
        <v>35</v>
      </c>
      <c r="Q304">
        <v>7</v>
      </c>
      <c r="R304">
        <v>31</v>
      </c>
      <c r="S304" t="s">
        <v>36</v>
      </c>
    </row>
    <row r="305" spans="1:19" x14ac:dyDescent="0.3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 t="str">
        <f t="shared" si="4"/>
        <v>15-30 days</v>
      </c>
      <c r="L305">
        <v>25</v>
      </c>
      <c r="M305">
        <v>4</v>
      </c>
      <c r="N305">
        <v>1</v>
      </c>
      <c r="O305" t="s">
        <v>25</v>
      </c>
      <c r="P305" t="s">
        <v>50</v>
      </c>
      <c r="Q305">
        <v>3.1</v>
      </c>
      <c r="R305">
        <v>28</v>
      </c>
      <c r="S305" t="s">
        <v>36</v>
      </c>
    </row>
    <row r="306" spans="1:19" x14ac:dyDescent="0.3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 t="str">
        <f t="shared" si="4"/>
        <v>8-14 days</v>
      </c>
      <c r="L306">
        <v>14</v>
      </c>
      <c r="M306">
        <v>2</v>
      </c>
      <c r="N306">
        <v>1</v>
      </c>
      <c r="O306" t="s">
        <v>54</v>
      </c>
      <c r="P306" t="s">
        <v>55</v>
      </c>
      <c r="Q306">
        <v>4.3</v>
      </c>
      <c r="R306">
        <v>9</v>
      </c>
      <c r="S306" t="s">
        <v>71</v>
      </c>
    </row>
    <row r="307" spans="1:19" x14ac:dyDescent="0.3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 t="str">
        <f t="shared" si="4"/>
        <v>31-60 days</v>
      </c>
      <c r="L307">
        <v>49</v>
      </c>
      <c r="M307">
        <v>2</v>
      </c>
      <c r="N307">
        <v>0</v>
      </c>
      <c r="O307" t="s">
        <v>25</v>
      </c>
      <c r="P307" t="s">
        <v>26</v>
      </c>
      <c r="Q307">
        <v>16.899999999999999</v>
      </c>
      <c r="R307">
        <v>47</v>
      </c>
      <c r="S307" t="s">
        <v>71</v>
      </c>
    </row>
    <row r="308" spans="1:19" x14ac:dyDescent="0.3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 t="str">
        <f t="shared" si="4"/>
        <v>15-30 days</v>
      </c>
      <c r="L308">
        <v>24</v>
      </c>
      <c r="M308">
        <v>6</v>
      </c>
      <c r="N308">
        <v>3</v>
      </c>
      <c r="O308" t="s">
        <v>25</v>
      </c>
      <c r="P308" t="s">
        <v>35</v>
      </c>
      <c r="Q308">
        <v>6</v>
      </c>
      <c r="R308">
        <v>10</v>
      </c>
      <c r="S308" t="s">
        <v>27</v>
      </c>
    </row>
    <row r="309" spans="1:19" x14ac:dyDescent="0.3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 t="str">
        <f t="shared" si="4"/>
        <v>31-60 days</v>
      </c>
      <c r="L309">
        <v>45</v>
      </c>
      <c r="M309">
        <v>1</v>
      </c>
      <c r="N309">
        <v>0</v>
      </c>
      <c r="O309" t="s">
        <v>25</v>
      </c>
      <c r="P309" t="s">
        <v>50</v>
      </c>
      <c r="Q309">
        <v>10.7</v>
      </c>
      <c r="R309">
        <v>51</v>
      </c>
      <c r="S309" t="s">
        <v>36</v>
      </c>
    </row>
    <row r="310" spans="1:19" x14ac:dyDescent="0.3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 t="str">
        <f t="shared" si="4"/>
        <v>0-7 days</v>
      </c>
      <c r="L310">
        <v>4</v>
      </c>
      <c r="M310">
        <v>5</v>
      </c>
      <c r="N310">
        <v>0</v>
      </c>
      <c r="O310" t="s">
        <v>25</v>
      </c>
      <c r="P310" t="s">
        <v>35</v>
      </c>
      <c r="Q310">
        <v>7.8</v>
      </c>
      <c r="R310">
        <v>2</v>
      </c>
      <c r="S310" t="s">
        <v>71</v>
      </c>
    </row>
    <row r="311" spans="1:19" x14ac:dyDescent="0.3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 t="str">
        <f t="shared" si="4"/>
        <v>15-30 days</v>
      </c>
      <c r="L311">
        <v>27</v>
      </c>
      <c r="M311">
        <v>4</v>
      </c>
      <c r="N311">
        <v>0</v>
      </c>
      <c r="O311" t="s">
        <v>54</v>
      </c>
      <c r="P311" t="s">
        <v>55</v>
      </c>
      <c r="Q311">
        <v>14.3</v>
      </c>
      <c r="R311">
        <v>25</v>
      </c>
      <c r="S311" t="s">
        <v>27</v>
      </c>
    </row>
    <row r="312" spans="1:19" x14ac:dyDescent="0.3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 t="str">
        <f t="shared" si="4"/>
        <v>31-60 days</v>
      </c>
      <c r="L312">
        <v>55</v>
      </c>
      <c r="M312">
        <v>1</v>
      </c>
      <c r="N312">
        <v>0</v>
      </c>
      <c r="O312" t="s">
        <v>54</v>
      </c>
      <c r="P312" t="s">
        <v>55</v>
      </c>
      <c r="Q312">
        <v>7.1</v>
      </c>
      <c r="R312">
        <v>9</v>
      </c>
      <c r="S312" t="s">
        <v>36</v>
      </c>
    </row>
    <row r="313" spans="1:19" x14ac:dyDescent="0.3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 t="str">
        <f t="shared" si="4"/>
        <v>31-60 days</v>
      </c>
      <c r="L313">
        <v>56</v>
      </c>
      <c r="M313">
        <v>3</v>
      </c>
      <c r="N313">
        <v>0</v>
      </c>
      <c r="O313" t="s">
        <v>54</v>
      </c>
      <c r="P313" t="s">
        <v>55</v>
      </c>
      <c r="Q313">
        <v>4.9000000000000004</v>
      </c>
      <c r="R313">
        <v>42</v>
      </c>
      <c r="S313" t="s">
        <v>36</v>
      </c>
    </row>
    <row r="314" spans="1:19" x14ac:dyDescent="0.3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 t="str">
        <f t="shared" si="4"/>
        <v>8-14 days</v>
      </c>
      <c r="L314">
        <v>12</v>
      </c>
      <c r="M314">
        <v>4</v>
      </c>
      <c r="N314">
        <v>0</v>
      </c>
      <c r="O314" t="s">
        <v>25</v>
      </c>
      <c r="P314" t="s">
        <v>50</v>
      </c>
      <c r="Q314">
        <v>4.2</v>
      </c>
      <c r="R314">
        <v>13</v>
      </c>
      <c r="S314" t="s">
        <v>36</v>
      </c>
    </row>
    <row r="315" spans="1:19" x14ac:dyDescent="0.3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 t="str">
        <f t="shared" si="4"/>
        <v>15-30 days</v>
      </c>
      <c r="L315">
        <v>24</v>
      </c>
      <c r="M315">
        <v>3</v>
      </c>
      <c r="N315">
        <v>1</v>
      </c>
      <c r="O315" t="s">
        <v>25</v>
      </c>
      <c r="P315" t="s">
        <v>50</v>
      </c>
      <c r="Q315">
        <v>15.2</v>
      </c>
      <c r="R315">
        <v>12</v>
      </c>
      <c r="S315" t="s">
        <v>36</v>
      </c>
    </row>
    <row r="316" spans="1:19" x14ac:dyDescent="0.3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 t="str">
        <f t="shared" si="4"/>
        <v>15-30 days</v>
      </c>
      <c r="L316">
        <v>24</v>
      </c>
      <c r="M316">
        <v>3</v>
      </c>
      <c r="N316">
        <v>1</v>
      </c>
      <c r="O316" t="s">
        <v>25</v>
      </c>
      <c r="P316" t="s">
        <v>26</v>
      </c>
      <c r="Q316">
        <v>5.7</v>
      </c>
      <c r="R316">
        <v>24</v>
      </c>
      <c r="S316" t="s">
        <v>27</v>
      </c>
    </row>
    <row r="317" spans="1:19" x14ac:dyDescent="0.3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 t="str">
        <f t="shared" si="4"/>
        <v>31-60 days</v>
      </c>
      <c r="L317">
        <v>34</v>
      </c>
      <c r="M317">
        <v>1</v>
      </c>
      <c r="N317">
        <v>1</v>
      </c>
      <c r="O317" t="s">
        <v>25</v>
      </c>
      <c r="P317" t="s">
        <v>35</v>
      </c>
      <c r="Q317">
        <v>10.199999999999999</v>
      </c>
      <c r="R317">
        <v>40</v>
      </c>
      <c r="S317" t="s">
        <v>36</v>
      </c>
    </row>
    <row r="318" spans="1:19" x14ac:dyDescent="0.3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 t="str">
        <f t="shared" si="4"/>
        <v>31-60 days</v>
      </c>
      <c r="L318">
        <v>32</v>
      </c>
      <c r="M318">
        <v>5</v>
      </c>
      <c r="N318">
        <v>0</v>
      </c>
      <c r="O318" t="s">
        <v>54</v>
      </c>
      <c r="P318" t="s">
        <v>55</v>
      </c>
      <c r="Q318">
        <v>18.7</v>
      </c>
      <c r="R318">
        <v>38</v>
      </c>
      <c r="S318" t="s">
        <v>27</v>
      </c>
    </row>
    <row r="319" spans="1:19" x14ac:dyDescent="0.3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 t="str">
        <f t="shared" si="4"/>
        <v>0-7 days</v>
      </c>
      <c r="L319">
        <v>6</v>
      </c>
      <c r="M319">
        <v>2</v>
      </c>
      <c r="N319">
        <v>1</v>
      </c>
      <c r="O319" t="s">
        <v>25</v>
      </c>
      <c r="P319" t="s">
        <v>50</v>
      </c>
      <c r="Q319">
        <v>8.9</v>
      </c>
      <c r="R319">
        <v>22</v>
      </c>
      <c r="S319" t="s">
        <v>27</v>
      </c>
    </row>
    <row r="320" spans="1:19" x14ac:dyDescent="0.3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 t="str">
        <f t="shared" si="4"/>
        <v>31-60 days</v>
      </c>
      <c r="L320">
        <v>46</v>
      </c>
      <c r="M320">
        <v>3</v>
      </c>
      <c r="N320">
        <v>0</v>
      </c>
      <c r="O320" t="s">
        <v>25</v>
      </c>
      <c r="P320" t="s">
        <v>26</v>
      </c>
      <c r="Q320">
        <v>11.5</v>
      </c>
      <c r="R320">
        <v>20</v>
      </c>
      <c r="S320" t="s">
        <v>36</v>
      </c>
    </row>
    <row r="321" spans="1:19" x14ac:dyDescent="0.3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 t="str">
        <f t="shared" si="4"/>
        <v>8-14 days</v>
      </c>
      <c r="L321">
        <v>13</v>
      </c>
      <c r="M321">
        <v>2</v>
      </c>
      <c r="N321">
        <v>1</v>
      </c>
      <c r="O321" t="s">
        <v>25</v>
      </c>
      <c r="P321" t="s">
        <v>50</v>
      </c>
      <c r="Q321">
        <v>5.8</v>
      </c>
      <c r="R321">
        <v>30</v>
      </c>
      <c r="S321" t="s">
        <v>36</v>
      </c>
    </row>
    <row r="322" spans="1:19" x14ac:dyDescent="0.3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 t="str">
        <f t="shared" si="4"/>
        <v>15-30 days</v>
      </c>
      <c r="L322">
        <v>19</v>
      </c>
      <c r="M322">
        <v>3</v>
      </c>
      <c r="N322">
        <v>0</v>
      </c>
      <c r="O322" t="s">
        <v>25</v>
      </c>
      <c r="P322" t="s">
        <v>35</v>
      </c>
      <c r="Q322">
        <v>7</v>
      </c>
      <c r="R322">
        <v>23</v>
      </c>
      <c r="S322" t="s">
        <v>71</v>
      </c>
    </row>
    <row r="323" spans="1:19" x14ac:dyDescent="0.3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 t="str">
        <f t="shared" ref="K323:K386" si="5">IF(L323&lt;=7,"0-7 days",IF(L323&lt;=14,"8-14 days",IF(L323&lt;=30,"15-30 days","31-60 days")))</f>
        <v>31-60 days</v>
      </c>
      <c r="L323">
        <v>51</v>
      </c>
      <c r="M323">
        <v>2</v>
      </c>
      <c r="N323">
        <v>0</v>
      </c>
      <c r="O323" t="s">
        <v>25</v>
      </c>
      <c r="P323" t="s">
        <v>50</v>
      </c>
      <c r="Q323">
        <v>19</v>
      </c>
      <c r="R323">
        <v>25</v>
      </c>
      <c r="S323" t="s">
        <v>36</v>
      </c>
    </row>
    <row r="324" spans="1:19" x14ac:dyDescent="0.3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 t="str">
        <f t="shared" si="5"/>
        <v>31-60 days</v>
      </c>
      <c r="L324">
        <v>42</v>
      </c>
      <c r="M324">
        <v>1</v>
      </c>
      <c r="N324">
        <v>1</v>
      </c>
      <c r="O324" t="s">
        <v>25</v>
      </c>
      <c r="P324" t="s">
        <v>50</v>
      </c>
      <c r="Q324">
        <v>14.2</v>
      </c>
      <c r="R324">
        <v>22</v>
      </c>
      <c r="S324" t="s">
        <v>27</v>
      </c>
    </row>
    <row r="325" spans="1:19" x14ac:dyDescent="0.3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 t="str">
        <f t="shared" si="5"/>
        <v>15-30 days</v>
      </c>
      <c r="L325">
        <v>24</v>
      </c>
      <c r="M325">
        <v>1</v>
      </c>
      <c r="N325">
        <v>0</v>
      </c>
      <c r="O325" t="s">
        <v>25</v>
      </c>
      <c r="P325" t="s">
        <v>35</v>
      </c>
      <c r="Q325">
        <v>7.6</v>
      </c>
      <c r="R325">
        <v>31</v>
      </c>
      <c r="S325" t="s">
        <v>71</v>
      </c>
    </row>
    <row r="326" spans="1:19" x14ac:dyDescent="0.3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 t="str">
        <f t="shared" si="5"/>
        <v>31-60 days</v>
      </c>
      <c r="L326">
        <v>55</v>
      </c>
      <c r="M326">
        <v>2</v>
      </c>
      <c r="N326">
        <v>1</v>
      </c>
      <c r="O326" t="s">
        <v>25</v>
      </c>
      <c r="P326" t="s">
        <v>50</v>
      </c>
      <c r="Q326">
        <v>9</v>
      </c>
      <c r="R326">
        <v>29</v>
      </c>
      <c r="S326" t="s">
        <v>27</v>
      </c>
    </row>
    <row r="327" spans="1:19" x14ac:dyDescent="0.3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 t="str">
        <f t="shared" si="5"/>
        <v>15-30 days</v>
      </c>
      <c r="L327">
        <v>24</v>
      </c>
      <c r="M327">
        <v>2</v>
      </c>
      <c r="N327">
        <v>0</v>
      </c>
      <c r="O327" t="s">
        <v>54</v>
      </c>
      <c r="P327" t="s">
        <v>55</v>
      </c>
      <c r="Q327">
        <v>7.4</v>
      </c>
      <c r="R327">
        <v>41</v>
      </c>
      <c r="S327" t="s">
        <v>36</v>
      </c>
    </row>
    <row r="328" spans="1:19" x14ac:dyDescent="0.3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 t="str">
        <f t="shared" si="5"/>
        <v>31-60 days</v>
      </c>
      <c r="L328">
        <v>34</v>
      </c>
      <c r="M328">
        <v>4</v>
      </c>
      <c r="N328">
        <v>0</v>
      </c>
      <c r="O328" t="s">
        <v>25</v>
      </c>
      <c r="P328" t="s">
        <v>35</v>
      </c>
      <c r="Q328">
        <v>13.1</v>
      </c>
      <c r="R328">
        <v>17</v>
      </c>
      <c r="S328" t="s">
        <v>27</v>
      </c>
    </row>
    <row r="329" spans="1:19" x14ac:dyDescent="0.3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 t="str">
        <f t="shared" si="5"/>
        <v>15-30 days</v>
      </c>
      <c r="L329">
        <v>15</v>
      </c>
      <c r="M329">
        <v>2</v>
      </c>
      <c r="N329">
        <v>0</v>
      </c>
      <c r="O329" t="s">
        <v>25</v>
      </c>
      <c r="P329" t="s">
        <v>26</v>
      </c>
      <c r="Q329">
        <v>5.6</v>
      </c>
      <c r="R329">
        <v>17</v>
      </c>
      <c r="S329" t="s">
        <v>27</v>
      </c>
    </row>
    <row r="330" spans="1:19" x14ac:dyDescent="0.3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 t="str">
        <f t="shared" si="5"/>
        <v>8-14 days</v>
      </c>
      <c r="L330">
        <v>11</v>
      </c>
      <c r="M330">
        <v>1</v>
      </c>
      <c r="N330">
        <v>0</v>
      </c>
      <c r="O330" t="s">
        <v>25</v>
      </c>
      <c r="P330" t="s">
        <v>35</v>
      </c>
      <c r="Q330">
        <v>13.1</v>
      </c>
      <c r="R330">
        <v>23</v>
      </c>
      <c r="S330" t="s">
        <v>36</v>
      </c>
    </row>
    <row r="331" spans="1:19" x14ac:dyDescent="0.3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 t="str">
        <f t="shared" si="5"/>
        <v>15-30 days</v>
      </c>
      <c r="L331">
        <v>29</v>
      </c>
      <c r="M331">
        <v>1</v>
      </c>
      <c r="N331">
        <v>0</v>
      </c>
      <c r="O331" t="s">
        <v>25</v>
      </c>
      <c r="P331" t="s">
        <v>26</v>
      </c>
      <c r="Q331">
        <v>23.4</v>
      </c>
      <c r="R331">
        <v>22</v>
      </c>
      <c r="S331" t="s">
        <v>27</v>
      </c>
    </row>
    <row r="332" spans="1:19" x14ac:dyDescent="0.3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 t="str">
        <f t="shared" si="5"/>
        <v>31-60 days</v>
      </c>
      <c r="L332">
        <v>34</v>
      </c>
      <c r="M332">
        <v>4</v>
      </c>
      <c r="N332">
        <v>0</v>
      </c>
      <c r="O332" t="s">
        <v>25</v>
      </c>
      <c r="P332" t="s">
        <v>50</v>
      </c>
      <c r="Q332">
        <v>9.6</v>
      </c>
      <c r="R332">
        <v>33</v>
      </c>
      <c r="S332" t="s">
        <v>36</v>
      </c>
    </row>
    <row r="333" spans="1:19" x14ac:dyDescent="0.3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 t="str">
        <f t="shared" si="5"/>
        <v>31-60 days</v>
      </c>
      <c r="L333">
        <v>49</v>
      </c>
      <c r="M333">
        <v>2</v>
      </c>
      <c r="N333">
        <v>1</v>
      </c>
      <c r="O333" t="s">
        <v>25</v>
      </c>
      <c r="P333" t="s">
        <v>35</v>
      </c>
      <c r="Q333">
        <v>3.3</v>
      </c>
      <c r="R333">
        <v>12</v>
      </c>
      <c r="S333" t="s">
        <v>27</v>
      </c>
    </row>
    <row r="334" spans="1:19" x14ac:dyDescent="0.3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 t="str">
        <f t="shared" si="5"/>
        <v>15-30 days</v>
      </c>
      <c r="L334">
        <v>23</v>
      </c>
      <c r="M334">
        <v>3</v>
      </c>
      <c r="N334">
        <v>1</v>
      </c>
      <c r="O334" t="s">
        <v>54</v>
      </c>
      <c r="P334" t="s">
        <v>55</v>
      </c>
      <c r="Q334">
        <v>8.1</v>
      </c>
      <c r="R334">
        <v>38</v>
      </c>
      <c r="S334" t="s">
        <v>27</v>
      </c>
    </row>
    <row r="335" spans="1:19" x14ac:dyDescent="0.3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 t="str">
        <f t="shared" si="5"/>
        <v>31-60 days</v>
      </c>
      <c r="L335">
        <v>54</v>
      </c>
      <c r="M335">
        <v>2</v>
      </c>
      <c r="N335">
        <v>0</v>
      </c>
      <c r="O335" t="s">
        <v>25</v>
      </c>
      <c r="P335" t="s">
        <v>35</v>
      </c>
      <c r="Q335">
        <v>22.1</v>
      </c>
      <c r="R335">
        <v>21</v>
      </c>
      <c r="S335" t="s">
        <v>27</v>
      </c>
    </row>
    <row r="336" spans="1:19" x14ac:dyDescent="0.3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 t="str">
        <f t="shared" si="5"/>
        <v>31-60 days</v>
      </c>
      <c r="L336">
        <v>37</v>
      </c>
      <c r="M336">
        <v>3</v>
      </c>
      <c r="N336">
        <v>0</v>
      </c>
      <c r="O336" t="s">
        <v>25</v>
      </c>
      <c r="P336" t="s">
        <v>35</v>
      </c>
      <c r="Q336">
        <v>8.9</v>
      </c>
      <c r="R336">
        <v>37</v>
      </c>
      <c r="S336" t="s">
        <v>36</v>
      </c>
    </row>
    <row r="337" spans="1:19" x14ac:dyDescent="0.3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 t="str">
        <f t="shared" si="5"/>
        <v>0-7 days</v>
      </c>
      <c r="L337">
        <v>4</v>
      </c>
      <c r="M337">
        <v>2</v>
      </c>
      <c r="N337">
        <v>0</v>
      </c>
      <c r="O337" t="s">
        <v>25</v>
      </c>
      <c r="P337" t="s">
        <v>35</v>
      </c>
      <c r="Q337">
        <v>3.9</v>
      </c>
      <c r="R337">
        <v>52</v>
      </c>
      <c r="S337" t="s">
        <v>27</v>
      </c>
    </row>
    <row r="338" spans="1:19" x14ac:dyDescent="0.3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 t="str">
        <f t="shared" si="5"/>
        <v>31-60 days</v>
      </c>
      <c r="L338">
        <v>45</v>
      </c>
      <c r="M338">
        <v>4</v>
      </c>
      <c r="N338">
        <v>0</v>
      </c>
      <c r="O338" t="s">
        <v>25</v>
      </c>
      <c r="P338" t="s">
        <v>50</v>
      </c>
      <c r="Q338">
        <v>7.8</v>
      </c>
      <c r="R338">
        <v>35</v>
      </c>
      <c r="S338" t="s">
        <v>27</v>
      </c>
    </row>
    <row r="339" spans="1:19" x14ac:dyDescent="0.3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 t="str">
        <f t="shared" si="5"/>
        <v>31-60 days</v>
      </c>
      <c r="L339">
        <v>35</v>
      </c>
      <c r="M339">
        <v>2</v>
      </c>
      <c r="N339">
        <v>0</v>
      </c>
      <c r="O339" t="s">
        <v>25</v>
      </c>
      <c r="P339" t="s">
        <v>35</v>
      </c>
      <c r="Q339">
        <v>19.899999999999999</v>
      </c>
      <c r="R339">
        <v>31</v>
      </c>
      <c r="S339" t="s">
        <v>27</v>
      </c>
    </row>
    <row r="340" spans="1:19" x14ac:dyDescent="0.3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 t="str">
        <f t="shared" si="5"/>
        <v>15-30 days</v>
      </c>
      <c r="L340">
        <v>23</v>
      </c>
      <c r="M340">
        <v>5</v>
      </c>
      <c r="N340">
        <v>4</v>
      </c>
      <c r="O340" t="s">
        <v>25</v>
      </c>
      <c r="P340" t="s">
        <v>35</v>
      </c>
      <c r="Q340">
        <v>5.6</v>
      </c>
      <c r="R340">
        <v>36</v>
      </c>
      <c r="S340" t="s">
        <v>36</v>
      </c>
    </row>
    <row r="341" spans="1:19" x14ac:dyDescent="0.3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 t="str">
        <f t="shared" si="5"/>
        <v>15-30 days</v>
      </c>
      <c r="L341">
        <v>28</v>
      </c>
      <c r="M341">
        <v>2</v>
      </c>
      <c r="N341">
        <v>0</v>
      </c>
      <c r="O341" t="s">
        <v>54</v>
      </c>
      <c r="P341" t="s">
        <v>55</v>
      </c>
      <c r="Q341">
        <v>20.2</v>
      </c>
      <c r="R341">
        <v>21</v>
      </c>
      <c r="S341" t="s">
        <v>36</v>
      </c>
    </row>
    <row r="342" spans="1:19" x14ac:dyDescent="0.3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 t="str">
        <f t="shared" si="5"/>
        <v>15-30 days</v>
      </c>
      <c r="L342">
        <v>18</v>
      </c>
      <c r="M342">
        <v>0</v>
      </c>
      <c r="N342">
        <v>0</v>
      </c>
      <c r="O342" t="s">
        <v>25</v>
      </c>
      <c r="P342" t="s">
        <v>26</v>
      </c>
      <c r="Q342">
        <v>7.4</v>
      </c>
      <c r="R342">
        <v>27</v>
      </c>
      <c r="S342" t="s">
        <v>27</v>
      </c>
    </row>
    <row r="343" spans="1:19" x14ac:dyDescent="0.3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 t="str">
        <f t="shared" si="5"/>
        <v>31-60 days</v>
      </c>
      <c r="L343">
        <v>37</v>
      </c>
      <c r="M343">
        <v>5</v>
      </c>
      <c r="N343">
        <v>2</v>
      </c>
      <c r="O343" t="s">
        <v>25</v>
      </c>
      <c r="P343" t="s">
        <v>26</v>
      </c>
      <c r="Q343">
        <v>33.4</v>
      </c>
      <c r="R343">
        <v>17</v>
      </c>
      <c r="S343" t="s">
        <v>27</v>
      </c>
    </row>
    <row r="344" spans="1:19" x14ac:dyDescent="0.3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 t="str">
        <f t="shared" si="5"/>
        <v>31-60 days</v>
      </c>
      <c r="L344">
        <v>34</v>
      </c>
      <c r="M344">
        <v>4</v>
      </c>
      <c r="N344">
        <v>2</v>
      </c>
      <c r="O344" t="s">
        <v>25</v>
      </c>
      <c r="P344" t="s">
        <v>35</v>
      </c>
      <c r="Q344">
        <v>6</v>
      </c>
      <c r="R344">
        <v>17</v>
      </c>
      <c r="S344" t="s">
        <v>71</v>
      </c>
    </row>
    <row r="345" spans="1:19" x14ac:dyDescent="0.3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 t="str">
        <f t="shared" si="5"/>
        <v>15-30 days</v>
      </c>
      <c r="L345">
        <v>27</v>
      </c>
      <c r="M345">
        <v>2</v>
      </c>
      <c r="N345">
        <v>0</v>
      </c>
      <c r="O345" t="s">
        <v>25</v>
      </c>
      <c r="P345" t="s">
        <v>26</v>
      </c>
      <c r="Q345">
        <v>4.5999999999999996</v>
      </c>
      <c r="S345" t="s">
        <v>36</v>
      </c>
    </row>
    <row r="346" spans="1:19" x14ac:dyDescent="0.3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 t="str">
        <f t="shared" si="5"/>
        <v>15-30 days</v>
      </c>
      <c r="L346">
        <v>17</v>
      </c>
      <c r="M346">
        <v>2</v>
      </c>
      <c r="N346">
        <v>1</v>
      </c>
      <c r="O346" t="s">
        <v>54</v>
      </c>
      <c r="P346" t="s">
        <v>55</v>
      </c>
      <c r="Q346">
        <v>0.9</v>
      </c>
      <c r="R346">
        <v>25</v>
      </c>
      <c r="S346" t="s">
        <v>71</v>
      </c>
    </row>
    <row r="347" spans="1:19" x14ac:dyDescent="0.3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 t="str">
        <f t="shared" si="5"/>
        <v>15-30 days</v>
      </c>
      <c r="L347">
        <v>24</v>
      </c>
      <c r="M347">
        <v>3</v>
      </c>
      <c r="N347">
        <v>0</v>
      </c>
      <c r="O347" t="s">
        <v>54</v>
      </c>
      <c r="P347" t="s">
        <v>55</v>
      </c>
      <c r="Q347">
        <v>8.3000000000000007</v>
      </c>
      <c r="R347">
        <v>29</v>
      </c>
      <c r="S347" t="s">
        <v>27</v>
      </c>
    </row>
    <row r="348" spans="1:19" x14ac:dyDescent="0.3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 t="str">
        <f t="shared" si="5"/>
        <v>15-30 days</v>
      </c>
      <c r="L348">
        <v>30</v>
      </c>
      <c r="M348">
        <v>5</v>
      </c>
      <c r="N348">
        <v>1</v>
      </c>
      <c r="O348" t="s">
        <v>54</v>
      </c>
      <c r="P348" t="s">
        <v>55</v>
      </c>
      <c r="Q348">
        <v>7.2</v>
      </c>
      <c r="R348">
        <v>25</v>
      </c>
      <c r="S348" t="s">
        <v>36</v>
      </c>
    </row>
    <row r="349" spans="1:19" x14ac:dyDescent="0.3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 t="str">
        <f t="shared" si="5"/>
        <v>15-30 days</v>
      </c>
      <c r="L349">
        <v>28</v>
      </c>
      <c r="M349">
        <v>6</v>
      </c>
      <c r="N349">
        <v>1</v>
      </c>
      <c r="O349" t="s">
        <v>25</v>
      </c>
      <c r="P349" t="s">
        <v>35</v>
      </c>
      <c r="Q349">
        <v>22</v>
      </c>
      <c r="R349">
        <v>21</v>
      </c>
      <c r="S349" t="s">
        <v>27</v>
      </c>
    </row>
    <row r="350" spans="1:19" x14ac:dyDescent="0.3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 t="str">
        <f t="shared" si="5"/>
        <v>15-30 days</v>
      </c>
      <c r="L350">
        <v>18</v>
      </c>
      <c r="M350">
        <v>5</v>
      </c>
      <c r="N350">
        <v>0</v>
      </c>
      <c r="O350" t="s">
        <v>54</v>
      </c>
      <c r="P350" t="s">
        <v>55</v>
      </c>
      <c r="Q350">
        <v>15.5</v>
      </c>
      <c r="R350">
        <v>34</v>
      </c>
      <c r="S350" t="s">
        <v>27</v>
      </c>
    </row>
    <row r="351" spans="1:19" x14ac:dyDescent="0.3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 t="str">
        <f t="shared" si="5"/>
        <v>31-60 days</v>
      </c>
      <c r="L351">
        <v>35</v>
      </c>
      <c r="M351">
        <v>7</v>
      </c>
      <c r="N351">
        <v>1</v>
      </c>
      <c r="O351" t="s">
        <v>25</v>
      </c>
      <c r="P351" t="s">
        <v>50</v>
      </c>
      <c r="Q351">
        <v>19.600000000000001</v>
      </c>
      <c r="R351">
        <v>17</v>
      </c>
      <c r="S351" t="s">
        <v>36</v>
      </c>
    </row>
    <row r="352" spans="1:19" x14ac:dyDescent="0.3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 t="str">
        <f t="shared" si="5"/>
        <v>8-14 days</v>
      </c>
      <c r="L352">
        <v>13</v>
      </c>
      <c r="M352">
        <v>2</v>
      </c>
      <c r="N352">
        <v>0</v>
      </c>
      <c r="O352" t="s">
        <v>54</v>
      </c>
      <c r="P352" t="s">
        <v>55</v>
      </c>
      <c r="Q352">
        <v>16.899999999999999</v>
      </c>
      <c r="R352">
        <v>27</v>
      </c>
      <c r="S352" t="s">
        <v>36</v>
      </c>
    </row>
    <row r="353" spans="1:19" x14ac:dyDescent="0.3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 t="str">
        <f t="shared" si="5"/>
        <v>15-30 days</v>
      </c>
      <c r="L353">
        <v>30</v>
      </c>
      <c r="M353">
        <v>4</v>
      </c>
      <c r="N353">
        <v>0</v>
      </c>
      <c r="O353" t="s">
        <v>25</v>
      </c>
      <c r="P353" t="s">
        <v>35</v>
      </c>
      <c r="Q353">
        <v>8.5</v>
      </c>
      <c r="R353">
        <v>37</v>
      </c>
      <c r="S353" t="s">
        <v>27</v>
      </c>
    </row>
    <row r="354" spans="1:19" x14ac:dyDescent="0.3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 t="str">
        <f t="shared" si="5"/>
        <v>0-7 days</v>
      </c>
      <c r="L354">
        <v>7</v>
      </c>
      <c r="M354">
        <v>2</v>
      </c>
      <c r="N354">
        <v>0</v>
      </c>
      <c r="O354" t="s">
        <v>25</v>
      </c>
      <c r="P354" t="s">
        <v>26</v>
      </c>
      <c r="Q354">
        <v>45</v>
      </c>
      <c r="R354">
        <v>32</v>
      </c>
      <c r="S354" t="s">
        <v>36</v>
      </c>
    </row>
    <row r="355" spans="1:19" x14ac:dyDescent="0.3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 t="str">
        <f t="shared" si="5"/>
        <v>15-30 days</v>
      </c>
      <c r="L355">
        <v>28</v>
      </c>
      <c r="M355">
        <v>5</v>
      </c>
      <c r="N355">
        <v>3</v>
      </c>
      <c r="O355" t="s">
        <v>25</v>
      </c>
      <c r="P355" t="s">
        <v>50</v>
      </c>
      <c r="Q355">
        <v>8</v>
      </c>
      <c r="R355">
        <v>24</v>
      </c>
      <c r="S355" t="s">
        <v>36</v>
      </c>
    </row>
    <row r="356" spans="1:19" x14ac:dyDescent="0.3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 t="str">
        <f t="shared" si="5"/>
        <v>31-60 days</v>
      </c>
      <c r="L356">
        <v>47</v>
      </c>
      <c r="M356">
        <v>1</v>
      </c>
      <c r="N356">
        <v>0</v>
      </c>
      <c r="O356" t="s">
        <v>25</v>
      </c>
      <c r="P356" t="s">
        <v>26</v>
      </c>
      <c r="Q356">
        <v>11.4</v>
      </c>
      <c r="R356">
        <v>4</v>
      </c>
      <c r="S356" t="s">
        <v>36</v>
      </c>
    </row>
    <row r="357" spans="1:19" x14ac:dyDescent="0.3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 t="str">
        <f t="shared" si="5"/>
        <v>31-60 days</v>
      </c>
      <c r="L357">
        <v>49</v>
      </c>
      <c r="M357">
        <v>1</v>
      </c>
      <c r="N357">
        <v>0</v>
      </c>
      <c r="O357" t="s">
        <v>25</v>
      </c>
      <c r="P357" t="s">
        <v>35</v>
      </c>
      <c r="Q357">
        <v>26.5</v>
      </c>
      <c r="R357">
        <v>20</v>
      </c>
      <c r="S357" t="s">
        <v>27</v>
      </c>
    </row>
    <row r="358" spans="1:19" x14ac:dyDescent="0.3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 t="str">
        <f t="shared" si="5"/>
        <v>31-60 days</v>
      </c>
      <c r="L358">
        <v>42</v>
      </c>
      <c r="M358">
        <v>5</v>
      </c>
      <c r="N358">
        <v>0</v>
      </c>
      <c r="O358" t="s">
        <v>25</v>
      </c>
      <c r="P358" t="s">
        <v>26</v>
      </c>
      <c r="Q358">
        <v>15.8</v>
      </c>
      <c r="R358">
        <v>47</v>
      </c>
      <c r="S358" t="s">
        <v>27</v>
      </c>
    </row>
    <row r="359" spans="1:19" x14ac:dyDescent="0.3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 t="str">
        <f t="shared" si="5"/>
        <v>31-60 days</v>
      </c>
      <c r="L359">
        <v>45</v>
      </c>
      <c r="M359">
        <v>7</v>
      </c>
      <c r="N359">
        <v>5</v>
      </c>
      <c r="O359" t="s">
        <v>25</v>
      </c>
      <c r="P359" t="s">
        <v>35</v>
      </c>
      <c r="Q359">
        <v>9.6</v>
      </c>
      <c r="R359">
        <v>21</v>
      </c>
      <c r="S359" t="s">
        <v>27</v>
      </c>
    </row>
    <row r="360" spans="1:19" x14ac:dyDescent="0.3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 t="str">
        <f t="shared" si="5"/>
        <v>0-7 days</v>
      </c>
      <c r="L360">
        <v>4</v>
      </c>
      <c r="M360">
        <v>3</v>
      </c>
      <c r="N360">
        <v>0</v>
      </c>
      <c r="O360" t="s">
        <v>54</v>
      </c>
      <c r="P360" t="s">
        <v>55</v>
      </c>
      <c r="Q360">
        <v>12.8</v>
      </c>
      <c r="R360">
        <v>24</v>
      </c>
      <c r="S360" t="s">
        <v>36</v>
      </c>
    </row>
    <row r="361" spans="1:19" x14ac:dyDescent="0.3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 t="str">
        <f t="shared" si="5"/>
        <v>15-30 days</v>
      </c>
      <c r="L361">
        <v>20</v>
      </c>
      <c r="M361">
        <v>4</v>
      </c>
      <c r="N361">
        <v>0</v>
      </c>
      <c r="O361" t="s">
        <v>54</v>
      </c>
      <c r="P361" t="s">
        <v>55</v>
      </c>
      <c r="Q361">
        <v>5.5</v>
      </c>
      <c r="R361">
        <v>26</v>
      </c>
      <c r="S361" t="s">
        <v>27</v>
      </c>
    </row>
    <row r="362" spans="1:19" x14ac:dyDescent="0.3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 t="str">
        <f t="shared" si="5"/>
        <v>31-60 days</v>
      </c>
      <c r="L362">
        <v>39</v>
      </c>
      <c r="M362">
        <v>8</v>
      </c>
      <c r="N362">
        <v>2</v>
      </c>
      <c r="O362" t="s">
        <v>25</v>
      </c>
      <c r="P362" t="s">
        <v>35</v>
      </c>
      <c r="Q362">
        <v>6.7</v>
      </c>
      <c r="R362">
        <v>29</v>
      </c>
      <c r="S362" t="s">
        <v>36</v>
      </c>
    </row>
    <row r="363" spans="1:19" x14ac:dyDescent="0.3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 t="str">
        <f t="shared" si="5"/>
        <v>31-60 days</v>
      </c>
      <c r="L363">
        <v>48</v>
      </c>
      <c r="M363">
        <v>4</v>
      </c>
      <c r="N363">
        <v>0</v>
      </c>
      <c r="O363" t="s">
        <v>54</v>
      </c>
      <c r="P363" t="s">
        <v>55</v>
      </c>
      <c r="Q363">
        <v>11.4</v>
      </c>
      <c r="R363">
        <v>17</v>
      </c>
      <c r="S363" t="s">
        <v>27</v>
      </c>
    </row>
    <row r="364" spans="1:19" x14ac:dyDescent="0.3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 t="str">
        <f t="shared" si="5"/>
        <v>31-60 days</v>
      </c>
      <c r="L364">
        <v>35</v>
      </c>
      <c r="M364">
        <v>2</v>
      </c>
      <c r="N364">
        <v>0</v>
      </c>
      <c r="O364" t="s">
        <v>25</v>
      </c>
      <c r="P364" t="s">
        <v>35</v>
      </c>
      <c r="Q364">
        <v>3.9</v>
      </c>
      <c r="R364">
        <v>32</v>
      </c>
      <c r="S364" t="s">
        <v>27</v>
      </c>
    </row>
    <row r="365" spans="1:19" x14ac:dyDescent="0.3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 t="str">
        <f t="shared" si="5"/>
        <v>31-60 days</v>
      </c>
      <c r="L365">
        <v>52</v>
      </c>
      <c r="M365">
        <v>2</v>
      </c>
      <c r="N365">
        <v>0</v>
      </c>
      <c r="O365" t="s">
        <v>25</v>
      </c>
      <c r="P365" t="s">
        <v>26</v>
      </c>
      <c r="Q365">
        <v>5.2</v>
      </c>
      <c r="R365">
        <v>28</v>
      </c>
      <c r="S365" t="s">
        <v>27</v>
      </c>
    </row>
    <row r="366" spans="1:19" x14ac:dyDescent="0.3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 t="str">
        <f t="shared" si="5"/>
        <v>15-30 days</v>
      </c>
      <c r="L366">
        <v>16</v>
      </c>
      <c r="M366">
        <v>2</v>
      </c>
      <c r="N366">
        <v>0</v>
      </c>
      <c r="O366" t="s">
        <v>54</v>
      </c>
      <c r="P366" t="s">
        <v>55</v>
      </c>
      <c r="Q366">
        <v>1.8</v>
      </c>
      <c r="R366">
        <v>5</v>
      </c>
      <c r="S366" t="s">
        <v>36</v>
      </c>
    </row>
    <row r="367" spans="1:19" x14ac:dyDescent="0.3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 t="str">
        <f t="shared" si="5"/>
        <v>8-14 days</v>
      </c>
      <c r="L367">
        <v>9</v>
      </c>
      <c r="M367">
        <v>1</v>
      </c>
      <c r="N367">
        <v>0</v>
      </c>
      <c r="O367" t="s">
        <v>25</v>
      </c>
      <c r="P367" t="s">
        <v>35</v>
      </c>
      <c r="Q367">
        <v>8.6999999999999993</v>
      </c>
      <c r="R367">
        <v>2</v>
      </c>
      <c r="S367" t="s">
        <v>36</v>
      </c>
    </row>
    <row r="368" spans="1:19" x14ac:dyDescent="0.3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 t="str">
        <f t="shared" si="5"/>
        <v>0-7 days</v>
      </c>
      <c r="L368">
        <v>5</v>
      </c>
      <c r="M368">
        <v>1</v>
      </c>
      <c r="N368">
        <v>0</v>
      </c>
      <c r="O368" t="s">
        <v>54</v>
      </c>
      <c r="P368" t="s">
        <v>55</v>
      </c>
      <c r="Q368">
        <v>9.6</v>
      </c>
      <c r="R368">
        <v>18</v>
      </c>
      <c r="S368" t="s">
        <v>36</v>
      </c>
    </row>
    <row r="369" spans="1:19" x14ac:dyDescent="0.3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 t="str">
        <f t="shared" si="5"/>
        <v>31-60 days</v>
      </c>
      <c r="L369">
        <v>35</v>
      </c>
      <c r="M369">
        <v>4</v>
      </c>
      <c r="N369">
        <v>0</v>
      </c>
      <c r="O369" t="s">
        <v>25</v>
      </c>
      <c r="P369" t="s">
        <v>26</v>
      </c>
      <c r="Q369">
        <v>17.399999999999999</v>
      </c>
      <c r="R369">
        <v>11</v>
      </c>
      <c r="S369" t="s">
        <v>27</v>
      </c>
    </row>
    <row r="370" spans="1:19" x14ac:dyDescent="0.3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 t="str">
        <f t="shared" si="5"/>
        <v>31-60 days</v>
      </c>
      <c r="L370">
        <v>40</v>
      </c>
      <c r="M370">
        <v>2</v>
      </c>
      <c r="N370">
        <v>0</v>
      </c>
      <c r="O370" t="s">
        <v>54</v>
      </c>
      <c r="P370" t="s">
        <v>55</v>
      </c>
      <c r="Q370">
        <v>4.5999999999999996</v>
      </c>
      <c r="R370">
        <v>27</v>
      </c>
      <c r="S370" t="s">
        <v>27</v>
      </c>
    </row>
    <row r="371" spans="1:19" x14ac:dyDescent="0.3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 t="str">
        <f t="shared" si="5"/>
        <v>15-30 days</v>
      </c>
      <c r="L371">
        <v>17</v>
      </c>
      <c r="M371">
        <v>6</v>
      </c>
      <c r="N371">
        <v>0</v>
      </c>
      <c r="O371" t="s">
        <v>54</v>
      </c>
      <c r="P371" t="s">
        <v>55</v>
      </c>
      <c r="Q371">
        <v>6.7</v>
      </c>
      <c r="R371">
        <v>20</v>
      </c>
      <c r="S371" t="s">
        <v>27</v>
      </c>
    </row>
    <row r="372" spans="1:19" x14ac:dyDescent="0.3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 t="str">
        <f t="shared" si="5"/>
        <v>31-60 days</v>
      </c>
      <c r="L372">
        <v>47</v>
      </c>
      <c r="M372">
        <v>3</v>
      </c>
      <c r="N372">
        <v>0</v>
      </c>
      <c r="O372" t="s">
        <v>25</v>
      </c>
      <c r="P372" t="s">
        <v>26</v>
      </c>
      <c r="Q372">
        <v>14.6</v>
      </c>
      <c r="R372">
        <v>29</v>
      </c>
      <c r="S372" t="s">
        <v>27</v>
      </c>
    </row>
    <row r="373" spans="1:19" x14ac:dyDescent="0.3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 t="str">
        <f t="shared" si="5"/>
        <v>31-60 days</v>
      </c>
      <c r="L373">
        <v>45</v>
      </c>
      <c r="M373">
        <v>3</v>
      </c>
      <c r="N373">
        <v>0</v>
      </c>
      <c r="O373" t="s">
        <v>25</v>
      </c>
      <c r="P373" t="s">
        <v>50</v>
      </c>
      <c r="Q373">
        <v>16.3</v>
      </c>
      <c r="R373">
        <v>29</v>
      </c>
      <c r="S373" t="s">
        <v>27</v>
      </c>
    </row>
    <row r="374" spans="1:19" x14ac:dyDescent="0.3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 t="str">
        <f t="shared" si="5"/>
        <v>15-30 days</v>
      </c>
      <c r="L374">
        <v>21</v>
      </c>
      <c r="M374">
        <v>2</v>
      </c>
      <c r="N374">
        <v>0</v>
      </c>
      <c r="O374" t="s">
        <v>25</v>
      </c>
      <c r="P374" t="s">
        <v>35</v>
      </c>
      <c r="Q374">
        <v>15.8</v>
      </c>
      <c r="R374">
        <v>13</v>
      </c>
      <c r="S374" t="s">
        <v>36</v>
      </c>
    </row>
    <row r="375" spans="1:19" x14ac:dyDescent="0.3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 t="str">
        <f t="shared" si="5"/>
        <v>8-14 days</v>
      </c>
      <c r="L375">
        <v>14</v>
      </c>
      <c r="M375">
        <v>5</v>
      </c>
      <c r="N375">
        <v>0</v>
      </c>
      <c r="O375" t="s">
        <v>25</v>
      </c>
      <c r="P375" t="s">
        <v>35</v>
      </c>
      <c r="Q375">
        <v>4.9000000000000004</v>
      </c>
      <c r="R375">
        <v>20</v>
      </c>
      <c r="S375" t="s">
        <v>27</v>
      </c>
    </row>
    <row r="376" spans="1:19" x14ac:dyDescent="0.3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 t="str">
        <f t="shared" si="5"/>
        <v>31-60 days</v>
      </c>
      <c r="L376">
        <v>45</v>
      </c>
      <c r="M376">
        <v>3</v>
      </c>
      <c r="N376">
        <v>2</v>
      </c>
      <c r="O376" t="s">
        <v>54</v>
      </c>
      <c r="P376" t="s">
        <v>55</v>
      </c>
      <c r="Q376">
        <v>2.2000000000000002</v>
      </c>
      <c r="R376">
        <v>18</v>
      </c>
      <c r="S376" t="s">
        <v>27</v>
      </c>
    </row>
    <row r="377" spans="1:19" x14ac:dyDescent="0.3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 t="str">
        <f t="shared" si="5"/>
        <v>31-60 days</v>
      </c>
      <c r="L377">
        <v>40</v>
      </c>
      <c r="M377">
        <v>6</v>
      </c>
      <c r="N377">
        <v>0</v>
      </c>
      <c r="O377" t="s">
        <v>25</v>
      </c>
      <c r="P377" t="s">
        <v>35</v>
      </c>
      <c r="Q377">
        <v>9.5</v>
      </c>
      <c r="R377">
        <v>34</v>
      </c>
      <c r="S377" t="s">
        <v>36</v>
      </c>
    </row>
    <row r="378" spans="1:19" x14ac:dyDescent="0.3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 t="str">
        <f t="shared" si="5"/>
        <v>8-14 days</v>
      </c>
      <c r="L378">
        <v>10</v>
      </c>
      <c r="M378">
        <v>3</v>
      </c>
      <c r="N378">
        <v>0</v>
      </c>
      <c r="O378" t="s">
        <v>25</v>
      </c>
      <c r="P378" t="s">
        <v>35</v>
      </c>
      <c r="Q378">
        <v>8.5</v>
      </c>
      <c r="R378">
        <v>22</v>
      </c>
      <c r="S378" t="s">
        <v>36</v>
      </c>
    </row>
    <row r="379" spans="1:19" x14ac:dyDescent="0.3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 t="str">
        <f t="shared" si="5"/>
        <v>15-30 days</v>
      </c>
      <c r="L379">
        <v>15</v>
      </c>
      <c r="M379">
        <v>3</v>
      </c>
      <c r="N379">
        <v>1</v>
      </c>
      <c r="O379" t="s">
        <v>25</v>
      </c>
      <c r="P379" t="s">
        <v>35</v>
      </c>
      <c r="Q379">
        <v>9.9</v>
      </c>
      <c r="R379">
        <v>38</v>
      </c>
      <c r="S379" t="s">
        <v>36</v>
      </c>
    </row>
    <row r="380" spans="1:19" x14ac:dyDescent="0.3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 t="str">
        <f t="shared" si="5"/>
        <v>15-30 days</v>
      </c>
      <c r="L380">
        <v>29</v>
      </c>
      <c r="M380">
        <v>2</v>
      </c>
      <c r="N380">
        <v>0</v>
      </c>
      <c r="O380" t="s">
        <v>25</v>
      </c>
      <c r="P380" t="s">
        <v>26</v>
      </c>
      <c r="Q380">
        <v>11.1</v>
      </c>
      <c r="R380">
        <v>38</v>
      </c>
      <c r="S380" t="s">
        <v>27</v>
      </c>
    </row>
    <row r="381" spans="1:19" x14ac:dyDescent="0.3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 t="str">
        <f t="shared" si="5"/>
        <v>31-60 days</v>
      </c>
      <c r="L381">
        <v>31</v>
      </c>
      <c r="M381">
        <v>6</v>
      </c>
      <c r="N381">
        <v>0</v>
      </c>
      <c r="O381" t="s">
        <v>25</v>
      </c>
      <c r="P381" t="s">
        <v>35</v>
      </c>
      <c r="Q381">
        <v>12.4</v>
      </c>
      <c r="R381">
        <v>23</v>
      </c>
      <c r="S381" t="s">
        <v>27</v>
      </c>
    </row>
    <row r="382" spans="1:19" x14ac:dyDescent="0.3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 t="str">
        <f t="shared" si="5"/>
        <v>8-14 days</v>
      </c>
      <c r="L382">
        <v>10</v>
      </c>
      <c r="M382">
        <v>4</v>
      </c>
      <c r="N382">
        <v>2</v>
      </c>
      <c r="O382" t="s">
        <v>25</v>
      </c>
      <c r="P382" t="s">
        <v>35</v>
      </c>
      <c r="Q382">
        <v>12.4</v>
      </c>
      <c r="R382">
        <v>17</v>
      </c>
      <c r="S382" t="s">
        <v>27</v>
      </c>
    </row>
    <row r="383" spans="1:19" x14ac:dyDescent="0.3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 t="str">
        <f t="shared" si="5"/>
        <v>31-60 days</v>
      </c>
      <c r="L383">
        <v>57</v>
      </c>
      <c r="M383">
        <v>3</v>
      </c>
      <c r="N383">
        <v>1</v>
      </c>
      <c r="O383" t="s">
        <v>54</v>
      </c>
      <c r="P383" t="s">
        <v>55</v>
      </c>
      <c r="Q383">
        <v>6.9</v>
      </c>
      <c r="R383">
        <v>14</v>
      </c>
      <c r="S383" t="s">
        <v>27</v>
      </c>
    </row>
    <row r="384" spans="1:19" x14ac:dyDescent="0.3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 t="str">
        <f t="shared" si="5"/>
        <v>15-30 days</v>
      </c>
      <c r="L384">
        <v>23</v>
      </c>
      <c r="M384">
        <v>3</v>
      </c>
      <c r="N384">
        <v>0</v>
      </c>
      <c r="O384" t="s">
        <v>25</v>
      </c>
      <c r="P384" t="s">
        <v>50</v>
      </c>
      <c r="Q384">
        <v>7.7</v>
      </c>
      <c r="R384">
        <v>32</v>
      </c>
      <c r="S384" t="s">
        <v>27</v>
      </c>
    </row>
    <row r="385" spans="1:19" x14ac:dyDescent="0.3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 t="str">
        <f t="shared" si="5"/>
        <v>15-30 days</v>
      </c>
      <c r="L385">
        <v>23</v>
      </c>
      <c r="M385">
        <v>4</v>
      </c>
      <c r="N385">
        <v>1</v>
      </c>
      <c r="O385" t="s">
        <v>25</v>
      </c>
      <c r="P385" t="s">
        <v>35</v>
      </c>
      <c r="Q385">
        <v>6.1</v>
      </c>
      <c r="R385">
        <v>23</v>
      </c>
      <c r="S385" t="s">
        <v>36</v>
      </c>
    </row>
    <row r="386" spans="1:19" x14ac:dyDescent="0.3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 t="str">
        <f t="shared" si="5"/>
        <v>0-7 days</v>
      </c>
      <c r="L386">
        <v>3</v>
      </c>
      <c r="M386">
        <v>3</v>
      </c>
      <c r="N386">
        <v>1</v>
      </c>
      <c r="O386" t="s">
        <v>25</v>
      </c>
      <c r="P386" t="s">
        <v>50</v>
      </c>
      <c r="Q386">
        <v>14.9</v>
      </c>
      <c r="R386">
        <v>16</v>
      </c>
      <c r="S386" t="s">
        <v>36</v>
      </c>
    </row>
    <row r="387" spans="1:19" x14ac:dyDescent="0.3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 t="str">
        <f t="shared" ref="K387:K450" si="6">IF(L387&lt;=7,"0-7 days",IF(L387&lt;=14,"8-14 days",IF(L387&lt;=30,"15-30 days","31-60 days")))</f>
        <v>31-60 days</v>
      </c>
      <c r="L387">
        <v>53</v>
      </c>
      <c r="M387">
        <v>0</v>
      </c>
      <c r="N387">
        <v>0</v>
      </c>
      <c r="O387" t="s">
        <v>25</v>
      </c>
      <c r="P387" t="s">
        <v>35</v>
      </c>
      <c r="Q387">
        <v>3.9</v>
      </c>
      <c r="R387">
        <v>34</v>
      </c>
      <c r="S387" t="s">
        <v>36</v>
      </c>
    </row>
    <row r="388" spans="1:19" x14ac:dyDescent="0.3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 t="str">
        <f t="shared" si="6"/>
        <v>8-14 days</v>
      </c>
      <c r="L388">
        <v>14</v>
      </c>
      <c r="M388">
        <v>4</v>
      </c>
      <c r="N388">
        <v>2</v>
      </c>
      <c r="O388" t="s">
        <v>54</v>
      </c>
      <c r="P388" t="s">
        <v>55</v>
      </c>
      <c r="Q388">
        <v>25.4</v>
      </c>
      <c r="R388">
        <v>34</v>
      </c>
      <c r="S388" t="s">
        <v>27</v>
      </c>
    </row>
    <row r="389" spans="1:19" x14ac:dyDescent="0.3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 t="str">
        <f t="shared" si="6"/>
        <v>31-60 days</v>
      </c>
      <c r="L389">
        <v>60</v>
      </c>
      <c r="M389">
        <v>3</v>
      </c>
      <c r="N389">
        <v>0</v>
      </c>
      <c r="O389" t="s">
        <v>25</v>
      </c>
      <c r="P389" t="s">
        <v>50</v>
      </c>
      <c r="Q389">
        <v>8.6999999999999993</v>
      </c>
      <c r="R389">
        <v>14</v>
      </c>
      <c r="S389" t="s">
        <v>27</v>
      </c>
    </row>
    <row r="390" spans="1:19" x14ac:dyDescent="0.3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 t="str">
        <f t="shared" si="6"/>
        <v>15-30 days</v>
      </c>
      <c r="L390">
        <v>30</v>
      </c>
      <c r="M390">
        <v>2</v>
      </c>
      <c r="N390">
        <v>0</v>
      </c>
      <c r="O390" t="s">
        <v>25</v>
      </c>
      <c r="P390" t="s">
        <v>26</v>
      </c>
      <c r="Q390">
        <v>8.6</v>
      </c>
      <c r="R390">
        <v>28</v>
      </c>
      <c r="S390" t="s">
        <v>36</v>
      </c>
    </row>
    <row r="391" spans="1:19" x14ac:dyDescent="0.3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 t="str">
        <f t="shared" si="6"/>
        <v>31-60 days</v>
      </c>
      <c r="L391">
        <v>53</v>
      </c>
      <c r="M391">
        <v>3</v>
      </c>
      <c r="N391">
        <v>0</v>
      </c>
      <c r="O391" t="s">
        <v>25</v>
      </c>
      <c r="P391" t="s">
        <v>26</v>
      </c>
      <c r="Q391">
        <v>7.5</v>
      </c>
      <c r="R391">
        <v>30</v>
      </c>
      <c r="S391" t="s">
        <v>36</v>
      </c>
    </row>
    <row r="392" spans="1:19" x14ac:dyDescent="0.3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 t="str">
        <f t="shared" si="6"/>
        <v>8-14 days</v>
      </c>
      <c r="L392">
        <v>10</v>
      </c>
      <c r="M392">
        <v>2</v>
      </c>
      <c r="N392">
        <v>0</v>
      </c>
      <c r="O392" t="s">
        <v>25</v>
      </c>
      <c r="P392" t="s">
        <v>35</v>
      </c>
      <c r="Q392">
        <v>15.2</v>
      </c>
      <c r="R392">
        <v>43</v>
      </c>
      <c r="S392" t="s">
        <v>36</v>
      </c>
    </row>
    <row r="393" spans="1:19" x14ac:dyDescent="0.3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 t="str">
        <f t="shared" si="6"/>
        <v>8-14 days</v>
      </c>
      <c r="L393">
        <v>10</v>
      </c>
      <c r="M393">
        <v>1</v>
      </c>
      <c r="N393">
        <v>1</v>
      </c>
      <c r="O393" t="s">
        <v>25</v>
      </c>
      <c r="P393" t="s">
        <v>35</v>
      </c>
      <c r="Q393">
        <v>9.1999999999999993</v>
      </c>
      <c r="R393">
        <v>22</v>
      </c>
      <c r="S393" t="s">
        <v>36</v>
      </c>
    </row>
    <row r="394" spans="1:19" x14ac:dyDescent="0.3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 t="str">
        <f t="shared" si="6"/>
        <v>31-60 days</v>
      </c>
      <c r="L394">
        <v>48</v>
      </c>
      <c r="M394">
        <v>2</v>
      </c>
      <c r="N394">
        <v>0</v>
      </c>
      <c r="O394" t="s">
        <v>25</v>
      </c>
      <c r="P394" t="s">
        <v>35</v>
      </c>
      <c r="Q394">
        <v>6.3</v>
      </c>
      <c r="R394">
        <v>24</v>
      </c>
      <c r="S394" t="s">
        <v>27</v>
      </c>
    </row>
    <row r="395" spans="1:19" x14ac:dyDescent="0.3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 t="str">
        <f t="shared" si="6"/>
        <v>31-60 days</v>
      </c>
      <c r="L395">
        <v>49</v>
      </c>
      <c r="M395">
        <v>2</v>
      </c>
      <c r="N395">
        <v>0</v>
      </c>
      <c r="O395" t="s">
        <v>25</v>
      </c>
      <c r="P395" t="s">
        <v>35</v>
      </c>
      <c r="Q395">
        <v>14.7</v>
      </c>
      <c r="R395">
        <v>31</v>
      </c>
      <c r="S395" t="s">
        <v>27</v>
      </c>
    </row>
    <row r="396" spans="1:19" x14ac:dyDescent="0.3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 t="str">
        <f t="shared" si="6"/>
        <v>31-60 days</v>
      </c>
      <c r="L396">
        <v>33</v>
      </c>
      <c r="M396">
        <v>4</v>
      </c>
      <c r="N396">
        <v>1</v>
      </c>
      <c r="O396" t="s">
        <v>25</v>
      </c>
      <c r="P396" t="s">
        <v>35</v>
      </c>
      <c r="Q396">
        <v>5.5</v>
      </c>
      <c r="R396">
        <v>38</v>
      </c>
      <c r="S396" t="s">
        <v>36</v>
      </c>
    </row>
    <row r="397" spans="1:19" x14ac:dyDescent="0.3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 t="str">
        <f t="shared" si="6"/>
        <v>0-7 days</v>
      </c>
      <c r="L397">
        <v>1</v>
      </c>
      <c r="M397">
        <v>3</v>
      </c>
      <c r="N397">
        <v>2</v>
      </c>
      <c r="O397" t="s">
        <v>54</v>
      </c>
      <c r="P397" t="s">
        <v>55</v>
      </c>
      <c r="Q397">
        <v>15.4</v>
      </c>
      <c r="R397">
        <v>28</v>
      </c>
      <c r="S397" t="s">
        <v>71</v>
      </c>
    </row>
    <row r="398" spans="1:19" x14ac:dyDescent="0.3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 t="str">
        <f t="shared" si="6"/>
        <v>31-60 days</v>
      </c>
      <c r="L398">
        <v>57</v>
      </c>
      <c r="M398">
        <v>2</v>
      </c>
      <c r="N398">
        <v>0</v>
      </c>
      <c r="O398" t="s">
        <v>54</v>
      </c>
      <c r="P398" t="s">
        <v>55</v>
      </c>
      <c r="Q398">
        <v>2.7</v>
      </c>
      <c r="R398">
        <v>26</v>
      </c>
      <c r="S398" t="s">
        <v>27</v>
      </c>
    </row>
    <row r="399" spans="1:19" x14ac:dyDescent="0.3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 t="str">
        <f t="shared" si="6"/>
        <v>15-30 days</v>
      </c>
      <c r="L399">
        <v>23</v>
      </c>
      <c r="M399">
        <v>3</v>
      </c>
      <c r="N399">
        <v>0</v>
      </c>
      <c r="O399" t="s">
        <v>25</v>
      </c>
      <c r="P399" t="s">
        <v>35</v>
      </c>
      <c r="Q399">
        <v>19.7</v>
      </c>
      <c r="R399">
        <v>18</v>
      </c>
      <c r="S399" t="s">
        <v>27</v>
      </c>
    </row>
    <row r="400" spans="1:19" x14ac:dyDescent="0.3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 t="str">
        <f t="shared" si="6"/>
        <v>31-60 days</v>
      </c>
      <c r="L400">
        <v>57</v>
      </c>
      <c r="M400">
        <v>3</v>
      </c>
      <c r="N400">
        <v>0</v>
      </c>
      <c r="O400" t="s">
        <v>25</v>
      </c>
      <c r="P400" t="s">
        <v>35</v>
      </c>
      <c r="Q400">
        <v>5.3</v>
      </c>
      <c r="R400">
        <v>20</v>
      </c>
      <c r="S400" t="s">
        <v>36</v>
      </c>
    </row>
    <row r="401" spans="1:19" x14ac:dyDescent="0.3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 t="str">
        <f t="shared" si="6"/>
        <v>31-60 days</v>
      </c>
      <c r="L401">
        <v>53</v>
      </c>
      <c r="M401">
        <v>4</v>
      </c>
      <c r="N401">
        <v>1</v>
      </c>
      <c r="O401" t="s">
        <v>25</v>
      </c>
      <c r="P401" t="s">
        <v>35</v>
      </c>
      <c r="Q401">
        <v>3.4</v>
      </c>
      <c r="R401">
        <v>22</v>
      </c>
      <c r="S401" t="s">
        <v>36</v>
      </c>
    </row>
    <row r="402" spans="1:19" x14ac:dyDescent="0.3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 t="str">
        <f t="shared" si="6"/>
        <v>31-60 days</v>
      </c>
      <c r="L402">
        <v>51</v>
      </c>
      <c r="M402">
        <v>1</v>
      </c>
      <c r="N402">
        <v>0</v>
      </c>
      <c r="O402" t="s">
        <v>25</v>
      </c>
      <c r="P402" t="s">
        <v>35</v>
      </c>
      <c r="Q402">
        <v>7.2</v>
      </c>
      <c r="R402">
        <v>32</v>
      </c>
      <c r="S402" t="s">
        <v>36</v>
      </c>
    </row>
    <row r="403" spans="1:19" x14ac:dyDescent="0.3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 t="str">
        <f t="shared" si="6"/>
        <v>31-60 days</v>
      </c>
      <c r="L403">
        <v>42</v>
      </c>
      <c r="M403">
        <v>6</v>
      </c>
      <c r="N403">
        <v>0</v>
      </c>
      <c r="O403" t="s">
        <v>25</v>
      </c>
      <c r="P403" t="s">
        <v>35</v>
      </c>
      <c r="Q403">
        <v>6.5</v>
      </c>
      <c r="R403">
        <v>29</v>
      </c>
      <c r="S403" t="s">
        <v>27</v>
      </c>
    </row>
    <row r="404" spans="1:19" x14ac:dyDescent="0.3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 t="str">
        <f t="shared" si="6"/>
        <v>31-60 days</v>
      </c>
      <c r="L404">
        <v>41</v>
      </c>
      <c r="M404">
        <v>4</v>
      </c>
      <c r="N404">
        <v>1</v>
      </c>
      <c r="O404" t="s">
        <v>25</v>
      </c>
      <c r="P404" t="s">
        <v>35</v>
      </c>
      <c r="Q404">
        <v>11.2</v>
      </c>
      <c r="R404">
        <v>16</v>
      </c>
      <c r="S404" t="s">
        <v>36</v>
      </c>
    </row>
    <row r="405" spans="1:19" x14ac:dyDescent="0.3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 t="str">
        <f t="shared" si="6"/>
        <v>31-60 days</v>
      </c>
      <c r="L405">
        <v>32</v>
      </c>
      <c r="M405">
        <v>3</v>
      </c>
      <c r="N405">
        <v>1</v>
      </c>
      <c r="O405" t="s">
        <v>25</v>
      </c>
      <c r="P405" t="s">
        <v>35</v>
      </c>
      <c r="Q405">
        <v>3.3</v>
      </c>
      <c r="R405">
        <v>33</v>
      </c>
      <c r="S405" t="s">
        <v>27</v>
      </c>
    </row>
    <row r="406" spans="1:19" x14ac:dyDescent="0.3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 t="str">
        <f t="shared" si="6"/>
        <v>0-7 days</v>
      </c>
      <c r="L406">
        <v>1</v>
      </c>
      <c r="M406">
        <v>2</v>
      </c>
      <c r="N406">
        <v>0</v>
      </c>
      <c r="O406" t="s">
        <v>25</v>
      </c>
      <c r="P406" t="s">
        <v>35</v>
      </c>
      <c r="Q406">
        <v>10.9</v>
      </c>
      <c r="R406">
        <v>22</v>
      </c>
      <c r="S406" t="s">
        <v>36</v>
      </c>
    </row>
    <row r="407" spans="1:19" x14ac:dyDescent="0.3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 t="str">
        <f t="shared" si="6"/>
        <v>15-30 days</v>
      </c>
      <c r="L407">
        <v>23</v>
      </c>
      <c r="M407">
        <v>1</v>
      </c>
      <c r="N407">
        <v>0</v>
      </c>
      <c r="O407" t="s">
        <v>25</v>
      </c>
      <c r="P407" t="s">
        <v>35</v>
      </c>
      <c r="Q407">
        <v>7.1</v>
      </c>
      <c r="R407">
        <v>22</v>
      </c>
      <c r="S407" t="s">
        <v>27</v>
      </c>
    </row>
    <row r="408" spans="1:19" x14ac:dyDescent="0.3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 t="str">
        <f t="shared" si="6"/>
        <v>31-60 days</v>
      </c>
      <c r="L408">
        <v>44</v>
      </c>
      <c r="M408">
        <v>2</v>
      </c>
      <c r="N408">
        <v>1</v>
      </c>
      <c r="O408" t="s">
        <v>25</v>
      </c>
      <c r="P408" t="s">
        <v>26</v>
      </c>
      <c r="Q408">
        <v>9.1999999999999993</v>
      </c>
      <c r="R408">
        <v>32</v>
      </c>
      <c r="S408" t="s">
        <v>27</v>
      </c>
    </row>
    <row r="409" spans="1:19" x14ac:dyDescent="0.3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 t="str">
        <f t="shared" si="6"/>
        <v>31-60 days</v>
      </c>
      <c r="L409">
        <v>49</v>
      </c>
      <c r="M409">
        <v>2</v>
      </c>
      <c r="N409">
        <v>0</v>
      </c>
      <c r="O409" t="s">
        <v>54</v>
      </c>
      <c r="P409" t="s">
        <v>55</v>
      </c>
      <c r="Q409">
        <v>3.9</v>
      </c>
      <c r="R409">
        <v>34</v>
      </c>
      <c r="S409" t="s">
        <v>27</v>
      </c>
    </row>
    <row r="410" spans="1:19" x14ac:dyDescent="0.3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 t="str">
        <f t="shared" si="6"/>
        <v>31-60 days</v>
      </c>
      <c r="L410">
        <v>34</v>
      </c>
      <c r="M410">
        <v>3</v>
      </c>
      <c r="N410">
        <v>0</v>
      </c>
      <c r="O410" t="s">
        <v>25</v>
      </c>
      <c r="P410" t="s">
        <v>50</v>
      </c>
      <c r="Q410">
        <v>8.8000000000000007</v>
      </c>
      <c r="R410">
        <v>28</v>
      </c>
      <c r="S410" t="s">
        <v>27</v>
      </c>
    </row>
    <row r="411" spans="1:19" x14ac:dyDescent="0.3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 t="str">
        <f t="shared" si="6"/>
        <v>31-60 days</v>
      </c>
      <c r="L411">
        <v>43</v>
      </c>
      <c r="M411">
        <v>4</v>
      </c>
      <c r="N411">
        <v>0</v>
      </c>
      <c r="O411" t="s">
        <v>25</v>
      </c>
      <c r="P411" t="s">
        <v>26</v>
      </c>
      <c r="Q411">
        <v>5.4</v>
      </c>
      <c r="R411">
        <v>45</v>
      </c>
      <c r="S411" t="s">
        <v>27</v>
      </c>
    </row>
    <row r="412" spans="1:19" x14ac:dyDescent="0.3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 t="str">
        <f t="shared" si="6"/>
        <v>0-7 days</v>
      </c>
      <c r="L412">
        <v>1</v>
      </c>
      <c r="M412">
        <v>1</v>
      </c>
      <c r="N412">
        <v>0</v>
      </c>
      <c r="O412" t="s">
        <v>25</v>
      </c>
      <c r="P412" t="s">
        <v>50</v>
      </c>
      <c r="Q412">
        <v>2.2999999999999998</v>
      </c>
      <c r="R412">
        <v>3</v>
      </c>
      <c r="S412" t="s">
        <v>36</v>
      </c>
    </row>
    <row r="413" spans="1:19" x14ac:dyDescent="0.3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 t="str">
        <f t="shared" si="6"/>
        <v>15-30 days</v>
      </c>
      <c r="L413">
        <v>28</v>
      </c>
      <c r="M413">
        <v>2</v>
      </c>
      <c r="N413">
        <v>0</v>
      </c>
      <c r="O413" t="s">
        <v>25</v>
      </c>
      <c r="P413" t="s">
        <v>50</v>
      </c>
      <c r="Q413">
        <v>13.1</v>
      </c>
      <c r="R413">
        <v>35</v>
      </c>
      <c r="S413" t="s">
        <v>36</v>
      </c>
    </row>
    <row r="414" spans="1:19" x14ac:dyDescent="0.3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 t="str">
        <f t="shared" si="6"/>
        <v>15-30 days</v>
      </c>
      <c r="L414">
        <v>30</v>
      </c>
      <c r="M414">
        <v>1</v>
      </c>
      <c r="N414">
        <v>1</v>
      </c>
      <c r="O414" t="s">
        <v>54</v>
      </c>
      <c r="P414" t="s">
        <v>55</v>
      </c>
      <c r="Q414">
        <v>4.7</v>
      </c>
      <c r="R414">
        <v>13</v>
      </c>
      <c r="S414" t="s">
        <v>27</v>
      </c>
    </row>
    <row r="415" spans="1:19" x14ac:dyDescent="0.3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 t="str">
        <f t="shared" si="6"/>
        <v>31-60 days</v>
      </c>
      <c r="L415">
        <v>54</v>
      </c>
      <c r="M415">
        <v>2</v>
      </c>
      <c r="N415">
        <v>0</v>
      </c>
      <c r="O415" t="s">
        <v>25</v>
      </c>
      <c r="P415" t="s">
        <v>35</v>
      </c>
      <c r="Q415">
        <v>11</v>
      </c>
      <c r="R415">
        <v>24</v>
      </c>
      <c r="S415" t="s">
        <v>27</v>
      </c>
    </row>
    <row r="416" spans="1:19" x14ac:dyDescent="0.3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 t="str">
        <f t="shared" si="6"/>
        <v>15-30 days</v>
      </c>
      <c r="L416">
        <v>18</v>
      </c>
      <c r="M416">
        <v>6</v>
      </c>
      <c r="N416">
        <v>0</v>
      </c>
      <c r="O416" t="s">
        <v>25</v>
      </c>
      <c r="P416" t="s">
        <v>35</v>
      </c>
      <c r="Q416">
        <v>4.7</v>
      </c>
      <c r="R416">
        <v>24</v>
      </c>
      <c r="S416" t="s">
        <v>36</v>
      </c>
    </row>
    <row r="417" spans="1:19" x14ac:dyDescent="0.3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 t="str">
        <f t="shared" si="6"/>
        <v>8-14 days</v>
      </c>
      <c r="L417">
        <v>14</v>
      </c>
      <c r="M417">
        <v>3</v>
      </c>
      <c r="N417">
        <v>0</v>
      </c>
      <c r="O417" t="s">
        <v>25</v>
      </c>
      <c r="P417" t="s">
        <v>35</v>
      </c>
      <c r="Q417">
        <v>8.6</v>
      </c>
      <c r="R417">
        <v>23</v>
      </c>
      <c r="S417" t="s">
        <v>27</v>
      </c>
    </row>
    <row r="418" spans="1:19" x14ac:dyDescent="0.3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 t="str">
        <f t="shared" si="6"/>
        <v>15-30 days</v>
      </c>
      <c r="L418">
        <v>21</v>
      </c>
      <c r="M418">
        <v>3</v>
      </c>
      <c r="N418">
        <v>0</v>
      </c>
      <c r="O418" t="s">
        <v>25</v>
      </c>
      <c r="P418" t="s">
        <v>35</v>
      </c>
      <c r="Q418">
        <v>31.1</v>
      </c>
      <c r="R418">
        <v>14</v>
      </c>
      <c r="S418" t="s">
        <v>27</v>
      </c>
    </row>
    <row r="419" spans="1:19" x14ac:dyDescent="0.3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 t="str">
        <f t="shared" si="6"/>
        <v>8-14 days</v>
      </c>
      <c r="L419">
        <v>10</v>
      </c>
      <c r="M419">
        <v>3</v>
      </c>
      <c r="N419">
        <v>1</v>
      </c>
      <c r="O419" t="s">
        <v>25</v>
      </c>
      <c r="P419" t="s">
        <v>35</v>
      </c>
      <c r="Q419">
        <v>17</v>
      </c>
      <c r="R419">
        <v>9</v>
      </c>
      <c r="S419" t="s">
        <v>36</v>
      </c>
    </row>
    <row r="420" spans="1:19" x14ac:dyDescent="0.3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 t="str">
        <f t="shared" si="6"/>
        <v>31-60 days</v>
      </c>
      <c r="L420">
        <v>34</v>
      </c>
      <c r="M420">
        <v>4</v>
      </c>
      <c r="N420">
        <v>2</v>
      </c>
      <c r="O420" t="s">
        <v>54</v>
      </c>
      <c r="P420" t="s">
        <v>55</v>
      </c>
      <c r="Q420">
        <v>23.7</v>
      </c>
      <c r="R420">
        <v>3</v>
      </c>
      <c r="S420" t="s">
        <v>36</v>
      </c>
    </row>
    <row r="421" spans="1:19" x14ac:dyDescent="0.3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 t="str">
        <f t="shared" si="6"/>
        <v>31-60 days</v>
      </c>
      <c r="L421">
        <v>39</v>
      </c>
      <c r="M421">
        <v>1</v>
      </c>
      <c r="N421">
        <v>0</v>
      </c>
      <c r="O421" t="s">
        <v>54</v>
      </c>
      <c r="P421" t="s">
        <v>55</v>
      </c>
      <c r="Q421">
        <v>17.600000000000001</v>
      </c>
      <c r="R421">
        <v>22</v>
      </c>
      <c r="S421" t="s">
        <v>71</v>
      </c>
    </row>
    <row r="422" spans="1:19" x14ac:dyDescent="0.3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 t="str">
        <f t="shared" si="6"/>
        <v>31-60 days</v>
      </c>
      <c r="L422">
        <v>48</v>
      </c>
      <c r="M422">
        <v>2</v>
      </c>
      <c r="N422">
        <v>0</v>
      </c>
      <c r="O422" t="s">
        <v>25</v>
      </c>
      <c r="P422" t="s">
        <v>35</v>
      </c>
      <c r="Q422">
        <v>8.4</v>
      </c>
      <c r="R422">
        <v>26</v>
      </c>
      <c r="S422" t="s">
        <v>27</v>
      </c>
    </row>
    <row r="423" spans="1:19" x14ac:dyDescent="0.3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 t="str">
        <f t="shared" si="6"/>
        <v>31-60 days</v>
      </c>
      <c r="L423">
        <v>59</v>
      </c>
      <c r="M423">
        <v>4</v>
      </c>
      <c r="N423">
        <v>0</v>
      </c>
      <c r="O423" t="s">
        <v>54</v>
      </c>
      <c r="P423" t="s">
        <v>55</v>
      </c>
      <c r="Q423">
        <v>15.2</v>
      </c>
      <c r="R423">
        <v>31</v>
      </c>
      <c r="S423" t="s">
        <v>27</v>
      </c>
    </row>
    <row r="424" spans="1:19" x14ac:dyDescent="0.3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 t="str">
        <f t="shared" si="6"/>
        <v>0-7 days</v>
      </c>
      <c r="L424">
        <v>4</v>
      </c>
      <c r="M424">
        <v>2</v>
      </c>
      <c r="N424">
        <v>0</v>
      </c>
      <c r="O424" t="s">
        <v>25</v>
      </c>
      <c r="P424" t="s">
        <v>50</v>
      </c>
      <c r="Q424">
        <v>7.7</v>
      </c>
      <c r="R424">
        <v>37</v>
      </c>
      <c r="S424" t="s">
        <v>71</v>
      </c>
    </row>
    <row r="425" spans="1:19" x14ac:dyDescent="0.3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 t="str">
        <f t="shared" si="6"/>
        <v>15-30 days</v>
      </c>
      <c r="L425">
        <v>15</v>
      </c>
      <c r="M425">
        <v>1</v>
      </c>
      <c r="N425">
        <v>0</v>
      </c>
      <c r="O425" t="s">
        <v>25</v>
      </c>
      <c r="P425" t="s">
        <v>26</v>
      </c>
      <c r="Q425">
        <v>3.2</v>
      </c>
      <c r="R425">
        <v>33</v>
      </c>
      <c r="S425" t="s">
        <v>36</v>
      </c>
    </row>
    <row r="426" spans="1:19" x14ac:dyDescent="0.3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 t="str">
        <f t="shared" si="6"/>
        <v>15-30 days</v>
      </c>
      <c r="L426">
        <v>18</v>
      </c>
      <c r="M426">
        <v>5</v>
      </c>
      <c r="N426">
        <v>1</v>
      </c>
      <c r="O426" t="s">
        <v>54</v>
      </c>
      <c r="P426" t="s">
        <v>55</v>
      </c>
      <c r="Q426">
        <v>10.199999999999999</v>
      </c>
      <c r="R426">
        <v>35</v>
      </c>
      <c r="S426" t="s">
        <v>27</v>
      </c>
    </row>
    <row r="427" spans="1:19" x14ac:dyDescent="0.3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 t="str">
        <f t="shared" si="6"/>
        <v>15-30 days</v>
      </c>
      <c r="L427">
        <v>15</v>
      </c>
      <c r="M427">
        <v>2</v>
      </c>
      <c r="N427">
        <v>2</v>
      </c>
      <c r="O427" t="s">
        <v>54</v>
      </c>
      <c r="P427" t="s">
        <v>55</v>
      </c>
      <c r="Q427">
        <v>2.5</v>
      </c>
      <c r="R427">
        <v>13</v>
      </c>
      <c r="S427" t="s">
        <v>27</v>
      </c>
    </row>
    <row r="428" spans="1:19" x14ac:dyDescent="0.3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 t="str">
        <f t="shared" si="6"/>
        <v>31-60 days</v>
      </c>
      <c r="L428">
        <v>50</v>
      </c>
      <c r="M428">
        <v>4</v>
      </c>
      <c r="N428">
        <v>3</v>
      </c>
      <c r="O428" t="s">
        <v>25</v>
      </c>
      <c r="P428" t="s">
        <v>35</v>
      </c>
      <c r="Q428">
        <v>7.5</v>
      </c>
      <c r="R428">
        <v>36</v>
      </c>
      <c r="S428" t="s">
        <v>27</v>
      </c>
    </row>
    <row r="429" spans="1:19" x14ac:dyDescent="0.3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 t="str">
        <f t="shared" si="6"/>
        <v>8-14 days</v>
      </c>
      <c r="L429">
        <v>8</v>
      </c>
      <c r="M429">
        <v>4</v>
      </c>
      <c r="N429">
        <v>1</v>
      </c>
      <c r="O429" t="s">
        <v>54</v>
      </c>
      <c r="P429" t="s">
        <v>55</v>
      </c>
      <c r="Q429">
        <v>18.600000000000001</v>
      </c>
      <c r="R429">
        <v>28</v>
      </c>
      <c r="S429" t="s">
        <v>27</v>
      </c>
    </row>
    <row r="430" spans="1:19" x14ac:dyDescent="0.3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 t="str">
        <f t="shared" si="6"/>
        <v>0-7 days</v>
      </c>
      <c r="L430">
        <v>1</v>
      </c>
      <c r="M430">
        <v>3</v>
      </c>
      <c r="N430">
        <v>1</v>
      </c>
      <c r="O430" t="s">
        <v>25</v>
      </c>
      <c r="P430" t="s">
        <v>50</v>
      </c>
      <c r="Q430">
        <v>16.399999999999999</v>
      </c>
      <c r="R430">
        <v>10</v>
      </c>
      <c r="S430" t="s">
        <v>36</v>
      </c>
    </row>
    <row r="431" spans="1:19" x14ac:dyDescent="0.3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 t="str">
        <f t="shared" si="6"/>
        <v>31-60 days</v>
      </c>
      <c r="L431">
        <v>52</v>
      </c>
      <c r="M431">
        <v>3</v>
      </c>
      <c r="N431">
        <v>1</v>
      </c>
      <c r="O431" t="s">
        <v>25</v>
      </c>
      <c r="P431" t="s">
        <v>35</v>
      </c>
      <c r="Q431">
        <v>7.6</v>
      </c>
      <c r="R431">
        <v>36</v>
      </c>
      <c r="S431" t="s">
        <v>27</v>
      </c>
    </row>
    <row r="432" spans="1:19" x14ac:dyDescent="0.3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 t="str">
        <f t="shared" si="6"/>
        <v>31-60 days</v>
      </c>
      <c r="L432">
        <v>58</v>
      </c>
      <c r="M432">
        <v>1</v>
      </c>
      <c r="N432">
        <v>0</v>
      </c>
      <c r="O432" t="s">
        <v>54</v>
      </c>
      <c r="P432" t="s">
        <v>55</v>
      </c>
      <c r="Q432">
        <v>23.6</v>
      </c>
      <c r="R432">
        <v>14</v>
      </c>
      <c r="S432" t="s">
        <v>36</v>
      </c>
    </row>
    <row r="433" spans="1:19" x14ac:dyDescent="0.3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 t="str">
        <f t="shared" si="6"/>
        <v>8-14 days</v>
      </c>
      <c r="L433">
        <v>13</v>
      </c>
      <c r="M433">
        <v>4</v>
      </c>
      <c r="N433">
        <v>0</v>
      </c>
      <c r="O433" t="s">
        <v>54</v>
      </c>
      <c r="P433" t="s">
        <v>55</v>
      </c>
      <c r="Q433">
        <v>12</v>
      </c>
      <c r="R433">
        <v>13</v>
      </c>
      <c r="S433" t="s">
        <v>36</v>
      </c>
    </row>
    <row r="434" spans="1:19" x14ac:dyDescent="0.3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 t="str">
        <f t="shared" si="6"/>
        <v>15-30 days</v>
      </c>
      <c r="L434">
        <v>20</v>
      </c>
      <c r="M434">
        <v>3</v>
      </c>
      <c r="N434">
        <v>2</v>
      </c>
      <c r="O434" t="s">
        <v>25</v>
      </c>
      <c r="P434" t="s">
        <v>35</v>
      </c>
      <c r="Q434">
        <v>13.6</v>
      </c>
      <c r="R434">
        <v>41</v>
      </c>
      <c r="S434" t="s">
        <v>27</v>
      </c>
    </row>
    <row r="435" spans="1:19" x14ac:dyDescent="0.3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 t="str">
        <f t="shared" si="6"/>
        <v>15-30 days</v>
      </c>
      <c r="L435">
        <v>30</v>
      </c>
      <c r="M435">
        <v>1</v>
      </c>
      <c r="N435">
        <v>1</v>
      </c>
      <c r="O435" t="s">
        <v>25</v>
      </c>
      <c r="P435" t="s">
        <v>35</v>
      </c>
      <c r="Q435">
        <v>6.5</v>
      </c>
      <c r="R435">
        <v>27</v>
      </c>
      <c r="S435" t="s">
        <v>36</v>
      </c>
    </row>
    <row r="436" spans="1:19" x14ac:dyDescent="0.3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 t="str">
        <f t="shared" si="6"/>
        <v>31-60 days</v>
      </c>
      <c r="L436">
        <v>32</v>
      </c>
      <c r="M436">
        <v>2</v>
      </c>
      <c r="N436">
        <v>0</v>
      </c>
      <c r="O436" t="s">
        <v>54</v>
      </c>
      <c r="P436" t="s">
        <v>55</v>
      </c>
      <c r="Q436">
        <v>14.9</v>
      </c>
      <c r="R436">
        <v>13</v>
      </c>
      <c r="S436" t="s">
        <v>36</v>
      </c>
    </row>
    <row r="437" spans="1:19" x14ac:dyDescent="0.3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 t="str">
        <f t="shared" si="6"/>
        <v>31-60 days</v>
      </c>
      <c r="L437">
        <v>60</v>
      </c>
      <c r="M437">
        <v>1</v>
      </c>
      <c r="N437">
        <v>0</v>
      </c>
      <c r="O437" t="s">
        <v>54</v>
      </c>
      <c r="P437" t="s">
        <v>55</v>
      </c>
      <c r="Q437">
        <v>8</v>
      </c>
      <c r="R437">
        <v>18</v>
      </c>
      <c r="S437" t="s">
        <v>27</v>
      </c>
    </row>
    <row r="438" spans="1:19" x14ac:dyDescent="0.3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 t="str">
        <f t="shared" si="6"/>
        <v>15-30 days</v>
      </c>
      <c r="L438">
        <v>24</v>
      </c>
      <c r="M438">
        <v>6</v>
      </c>
      <c r="N438">
        <v>0</v>
      </c>
      <c r="O438" t="s">
        <v>25</v>
      </c>
      <c r="P438" t="s">
        <v>35</v>
      </c>
      <c r="Q438">
        <v>4.2</v>
      </c>
      <c r="R438">
        <v>36</v>
      </c>
      <c r="S438" t="s">
        <v>36</v>
      </c>
    </row>
    <row r="439" spans="1:19" x14ac:dyDescent="0.3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 t="str">
        <f t="shared" si="6"/>
        <v>0-7 days</v>
      </c>
      <c r="L439">
        <v>0</v>
      </c>
      <c r="M439">
        <v>2</v>
      </c>
      <c r="N439">
        <v>0</v>
      </c>
      <c r="O439" t="s">
        <v>25</v>
      </c>
      <c r="P439" t="s">
        <v>50</v>
      </c>
      <c r="Q439">
        <v>12</v>
      </c>
      <c r="R439">
        <v>11</v>
      </c>
      <c r="S439" t="s">
        <v>36</v>
      </c>
    </row>
    <row r="440" spans="1:19" x14ac:dyDescent="0.3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 t="str">
        <f t="shared" si="6"/>
        <v>15-30 days</v>
      </c>
      <c r="L440">
        <v>25</v>
      </c>
      <c r="M440">
        <v>3</v>
      </c>
      <c r="N440">
        <v>1</v>
      </c>
      <c r="O440" t="s">
        <v>25</v>
      </c>
      <c r="P440" t="s">
        <v>50</v>
      </c>
      <c r="Q440">
        <v>8.8000000000000007</v>
      </c>
      <c r="R440">
        <v>23</v>
      </c>
      <c r="S440" t="s">
        <v>36</v>
      </c>
    </row>
    <row r="441" spans="1:19" x14ac:dyDescent="0.3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 t="str">
        <f t="shared" si="6"/>
        <v>31-60 days</v>
      </c>
      <c r="L441">
        <v>33</v>
      </c>
      <c r="M441">
        <v>4</v>
      </c>
      <c r="N441">
        <v>0</v>
      </c>
      <c r="O441" t="s">
        <v>25</v>
      </c>
      <c r="P441" t="s">
        <v>35</v>
      </c>
      <c r="Q441">
        <v>8.4</v>
      </c>
      <c r="R441">
        <v>23</v>
      </c>
      <c r="S441" t="s">
        <v>36</v>
      </c>
    </row>
    <row r="442" spans="1:19" x14ac:dyDescent="0.3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 t="str">
        <f t="shared" si="6"/>
        <v>31-60 days</v>
      </c>
      <c r="L442">
        <v>31</v>
      </c>
      <c r="M442">
        <v>1</v>
      </c>
      <c r="N442">
        <v>0</v>
      </c>
      <c r="O442" t="s">
        <v>25</v>
      </c>
      <c r="P442" t="s">
        <v>50</v>
      </c>
      <c r="Q442">
        <v>12.7</v>
      </c>
      <c r="R442">
        <v>54</v>
      </c>
      <c r="S442" t="s">
        <v>36</v>
      </c>
    </row>
    <row r="443" spans="1:19" x14ac:dyDescent="0.3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 t="str">
        <f t="shared" si="6"/>
        <v>31-60 days</v>
      </c>
      <c r="L443">
        <v>31</v>
      </c>
      <c r="M443">
        <v>1</v>
      </c>
      <c r="N443">
        <v>0</v>
      </c>
      <c r="O443" t="s">
        <v>25</v>
      </c>
      <c r="P443" t="s">
        <v>26</v>
      </c>
      <c r="Q443">
        <v>2.6</v>
      </c>
      <c r="R443">
        <v>8</v>
      </c>
      <c r="S443" t="s">
        <v>36</v>
      </c>
    </row>
    <row r="444" spans="1:19" x14ac:dyDescent="0.3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 t="str">
        <f t="shared" si="6"/>
        <v>31-60 days</v>
      </c>
      <c r="L444">
        <v>56</v>
      </c>
      <c r="M444">
        <v>5</v>
      </c>
      <c r="N444">
        <v>1</v>
      </c>
      <c r="O444" t="s">
        <v>25</v>
      </c>
      <c r="P444" t="s">
        <v>50</v>
      </c>
      <c r="Q444">
        <v>5.7</v>
      </c>
      <c r="R444">
        <v>9</v>
      </c>
      <c r="S444" t="s">
        <v>27</v>
      </c>
    </row>
    <row r="445" spans="1:19" x14ac:dyDescent="0.3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 t="str">
        <f t="shared" si="6"/>
        <v>31-60 days</v>
      </c>
      <c r="L445">
        <v>49</v>
      </c>
      <c r="M445">
        <v>4</v>
      </c>
      <c r="N445">
        <v>1</v>
      </c>
      <c r="O445" t="s">
        <v>54</v>
      </c>
      <c r="P445" t="s">
        <v>55</v>
      </c>
      <c r="R445">
        <v>18</v>
      </c>
      <c r="S445" t="s">
        <v>27</v>
      </c>
    </row>
    <row r="446" spans="1:19" x14ac:dyDescent="0.3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 t="str">
        <f t="shared" si="6"/>
        <v>15-30 days</v>
      </c>
      <c r="L446">
        <v>15</v>
      </c>
      <c r="M446">
        <v>3</v>
      </c>
      <c r="N446">
        <v>1</v>
      </c>
      <c r="O446" t="s">
        <v>25</v>
      </c>
      <c r="P446" t="s">
        <v>50</v>
      </c>
      <c r="Q446">
        <v>3.9</v>
      </c>
      <c r="R446">
        <v>17</v>
      </c>
      <c r="S446" t="s">
        <v>36</v>
      </c>
    </row>
    <row r="447" spans="1:19" x14ac:dyDescent="0.3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 t="str">
        <f t="shared" si="6"/>
        <v>15-30 days</v>
      </c>
      <c r="L447">
        <v>21</v>
      </c>
      <c r="M447">
        <v>0</v>
      </c>
      <c r="N447">
        <v>0</v>
      </c>
      <c r="O447" t="s">
        <v>54</v>
      </c>
      <c r="P447" t="s">
        <v>55</v>
      </c>
      <c r="Q447">
        <v>5</v>
      </c>
      <c r="R447">
        <v>24</v>
      </c>
      <c r="S447" t="s">
        <v>71</v>
      </c>
    </row>
    <row r="448" spans="1:19" x14ac:dyDescent="0.3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 t="str">
        <f t="shared" si="6"/>
        <v>31-60 days</v>
      </c>
      <c r="L448">
        <v>40</v>
      </c>
      <c r="M448">
        <v>6</v>
      </c>
      <c r="N448">
        <v>0</v>
      </c>
      <c r="O448" t="s">
        <v>54</v>
      </c>
      <c r="P448" t="s">
        <v>55</v>
      </c>
      <c r="Q448">
        <v>14.9</v>
      </c>
      <c r="R448">
        <v>19</v>
      </c>
      <c r="S448" t="s">
        <v>27</v>
      </c>
    </row>
    <row r="449" spans="1:19" x14ac:dyDescent="0.3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 t="str">
        <f t="shared" si="6"/>
        <v>15-30 days</v>
      </c>
      <c r="L449">
        <v>25</v>
      </c>
      <c r="M449">
        <v>4</v>
      </c>
      <c r="N449">
        <v>0</v>
      </c>
      <c r="O449" t="s">
        <v>25</v>
      </c>
      <c r="P449" t="s">
        <v>35</v>
      </c>
      <c r="Q449">
        <v>3.3</v>
      </c>
      <c r="R449">
        <v>33</v>
      </c>
      <c r="S449" t="s">
        <v>27</v>
      </c>
    </row>
    <row r="450" spans="1:19" x14ac:dyDescent="0.3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 t="str">
        <f t="shared" si="6"/>
        <v>15-30 days</v>
      </c>
      <c r="L450">
        <v>26</v>
      </c>
      <c r="M450">
        <v>2</v>
      </c>
      <c r="N450">
        <v>1</v>
      </c>
      <c r="O450" t="s">
        <v>25</v>
      </c>
      <c r="P450" t="s">
        <v>50</v>
      </c>
      <c r="Q450">
        <v>17</v>
      </c>
      <c r="R450">
        <v>25</v>
      </c>
      <c r="S450" t="s">
        <v>27</v>
      </c>
    </row>
    <row r="451" spans="1:19" x14ac:dyDescent="0.3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 t="str">
        <f t="shared" ref="K451:K514" si="7">IF(L451&lt;=7,"0-7 days",IF(L451&lt;=14,"8-14 days",IF(L451&lt;=30,"15-30 days","31-60 days")))</f>
        <v>8-14 days</v>
      </c>
      <c r="L451">
        <v>10</v>
      </c>
      <c r="M451">
        <v>5</v>
      </c>
      <c r="N451">
        <v>2</v>
      </c>
      <c r="O451" t="s">
        <v>54</v>
      </c>
      <c r="P451" t="s">
        <v>55</v>
      </c>
      <c r="Q451">
        <v>12.9</v>
      </c>
      <c r="R451">
        <v>13</v>
      </c>
      <c r="S451" t="s">
        <v>27</v>
      </c>
    </row>
    <row r="452" spans="1:19" x14ac:dyDescent="0.3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 t="str">
        <f t="shared" si="7"/>
        <v>15-30 days</v>
      </c>
      <c r="L452">
        <v>15</v>
      </c>
      <c r="M452">
        <v>2</v>
      </c>
      <c r="N452">
        <v>0</v>
      </c>
      <c r="O452" t="s">
        <v>25</v>
      </c>
      <c r="P452" t="s">
        <v>26</v>
      </c>
      <c r="Q452">
        <v>13.8</v>
      </c>
      <c r="R452">
        <v>21</v>
      </c>
      <c r="S452" t="s">
        <v>36</v>
      </c>
    </row>
    <row r="453" spans="1:19" x14ac:dyDescent="0.3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 t="str">
        <f t="shared" si="7"/>
        <v>31-60 days</v>
      </c>
      <c r="L453">
        <v>45</v>
      </c>
      <c r="M453">
        <v>2</v>
      </c>
      <c r="N453">
        <v>0</v>
      </c>
      <c r="O453" t="s">
        <v>25</v>
      </c>
      <c r="P453" t="s">
        <v>35</v>
      </c>
      <c r="Q453">
        <v>3.6</v>
      </c>
      <c r="R453">
        <v>21</v>
      </c>
      <c r="S453" t="s">
        <v>71</v>
      </c>
    </row>
    <row r="454" spans="1:19" x14ac:dyDescent="0.3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 t="str">
        <f t="shared" si="7"/>
        <v>31-60 days</v>
      </c>
      <c r="L454">
        <v>51</v>
      </c>
      <c r="M454">
        <v>3</v>
      </c>
      <c r="N454">
        <v>1</v>
      </c>
      <c r="O454" t="s">
        <v>25</v>
      </c>
      <c r="P454" t="s">
        <v>35</v>
      </c>
      <c r="Q454">
        <v>17.399999999999999</v>
      </c>
      <c r="R454">
        <v>37</v>
      </c>
      <c r="S454" t="s">
        <v>27</v>
      </c>
    </row>
    <row r="455" spans="1:19" x14ac:dyDescent="0.3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 t="str">
        <f t="shared" si="7"/>
        <v>31-60 days</v>
      </c>
      <c r="L455">
        <v>47</v>
      </c>
      <c r="M455">
        <v>1</v>
      </c>
      <c r="N455">
        <v>0</v>
      </c>
      <c r="O455" t="s">
        <v>25</v>
      </c>
      <c r="P455" t="s">
        <v>26</v>
      </c>
      <c r="Q455">
        <v>10</v>
      </c>
      <c r="R455">
        <v>34</v>
      </c>
      <c r="S455" t="s">
        <v>36</v>
      </c>
    </row>
    <row r="456" spans="1:19" x14ac:dyDescent="0.3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 t="str">
        <f t="shared" si="7"/>
        <v>15-30 days</v>
      </c>
      <c r="L456">
        <v>18</v>
      </c>
      <c r="M456">
        <v>5</v>
      </c>
      <c r="N456">
        <v>1</v>
      </c>
      <c r="O456" t="s">
        <v>25</v>
      </c>
      <c r="P456" t="s">
        <v>35</v>
      </c>
      <c r="Q456">
        <v>23.9</v>
      </c>
      <c r="R456">
        <v>32</v>
      </c>
      <c r="S456" t="s">
        <v>36</v>
      </c>
    </row>
    <row r="457" spans="1:19" x14ac:dyDescent="0.3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 t="str">
        <f t="shared" si="7"/>
        <v>8-14 days</v>
      </c>
      <c r="L457">
        <v>8</v>
      </c>
      <c r="M457">
        <v>2</v>
      </c>
      <c r="N457">
        <v>0</v>
      </c>
      <c r="O457" t="s">
        <v>25</v>
      </c>
      <c r="P457" t="s">
        <v>35</v>
      </c>
      <c r="Q457">
        <v>13.1</v>
      </c>
      <c r="R457">
        <v>16</v>
      </c>
      <c r="S457" t="s">
        <v>36</v>
      </c>
    </row>
    <row r="458" spans="1:19" x14ac:dyDescent="0.3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 t="str">
        <f t="shared" si="7"/>
        <v>8-14 days</v>
      </c>
      <c r="L458">
        <v>9</v>
      </c>
      <c r="M458">
        <v>1</v>
      </c>
      <c r="N458">
        <v>1</v>
      </c>
      <c r="O458" t="s">
        <v>54</v>
      </c>
      <c r="P458" t="s">
        <v>55</v>
      </c>
      <c r="Q458">
        <v>8.3000000000000007</v>
      </c>
      <c r="R458">
        <v>28</v>
      </c>
      <c r="S458" t="s">
        <v>27</v>
      </c>
    </row>
    <row r="459" spans="1:19" x14ac:dyDescent="0.3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 t="str">
        <f t="shared" si="7"/>
        <v>15-30 days</v>
      </c>
      <c r="L459">
        <v>24</v>
      </c>
      <c r="M459">
        <v>1</v>
      </c>
      <c r="N459">
        <v>0</v>
      </c>
      <c r="O459" t="s">
        <v>25</v>
      </c>
      <c r="P459" t="s">
        <v>26</v>
      </c>
      <c r="Q459">
        <v>2.8</v>
      </c>
      <c r="R459">
        <v>11</v>
      </c>
      <c r="S459" t="s">
        <v>27</v>
      </c>
    </row>
    <row r="460" spans="1:19" x14ac:dyDescent="0.3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 t="str">
        <f t="shared" si="7"/>
        <v>31-60 days</v>
      </c>
      <c r="L460">
        <v>31</v>
      </c>
      <c r="M460">
        <v>6</v>
      </c>
      <c r="N460">
        <v>1</v>
      </c>
      <c r="O460" t="s">
        <v>25</v>
      </c>
      <c r="P460" t="s">
        <v>35</v>
      </c>
      <c r="Q460">
        <v>11.4</v>
      </c>
      <c r="R460">
        <v>31</v>
      </c>
      <c r="S460" t="s">
        <v>27</v>
      </c>
    </row>
    <row r="461" spans="1:19" x14ac:dyDescent="0.3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 t="str">
        <f t="shared" si="7"/>
        <v>31-60 days</v>
      </c>
      <c r="L461">
        <v>54</v>
      </c>
      <c r="M461">
        <v>4</v>
      </c>
      <c r="N461">
        <v>0</v>
      </c>
      <c r="O461" t="s">
        <v>25</v>
      </c>
      <c r="P461" t="s">
        <v>50</v>
      </c>
      <c r="Q461">
        <v>16</v>
      </c>
      <c r="R461">
        <v>37</v>
      </c>
      <c r="S461" t="s">
        <v>27</v>
      </c>
    </row>
    <row r="462" spans="1:19" x14ac:dyDescent="0.3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 t="str">
        <f t="shared" si="7"/>
        <v>31-60 days</v>
      </c>
      <c r="L462">
        <v>54</v>
      </c>
      <c r="M462">
        <v>2</v>
      </c>
      <c r="N462">
        <v>0</v>
      </c>
      <c r="O462" t="s">
        <v>25</v>
      </c>
      <c r="P462" t="s">
        <v>26</v>
      </c>
      <c r="Q462">
        <v>14.7</v>
      </c>
      <c r="R462">
        <v>2</v>
      </c>
      <c r="S462" t="s">
        <v>27</v>
      </c>
    </row>
    <row r="463" spans="1:19" x14ac:dyDescent="0.3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 t="str">
        <f t="shared" si="7"/>
        <v>0-7 days</v>
      </c>
      <c r="L463">
        <v>0</v>
      </c>
      <c r="M463">
        <v>3</v>
      </c>
      <c r="N463">
        <v>0</v>
      </c>
      <c r="O463" t="s">
        <v>25</v>
      </c>
      <c r="P463" t="s">
        <v>50</v>
      </c>
      <c r="Q463">
        <v>4.0999999999999996</v>
      </c>
      <c r="R463">
        <v>23</v>
      </c>
      <c r="S463" t="s">
        <v>36</v>
      </c>
    </row>
    <row r="464" spans="1:19" x14ac:dyDescent="0.3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 t="str">
        <f t="shared" si="7"/>
        <v>31-60 days</v>
      </c>
      <c r="L464">
        <v>43</v>
      </c>
      <c r="M464">
        <v>3</v>
      </c>
      <c r="N464">
        <v>0</v>
      </c>
      <c r="O464" t="s">
        <v>25</v>
      </c>
      <c r="P464" t="s">
        <v>35</v>
      </c>
      <c r="Q464">
        <v>23.3</v>
      </c>
      <c r="R464">
        <v>23</v>
      </c>
      <c r="S464" t="s">
        <v>27</v>
      </c>
    </row>
    <row r="465" spans="1:19" x14ac:dyDescent="0.3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 t="str">
        <f t="shared" si="7"/>
        <v>15-30 days</v>
      </c>
      <c r="L465">
        <v>18</v>
      </c>
      <c r="M465">
        <v>1</v>
      </c>
      <c r="N465">
        <v>1</v>
      </c>
      <c r="O465" t="s">
        <v>25</v>
      </c>
      <c r="P465" t="s">
        <v>35</v>
      </c>
      <c r="Q465">
        <v>5.8</v>
      </c>
      <c r="R465">
        <v>34</v>
      </c>
      <c r="S465" t="s">
        <v>36</v>
      </c>
    </row>
    <row r="466" spans="1:19" x14ac:dyDescent="0.3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 t="str">
        <f t="shared" si="7"/>
        <v>8-14 days</v>
      </c>
      <c r="L466">
        <v>12</v>
      </c>
      <c r="M466">
        <v>5</v>
      </c>
      <c r="N466">
        <v>1</v>
      </c>
      <c r="O466" t="s">
        <v>25</v>
      </c>
      <c r="P466" t="s">
        <v>35</v>
      </c>
      <c r="Q466">
        <v>16.8</v>
      </c>
      <c r="R466">
        <v>18</v>
      </c>
      <c r="S466" t="s">
        <v>27</v>
      </c>
    </row>
    <row r="467" spans="1:19" x14ac:dyDescent="0.3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 t="str">
        <f t="shared" si="7"/>
        <v>31-60 days</v>
      </c>
      <c r="L467">
        <v>33</v>
      </c>
      <c r="M467">
        <v>4</v>
      </c>
      <c r="N467">
        <v>4</v>
      </c>
      <c r="O467" t="s">
        <v>25</v>
      </c>
      <c r="P467" t="s">
        <v>35</v>
      </c>
      <c r="Q467">
        <v>4.5999999999999996</v>
      </c>
      <c r="R467">
        <v>18</v>
      </c>
      <c r="S467" t="s">
        <v>36</v>
      </c>
    </row>
    <row r="468" spans="1:19" x14ac:dyDescent="0.3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 t="str">
        <f t="shared" si="7"/>
        <v>0-7 days</v>
      </c>
      <c r="L468">
        <v>2</v>
      </c>
      <c r="M468">
        <v>4</v>
      </c>
      <c r="N468">
        <v>1</v>
      </c>
      <c r="O468" t="s">
        <v>25</v>
      </c>
      <c r="P468" t="s">
        <v>35</v>
      </c>
      <c r="Q468">
        <v>4.5999999999999996</v>
      </c>
      <c r="R468">
        <v>26</v>
      </c>
      <c r="S468" t="s">
        <v>27</v>
      </c>
    </row>
    <row r="469" spans="1:19" x14ac:dyDescent="0.3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 t="str">
        <f t="shared" si="7"/>
        <v>15-30 days</v>
      </c>
      <c r="L469">
        <v>20</v>
      </c>
      <c r="M469">
        <v>2</v>
      </c>
      <c r="N469">
        <v>0</v>
      </c>
      <c r="O469" t="s">
        <v>54</v>
      </c>
      <c r="P469" t="s">
        <v>55</v>
      </c>
      <c r="Q469">
        <v>4.8</v>
      </c>
      <c r="R469">
        <v>31</v>
      </c>
      <c r="S469" t="s">
        <v>36</v>
      </c>
    </row>
    <row r="470" spans="1:19" x14ac:dyDescent="0.3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 t="str">
        <f t="shared" si="7"/>
        <v>31-60 days</v>
      </c>
      <c r="L470">
        <v>33</v>
      </c>
      <c r="M470">
        <v>5</v>
      </c>
      <c r="N470">
        <v>1</v>
      </c>
      <c r="O470" t="s">
        <v>25</v>
      </c>
      <c r="P470" t="s">
        <v>26</v>
      </c>
      <c r="Q470">
        <v>4.9000000000000004</v>
      </c>
      <c r="R470">
        <v>26</v>
      </c>
      <c r="S470" t="s">
        <v>36</v>
      </c>
    </row>
    <row r="471" spans="1:19" x14ac:dyDescent="0.3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 t="str">
        <f t="shared" si="7"/>
        <v>15-30 days</v>
      </c>
      <c r="L471">
        <v>16</v>
      </c>
      <c r="M471">
        <v>4</v>
      </c>
      <c r="N471">
        <v>1</v>
      </c>
      <c r="O471" t="s">
        <v>54</v>
      </c>
      <c r="P471" t="s">
        <v>55</v>
      </c>
      <c r="Q471">
        <v>3.2</v>
      </c>
      <c r="R471">
        <v>34</v>
      </c>
      <c r="S471" t="s">
        <v>36</v>
      </c>
    </row>
    <row r="472" spans="1:19" x14ac:dyDescent="0.3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 t="str">
        <f t="shared" si="7"/>
        <v>31-60 days</v>
      </c>
      <c r="L472">
        <v>36</v>
      </c>
      <c r="M472">
        <v>2</v>
      </c>
      <c r="N472">
        <v>1</v>
      </c>
      <c r="O472" t="s">
        <v>54</v>
      </c>
      <c r="P472" t="s">
        <v>55</v>
      </c>
      <c r="Q472">
        <v>4</v>
      </c>
      <c r="R472">
        <v>32</v>
      </c>
      <c r="S472" t="s">
        <v>36</v>
      </c>
    </row>
    <row r="473" spans="1:19" x14ac:dyDescent="0.3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 t="str">
        <f t="shared" si="7"/>
        <v>15-30 days</v>
      </c>
      <c r="L473">
        <v>28</v>
      </c>
      <c r="M473">
        <v>2</v>
      </c>
      <c r="N473">
        <v>0</v>
      </c>
      <c r="O473" t="s">
        <v>54</v>
      </c>
      <c r="P473" t="s">
        <v>55</v>
      </c>
      <c r="Q473">
        <v>1.2</v>
      </c>
      <c r="R473">
        <v>19</v>
      </c>
      <c r="S473" t="s">
        <v>36</v>
      </c>
    </row>
    <row r="474" spans="1:19" x14ac:dyDescent="0.3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 t="str">
        <f t="shared" si="7"/>
        <v>31-60 days</v>
      </c>
      <c r="L474">
        <v>48</v>
      </c>
      <c r="M474">
        <v>3</v>
      </c>
      <c r="N474">
        <v>0</v>
      </c>
      <c r="O474" t="s">
        <v>25</v>
      </c>
      <c r="P474" t="s">
        <v>35</v>
      </c>
      <c r="Q474">
        <v>1.9</v>
      </c>
      <c r="R474">
        <v>24</v>
      </c>
      <c r="S474" t="s">
        <v>27</v>
      </c>
    </row>
    <row r="475" spans="1:19" x14ac:dyDescent="0.3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 t="str">
        <f t="shared" si="7"/>
        <v>8-14 days</v>
      </c>
      <c r="L475">
        <v>11</v>
      </c>
      <c r="M475">
        <v>2</v>
      </c>
      <c r="N475">
        <v>1</v>
      </c>
      <c r="O475" t="s">
        <v>25</v>
      </c>
      <c r="P475" t="s">
        <v>26</v>
      </c>
      <c r="Q475">
        <v>26.8</v>
      </c>
      <c r="R475">
        <v>30</v>
      </c>
      <c r="S475" t="s">
        <v>36</v>
      </c>
    </row>
    <row r="476" spans="1:19" x14ac:dyDescent="0.3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 t="str">
        <f t="shared" si="7"/>
        <v>0-7 days</v>
      </c>
      <c r="L476">
        <v>3</v>
      </c>
      <c r="M476">
        <v>2</v>
      </c>
      <c r="N476">
        <v>1</v>
      </c>
      <c r="O476" t="s">
        <v>25</v>
      </c>
      <c r="P476" t="s">
        <v>26</v>
      </c>
      <c r="Q476">
        <v>10.8</v>
      </c>
      <c r="R476">
        <v>16</v>
      </c>
      <c r="S476" t="s">
        <v>71</v>
      </c>
    </row>
    <row r="477" spans="1:19" x14ac:dyDescent="0.3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 t="str">
        <f t="shared" si="7"/>
        <v>31-60 days</v>
      </c>
      <c r="L477">
        <v>32</v>
      </c>
      <c r="M477">
        <v>2</v>
      </c>
      <c r="N477">
        <v>0</v>
      </c>
      <c r="O477" t="s">
        <v>25</v>
      </c>
      <c r="P477" t="s">
        <v>35</v>
      </c>
      <c r="Q477">
        <v>8.6</v>
      </c>
      <c r="R477">
        <v>17</v>
      </c>
      <c r="S477" t="s">
        <v>36</v>
      </c>
    </row>
    <row r="478" spans="1:19" x14ac:dyDescent="0.3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 t="str">
        <f t="shared" si="7"/>
        <v>15-30 days</v>
      </c>
      <c r="L478">
        <v>15</v>
      </c>
      <c r="M478">
        <v>1</v>
      </c>
      <c r="N478">
        <v>0</v>
      </c>
      <c r="O478" t="s">
        <v>25</v>
      </c>
      <c r="P478" t="s">
        <v>35</v>
      </c>
      <c r="Q478">
        <v>10.7</v>
      </c>
      <c r="R478">
        <v>8</v>
      </c>
      <c r="S478" t="s">
        <v>71</v>
      </c>
    </row>
    <row r="479" spans="1:19" x14ac:dyDescent="0.3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 t="str">
        <f t="shared" si="7"/>
        <v>31-60 days</v>
      </c>
      <c r="L479">
        <v>43</v>
      </c>
      <c r="M479">
        <v>3</v>
      </c>
      <c r="N479">
        <v>0</v>
      </c>
      <c r="O479" t="s">
        <v>25</v>
      </c>
      <c r="P479" t="s">
        <v>50</v>
      </c>
      <c r="Q479">
        <v>6.3</v>
      </c>
      <c r="R479">
        <v>37</v>
      </c>
      <c r="S479" t="s">
        <v>27</v>
      </c>
    </row>
    <row r="480" spans="1:19" x14ac:dyDescent="0.3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 t="str">
        <f t="shared" si="7"/>
        <v>0-7 days</v>
      </c>
      <c r="L480">
        <v>5</v>
      </c>
      <c r="M480">
        <v>2</v>
      </c>
      <c r="N480">
        <v>1</v>
      </c>
      <c r="O480" t="s">
        <v>25</v>
      </c>
      <c r="P480" t="s">
        <v>35</v>
      </c>
      <c r="Q480">
        <v>8.1999999999999993</v>
      </c>
      <c r="R480">
        <v>48</v>
      </c>
      <c r="S480" t="s">
        <v>36</v>
      </c>
    </row>
    <row r="481" spans="1:19" x14ac:dyDescent="0.3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 t="str">
        <f t="shared" si="7"/>
        <v>31-60 days</v>
      </c>
      <c r="L481">
        <v>35</v>
      </c>
      <c r="M481">
        <v>1</v>
      </c>
      <c r="N481">
        <v>0</v>
      </c>
      <c r="O481" t="s">
        <v>25</v>
      </c>
      <c r="P481" t="s">
        <v>35</v>
      </c>
      <c r="Q481">
        <v>6.8</v>
      </c>
      <c r="R481">
        <v>17</v>
      </c>
      <c r="S481" t="s">
        <v>27</v>
      </c>
    </row>
    <row r="482" spans="1:19" x14ac:dyDescent="0.3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 t="str">
        <f t="shared" si="7"/>
        <v>31-60 days</v>
      </c>
      <c r="L482">
        <v>60</v>
      </c>
      <c r="M482">
        <v>1</v>
      </c>
      <c r="N482">
        <v>0</v>
      </c>
      <c r="O482" t="s">
        <v>25</v>
      </c>
      <c r="P482" t="s">
        <v>35</v>
      </c>
      <c r="Q482">
        <v>12.1</v>
      </c>
      <c r="R482">
        <v>31</v>
      </c>
      <c r="S482" t="s">
        <v>36</v>
      </c>
    </row>
    <row r="483" spans="1:19" x14ac:dyDescent="0.3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 t="str">
        <f t="shared" si="7"/>
        <v>0-7 days</v>
      </c>
      <c r="L483">
        <v>5</v>
      </c>
      <c r="M483">
        <v>4</v>
      </c>
      <c r="N483">
        <v>0</v>
      </c>
      <c r="O483" t="s">
        <v>25</v>
      </c>
      <c r="P483" t="s">
        <v>35</v>
      </c>
      <c r="Q483">
        <v>15.5</v>
      </c>
      <c r="R483">
        <v>38</v>
      </c>
      <c r="S483" t="s">
        <v>36</v>
      </c>
    </row>
    <row r="484" spans="1:19" x14ac:dyDescent="0.3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 t="str">
        <f t="shared" si="7"/>
        <v>15-30 days</v>
      </c>
      <c r="L484">
        <v>18</v>
      </c>
      <c r="M484">
        <v>3</v>
      </c>
      <c r="N484">
        <v>0</v>
      </c>
      <c r="O484" t="s">
        <v>25</v>
      </c>
      <c r="P484" t="s">
        <v>35</v>
      </c>
      <c r="Q484">
        <v>5.0999999999999996</v>
      </c>
      <c r="R484">
        <v>11</v>
      </c>
      <c r="S484" t="s">
        <v>36</v>
      </c>
    </row>
    <row r="485" spans="1:19" x14ac:dyDescent="0.3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 t="str">
        <f t="shared" si="7"/>
        <v>31-60 days</v>
      </c>
      <c r="L485">
        <v>51</v>
      </c>
      <c r="M485">
        <v>2</v>
      </c>
      <c r="N485">
        <v>0</v>
      </c>
      <c r="O485" t="s">
        <v>25</v>
      </c>
      <c r="P485" t="s">
        <v>35</v>
      </c>
      <c r="Q485">
        <v>3.9</v>
      </c>
      <c r="R485">
        <v>28</v>
      </c>
      <c r="S485" t="s">
        <v>27</v>
      </c>
    </row>
    <row r="486" spans="1:19" x14ac:dyDescent="0.3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 t="str">
        <f t="shared" si="7"/>
        <v>31-60 days</v>
      </c>
      <c r="L486">
        <v>32</v>
      </c>
      <c r="M486">
        <v>1</v>
      </c>
      <c r="N486">
        <v>0</v>
      </c>
      <c r="O486" t="s">
        <v>25</v>
      </c>
      <c r="P486" t="s">
        <v>35</v>
      </c>
      <c r="Q486">
        <v>5.9</v>
      </c>
      <c r="R486">
        <v>39</v>
      </c>
      <c r="S486" t="s">
        <v>36</v>
      </c>
    </row>
    <row r="487" spans="1:19" x14ac:dyDescent="0.3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 t="str">
        <f t="shared" si="7"/>
        <v>8-14 days</v>
      </c>
      <c r="L487">
        <v>10</v>
      </c>
      <c r="M487">
        <v>3</v>
      </c>
      <c r="N487">
        <v>0</v>
      </c>
      <c r="O487" t="s">
        <v>54</v>
      </c>
      <c r="P487" t="s">
        <v>55</v>
      </c>
      <c r="Q487">
        <v>5.2</v>
      </c>
      <c r="R487">
        <v>21</v>
      </c>
      <c r="S487" t="s">
        <v>36</v>
      </c>
    </row>
    <row r="488" spans="1:19" x14ac:dyDescent="0.3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 t="str">
        <f t="shared" si="7"/>
        <v>8-14 days</v>
      </c>
      <c r="L488">
        <v>13</v>
      </c>
      <c r="M488">
        <v>6</v>
      </c>
      <c r="N488">
        <v>2</v>
      </c>
      <c r="O488" t="s">
        <v>25</v>
      </c>
      <c r="P488" t="s">
        <v>26</v>
      </c>
      <c r="Q488">
        <v>12.3</v>
      </c>
      <c r="R488">
        <v>23</v>
      </c>
      <c r="S488" t="s">
        <v>36</v>
      </c>
    </row>
    <row r="489" spans="1:19" x14ac:dyDescent="0.3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 t="str">
        <f t="shared" si="7"/>
        <v>31-60 days</v>
      </c>
      <c r="L489">
        <v>46</v>
      </c>
      <c r="M489">
        <v>6</v>
      </c>
      <c r="N489">
        <v>1</v>
      </c>
      <c r="O489" t="s">
        <v>25</v>
      </c>
      <c r="P489" t="s">
        <v>35</v>
      </c>
      <c r="Q489">
        <v>8.6999999999999993</v>
      </c>
      <c r="R489">
        <v>40</v>
      </c>
      <c r="S489" t="s">
        <v>27</v>
      </c>
    </row>
    <row r="490" spans="1:19" x14ac:dyDescent="0.3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 t="str">
        <f t="shared" si="7"/>
        <v>31-60 days</v>
      </c>
      <c r="L490">
        <v>52</v>
      </c>
      <c r="M490">
        <v>3</v>
      </c>
      <c r="N490">
        <v>0</v>
      </c>
      <c r="O490" t="s">
        <v>25</v>
      </c>
      <c r="P490" t="s">
        <v>35</v>
      </c>
      <c r="Q490">
        <v>4.3</v>
      </c>
      <c r="R490">
        <v>20</v>
      </c>
      <c r="S490" t="s">
        <v>36</v>
      </c>
    </row>
    <row r="491" spans="1:19" x14ac:dyDescent="0.3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 t="str">
        <f t="shared" si="7"/>
        <v>15-30 days</v>
      </c>
      <c r="L491">
        <v>21</v>
      </c>
      <c r="M491">
        <v>3</v>
      </c>
      <c r="N491">
        <v>1</v>
      </c>
      <c r="O491" t="s">
        <v>25</v>
      </c>
      <c r="P491" t="s">
        <v>35</v>
      </c>
      <c r="Q491">
        <v>27.6</v>
      </c>
      <c r="R491">
        <v>18</v>
      </c>
      <c r="S491" t="s">
        <v>36</v>
      </c>
    </row>
    <row r="492" spans="1:19" x14ac:dyDescent="0.3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 t="str">
        <f t="shared" si="7"/>
        <v>15-30 days</v>
      </c>
      <c r="L492">
        <v>28</v>
      </c>
      <c r="M492">
        <v>1</v>
      </c>
      <c r="N492">
        <v>0</v>
      </c>
      <c r="O492" t="s">
        <v>25</v>
      </c>
      <c r="P492" t="s">
        <v>26</v>
      </c>
      <c r="Q492">
        <v>1.8</v>
      </c>
      <c r="R492">
        <v>22</v>
      </c>
      <c r="S492" t="s">
        <v>27</v>
      </c>
    </row>
    <row r="493" spans="1:19" x14ac:dyDescent="0.3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 t="str">
        <f t="shared" si="7"/>
        <v>31-60 days</v>
      </c>
      <c r="L493">
        <v>47</v>
      </c>
      <c r="M493">
        <v>2</v>
      </c>
      <c r="N493">
        <v>0</v>
      </c>
      <c r="O493" t="s">
        <v>54</v>
      </c>
      <c r="P493" t="s">
        <v>55</v>
      </c>
      <c r="Q493">
        <v>13.7</v>
      </c>
      <c r="R493">
        <v>44</v>
      </c>
      <c r="S493" t="s">
        <v>27</v>
      </c>
    </row>
    <row r="494" spans="1:19" x14ac:dyDescent="0.3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 t="str">
        <f t="shared" si="7"/>
        <v>8-14 days</v>
      </c>
      <c r="L494">
        <v>10</v>
      </c>
      <c r="M494">
        <v>2</v>
      </c>
      <c r="N494">
        <v>1</v>
      </c>
      <c r="O494" t="s">
        <v>25</v>
      </c>
      <c r="P494" t="s">
        <v>26</v>
      </c>
      <c r="Q494">
        <v>5.0999999999999996</v>
      </c>
      <c r="R494">
        <v>33</v>
      </c>
      <c r="S494" t="s">
        <v>27</v>
      </c>
    </row>
    <row r="495" spans="1:19" x14ac:dyDescent="0.3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 t="str">
        <f t="shared" si="7"/>
        <v>8-14 days</v>
      </c>
      <c r="L495">
        <v>12</v>
      </c>
      <c r="M495">
        <v>1</v>
      </c>
      <c r="N495">
        <v>0</v>
      </c>
      <c r="O495" t="s">
        <v>25</v>
      </c>
      <c r="P495" t="s">
        <v>50</v>
      </c>
      <c r="Q495">
        <v>6.7</v>
      </c>
      <c r="R495">
        <v>30</v>
      </c>
      <c r="S495" t="s">
        <v>36</v>
      </c>
    </row>
    <row r="496" spans="1:19" x14ac:dyDescent="0.3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 t="str">
        <f t="shared" si="7"/>
        <v>31-60 days</v>
      </c>
      <c r="L496">
        <v>47</v>
      </c>
      <c r="M496">
        <v>9</v>
      </c>
      <c r="N496">
        <v>2</v>
      </c>
      <c r="O496" t="s">
        <v>25</v>
      </c>
      <c r="P496" t="s">
        <v>26</v>
      </c>
      <c r="Q496">
        <v>11.3</v>
      </c>
      <c r="R496">
        <v>30</v>
      </c>
      <c r="S496" t="s">
        <v>27</v>
      </c>
    </row>
    <row r="497" spans="1:19" x14ac:dyDescent="0.3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 t="str">
        <f t="shared" si="7"/>
        <v>8-14 days</v>
      </c>
      <c r="L497">
        <v>11</v>
      </c>
      <c r="M497">
        <v>5</v>
      </c>
      <c r="N497">
        <v>0</v>
      </c>
      <c r="O497" t="s">
        <v>25</v>
      </c>
      <c r="P497" t="s">
        <v>35</v>
      </c>
      <c r="Q497">
        <v>0.8</v>
      </c>
      <c r="R497">
        <v>12</v>
      </c>
      <c r="S497" t="s">
        <v>36</v>
      </c>
    </row>
    <row r="498" spans="1:19" x14ac:dyDescent="0.3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 t="str">
        <f t="shared" si="7"/>
        <v>31-60 days</v>
      </c>
      <c r="L498">
        <v>47</v>
      </c>
      <c r="M498">
        <v>2</v>
      </c>
      <c r="N498">
        <v>0</v>
      </c>
      <c r="O498" t="s">
        <v>25</v>
      </c>
      <c r="P498" t="s">
        <v>50</v>
      </c>
      <c r="Q498">
        <v>11.4</v>
      </c>
      <c r="R498">
        <v>31</v>
      </c>
      <c r="S498" t="s">
        <v>36</v>
      </c>
    </row>
    <row r="499" spans="1:19" x14ac:dyDescent="0.3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 t="str">
        <f t="shared" si="7"/>
        <v>15-30 days</v>
      </c>
      <c r="L499">
        <v>30</v>
      </c>
      <c r="M499">
        <v>1</v>
      </c>
      <c r="N499">
        <v>0</v>
      </c>
      <c r="O499" t="s">
        <v>25</v>
      </c>
      <c r="P499" t="s">
        <v>35</v>
      </c>
      <c r="Q499">
        <v>15</v>
      </c>
      <c r="R499">
        <v>20</v>
      </c>
      <c r="S499" t="s">
        <v>27</v>
      </c>
    </row>
    <row r="500" spans="1:19" x14ac:dyDescent="0.3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 t="str">
        <f t="shared" si="7"/>
        <v>31-60 days</v>
      </c>
      <c r="L500">
        <v>60</v>
      </c>
      <c r="M500">
        <v>2</v>
      </c>
      <c r="N500">
        <v>1</v>
      </c>
      <c r="O500" t="s">
        <v>25</v>
      </c>
      <c r="P500" t="s">
        <v>50</v>
      </c>
      <c r="Q500">
        <v>17.7</v>
      </c>
      <c r="R500">
        <v>22</v>
      </c>
      <c r="S500" t="s">
        <v>27</v>
      </c>
    </row>
    <row r="501" spans="1:19" x14ac:dyDescent="0.3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 t="str">
        <f t="shared" si="7"/>
        <v>0-7 days</v>
      </c>
      <c r="L501">
        <v>2</v>
      </c>
      <c r="M501">
        <v>3</v>
      </c>
      <c r="N501">
        <v>0</v>
      </c>
      <c r="O501" t="s">
        <v>25</v>
      </c>
      <c r="P501" t="s">
        <v>50</v>
      </c>
      <c r="Q501">
        <v>4.8</v>
      </c>
      <c r="R501">
        <v>22</v>
      </c>
      <c r="S501" t="s">
        <v>36</v>
      </c>
    </row>
    <row r="502" spans="1:19" x14ac:dyDescent="0.3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 t="str">
        <f t="shared" si="7"/>
        <v>31-60 days</v>
      </c>
      <c r="L502">
        <v>57</v>
      </c>
      <c r="M502">
        <v>5</v>
      </c>
      <c r="N502">
        <v>1</v>
      </c>
      <c r="O502" t="s">
        <v>25</v>
      </c>
      <c r="P502" t="s">
        <v>26</v>
      </c>
      <c r="Q502">
        <v>13.7</v>
      </c>
      <c r="R502">
        <v>35</v>
      </c>
      <c r="S502" t="s">
        <v>27</v>
      </c>
    </row>
    <row r="503" spans="1:19" x14ac:dyDescent="0.3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 t="str">
        <f t="shared" si="7"/>
        <v>8-14 days</v>
      </c>
      <c r="L503">
        <v>13</v>
      </c>
      <c r="M503">
        <v>5</v>
      </c>
      <c r="N503">
        <v>1</v>
      </c>
      <c r="O503" t="s">
        <v>25</v>
      </c>
      <c r="P503" t="s">
        <v>50</v>
      </c>
      <c r="Q503">
        <v>16.2</v>
      </c>
      <c r="R503">
        <v>45</v>
      </c>
      <c r="S503" t="s">
        <v>36</v>
      </c>
    </row>
    <row r="504" spans="1:19" x14ac:dyDescent="0.3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 t="str">
        <f t="shared" si="7"/>
        <v>0-7 days</v>
      </c>
      <c r="L504">
        <v>2</v>
      </c>
      <c r="M504">
        <v>2</v>
      </c>
      <c r="N504">
        <v>0</v>
      </c>
      <c r="O504" t="s">
        <v>25</v>
      </c>
      <c r="P504" t="s">
        <v>26</v>
      </c>
      <c r="Q504">
        <v>15.8</v>
      </c>
      <c r="R504">
        <v>15</v>
      </c>
      <c r="S504" t="s">
        <v>36</v>
      </c>
    </row>
    <row r="505" spans="1:19" x14ac:dyDescent="0.3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 t="str">
        <f t="shared" si="7"/>
        <v>31-60 days</v>
      </c>
      <c r="L505">
        <v>44</v>
      </c>
      <c r="M505">
        <v>3</v>
      </c>
      <c r="N505">
        <v>0</v>
      </c>
      <c r="O505" t="s">
        <v>25</v>
      </c>
      <c r="P505" t="s">
        <v>35</v>
      </c>
      <c r="R505">
        <v>36</v>
      </c>
      <c r="S505" t="s">
        <v>27</v>
      </c>
    </row>
    <row r="506" spans="1:19" x14ac:dyDescent="0.3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 t="str">
        <f t="shared" si="7"/>
        <v>31-60 days</v>
      </c>
      <c r="L506">
        <v>32</v>
      </c>
      <c r="M506">
        <v>2</v>
      </c>
      <c r="N506">
        <v>0</v>
      </c>
      <c r="O506" t="s">
        <v>25</v>
      </c>
      <c r="P506" t="s">
        <v>50</v>
      </c>
      <c r="Q506">
        <v>18.2</v>
      </c>
      <c r="R506">
        <v>23</v>
      </c>
      <c r="S506" t="s">
        <v>36</v>
      </c>
    </row>
    <row r="507" spans="1:19" x14ac:dyDescent="0.3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 t="str">
        <f t="shared" si="7"/>
        <v>31-60 days</v>
      </c>
      <c r="L507">
        <v>51</v>
      </c>
      <c r="M507">
        <v>3</v>
      </c>
      <c r="N507">
        <v>0</v>
      </c>
      <c r="O507" t="s">
        <v>25</v>
      </c>
      <c r="P507" t="s">
        <v>35</v>
      </c>
      <c r="Q507">
        <v>30.3</v>
      </c>
      <c r="R507">
        <v>33</v>
      </c>
      <c r="S507" t="s">
        <v>27</v>
      </c>
    </row>
    <row r="508" spans="1:19" x14ac:dyDescent="0.3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 t="str">
        <f t="shared" si="7"/>
        <v>0-7 days</v>
      </c>
      <c r="L508">
        <v>6</v>
      </c>
      <c r="M508">
        <v>2</v>
      </c>
      <c r="N508">
        <v>1</v>
      </c>
      <c r="O508" t="s">
        <v>25</v>
      </c>
      <c r="P508" t="s">
        <v>35</v>
      </c>
      <c r="Q508">
        <v>8.4</v>
      </c>
      <c r="R508">
        <v>28</v>
      </c>
      <c r="S508" t="s">
        <v>27</v>
      </c>
    </row>
    <row r="509" spans="1:19" x14ac:dyDescent="0.3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 t="str">
        <f t="shared" si="7"/>
        <v>0-7 days</v>
      </c>
      <c r="L509">
        <v>4</v>
      </c>
      <c r="M509">
        <v>7</v>
      </c>
      <c r="N509">
        <v>0</v>
      </c>
      <c r="O509" t="s">
        <v>25</v>
      </c>
      <c r="P509" t="s">
        <v>35</v>
      </c>
      <c r="Q509">
        <v>5</v>
      </c>
      <c r="R509">
        <v>18</v>
      </c>
      <c r="S509" t="s">
        <v>36</v>
      </c>
    </row>
    <row r="510" spans="1:19" x14ac:dyDescent="0.3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 t="str">
        <f t="shared" si="7"/>
        <v>31-60 days</v>
      </c>
      <c r="L510">
        <v>34</v>
      </c>
      <c r="M510">
        <v>7</v>
      </c>
      <c r="N510">
        <v>1</v>
      </c>
      <c r="O510" t="s">
        <v>25</v>
      </c>
      <c r="P510" t="s">
        <v>35</v>
      </c>
      <c r="Q510">
        <v>10.199999999999999</v>
      </c>
      <c r="R510">
        <v>18</v>
      </c>
      <c r="S510" t="s">
        <v>71</v>
      </c>
    </row>
    <row r="511" spans="1:19" x14ac:dyDescent="0.3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 t="str">
        <f t="shared" si="7"/>
        <v>31-60 days</v>
      </c>
      <c r="L511">
        <v>53</v>
      </c>
      <c r="M511">
        <v>5</v>
      </c>
      <c r="N511">
        <v>0</v>
      </c>
      <c r="O511" t="s">
        <v>54</v>
      </c>
      <c r="P511" t="s">
        <v>55</v>
      </c>
      <c r="Q511">
        <v>6.3</v>
      </c>
      <c r="R511">
        <v>23</v>
      </c>
      <c r="S511" t="s">
        <v>36</v>
      </c>
    </row>
    <row r="512" spans="1:19" x14ac:dyDescent="0.3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 t="str">
        <f t="shared" si="7"/>
        <v>15-30 days</v>
      </c>
      <c r="L512">
        <v>24</v>
      </c>
      <c r="M512">
        <v>5</v>
      </c>
      <c r="N512">
        <v>1</v>
      </c>
      <c r="O512" t="s">
        <v>54</v>
      </c>
      <c r="P512" t="s">
        <v>55</v>
      </c>
      <c r="Q512">
        <v>5.8</v>
      </c>
      <c r="R512">
        <v>29</v>
      </c>
      <c r="S512" t="s">
        <v>36</v>
      </c>
    </row>
    <row r="513" spans="1:19" x14ac:dyDescent="0.3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 t="str">
        <f t="shared" si="7"/>
        <v>31-60 days</v>
      </c>
      <c r="L513">
        <v>48</v>
      </c>
      <c r="M513">
        <v>4</v>
      </c>
      <c r="N513">
        <v>0</v>
      </c>
      <c r="O513" t="s">
        <v>25</v>
      </c>
      <c r="P513" t="s">
        <v>35</v>
      </c>
      <c r="Q513">
        <v>24.3</v>
      </c>
      <c r="R513">
        <v>31</v>
      </c>
      <c r="S513" t="s">
        <v>27</v>
      </c>
    </row>
    <row r="514" spans="1:19" x14ac:dyDescent="0.3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 t="str">
        <f t="shared" si="7"/>
        <v>31-60 days</v>
      </c>
      <c r="L514">
        <v>55</v>
      </c>
      <c r="M514">
        <v>4</v>
      </c>
      <c r="N514">
        <v>0</v>
      </c>
      <c r="O514" t="s">
        <v>25</v>
      </c>
      <c r="P514" t="s">
        <v>50</v>
      </c>
      <c r="Q514">
        <v>7</v>
      </c>
      <c r="R514">
        <v>58</v>
      </c>
      <c r="S514" t="s">
        <v>27</v>
      </c>
    </row>
    <row r="515" spans="1:19" x14ac:dyDescent="0.3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 t="str">
        <f t="shared" ref="K515:K578" si="8">IF(L515&lt;=7,"0-7 days",IF(L515&lt;=14,"8-14 days",IF(L515&lt;=30,"15-30 days","31-60 days")))</f>
        <v>31-60 days</v>
      </c>
      <c r="L515">
        <v>53</v>
      </c>
      <c r="M515">
        <v>3</v>
      </c>
      <c r="N515">
        <v>0</v>
      </c>
      <c r="O515" t="s">
        <v>54</v>
      </c>
      <c r="P515" t="s">
        <v>55</v>
      </c>
      <c r="Q515">
        <v>6.8</v>
      </c>
      <c r="R515">
        <v>31</v>
      </c>
      <c r="S515" t="s">
        <v>36</v>
      </c>
    </row>
    <row r="516" spans="1:19" x14ac:dyDescent="0.3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 t="str">
        <f t="shared" si="8"/>
        <v>31-60 days</v>
      </c>
      <c r="L516">
        <v>31</v>
      </c>
      <c r="M516">
        <v>4</v>
      </c>
      <c r="N516">
        <v>2</v>
      </c>
      <c r="O516" t="s">
        <v>25</v>
      </c>
      <c r="P516" t="s">
        <v>26</v>
      </c>
      <c r="Q516">
        <v>5.9</v>
      </c>
      <c r="R516">
        <v>11</v>
      </c>
      <c r="S516" t="s">
        <v>71</v>
      </c>
    </row>
    <row r="517" spans="1:19" x14ac:dyDescent="0.3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 t="str">
        <f t="shared" si="8"/>
        <v>31-60 days</v>
      </c>
      <c r="L517">
        <v>42</v>
      </c>
      <c r="M517">
        <v>3</v>
      </c>
      <c r="N517">
        <v>0</v>
      </c>
      <c r="O517" t="s">
        <v>25</v>
      </c>
      <c r="P517" t="s">
        <v>35</v>
      </c>
      <c r="Q517">
        <v>11.1</v>
      </c>
      <c r="R517">
        <v>39</v>
      </c>
      <c r="S517" t="s">
        <v>36</v>
      </c>
    </row>
    <row r="518" spans="1:19" x14ac:dyDescent="0.3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 t="str">
        <f t="shared" si="8"/>
        <v>31-60 days</v>
      </c>
      <c r="L518">
        <v>32</v>
      </c>
      <c r="M518">
        <v>2</v>
      </c>
      <c r="N518">
        <v>0</v>
      </c>
      <c r="O518" t="s">
        <v>25</v>
      </c>
      <c r="P518" t="s">
        <v>35</v>
      </c>
      <c r="Q518">
        <v>12.9</v>
      </c>
      <c r="R518">
        <v>32</v>
      </c>
      <c r="S518" t="s">
        <v>36</v>
      </c>
    </row>
    <row r="519" spans="1:19" x14ac:dyDescent="0.3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 t="str">
        <f t="shared" si="8"/>
        <v>31-60 days</v>
      </c>
      <c r="L519">
        <v>41</v>
      </c>
      <c r="M519">
        <v>3</v>
      </c>
      <c r="N519">
        <v>1</v>
      </c>
      <c r="O519" t="s">
        <v>25</v>
      </c>
      <c r="P519" t="s">
        <v>26</v>
      </c>
      <c r="Q519">
        <v>19.899999999999999</v>
      </c>
      <c r="R519">
        <v>23</v>
      </c>
      <c r="S519" t="s">
        <v>27</v>
      </c>
    </row>
    <row r="520" spans="1:19" x14ac:dyDescent="0.3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 t="str">
        <f t="shared" si="8"/>
        <v>31-60 days</v>
      </c>
      <c r="L520">
        <v>34</v>
      </c>
      <c r="M520">
        <v>3</v>
      </c>
      <c r="N520">
        <v>1</v>
      </c>
      <c r="O520" t="s">
        <v>54</v>
      </c>
      <c r="P520" t="s">
        <v>55</v>
      </c>
      <c r="Q520">
        <v>3.9</v>
      </c>
      <c r="R520">
        <v>13</v>
      </c>
      <c r="S520" t="s">
        <v>36</v>
      </c>
    </row>
    <row r="521" spans="1:19" x14ac:dyDescent="0.3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 t="str">
        <f t="shared" si="8"/>
        <v>31-60 days</v>
      </c>
      <c r="L521">
        <v>32</v>
      </c>
      <c r="M521">
        <v>3</v>
      </c>
      <c r="N521">
        <v>0</v>
      </c>
      <c r="O521" t="s">
        <v>54</v>
      </c>
      <c r="P521" t="s">
        <v>55</v>
      </c>
      <c r="Q521">
        <v>19.5</v>
      </c>
      <c r="R521">
        <v>22</v>
      </c>
      <c r="S521" t="s">
        <v>36</v>
      </c>
    </row>
    <row r="522" spans="1:19" x14ac:dyDescent="0.3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 t="str">
        <f t="shared" si="8"/>
        <v>15-30 days</v>
      </c>
      <c r="L522">
        <v>26</v>
      </c>
      <c r="M522">
        <v>4</v>
      </c>
      <c r="N522">
        <v>2</v>
      </c>
      <c r="O522" t="s">
        <v>25</v>
      </c>
      <c r="P522" t="s">
        <v>35</v>
      </c>
      <c r="Q522">
        <v>4.5999999999999996</v>
      </c>
      <c r="R522">
        <v>38</v>
      </c>
      <c r="S522" t="s">
        <v>27</v>
      </c>
    </row>
    <row r="523" spans="1:19" x14ac:dyDescent="0.3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 t="str">
        <f t="shared" si="8"/>
        <v>31-60 days</v>
      </c>
      <c r="L523">
        <v>39</v>
      </c>
      <c r="M523">
        <v>0</v>
      </c>
      <c r="N523">
        <v>0</v>
      </c>
      <c r="O523" t="s">
        <v>54</v>
      </c>
      <c r="P523" t="s">
        <v>55</v>
      </c>
      <c r="Q523">
        <v>3.8</v>
      </c>
      <c r="R523">
        <v>31</v>
      </c>
      <c r="S523" t="s">
        <v>36</v>
      </c>
    </row>
    <row r="524" spans="1:19" x14ac:dyDescent="0.3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 t="str">
        <f t="shared" si="8"/>
        <v>31-60 days</v>
      </c>
      <c r="L524">
        <v>45</v>
      </c>
      <c r="M524">
        <v>3</v>
      </c>
      <c r="N524">
        <v>1</v>
      </c>
      <c r="O524" t="s">
        <v>25</v>
      </c>
      <c r="P524" t="s">
        <v>26</v>
      </c>
      <c r="Q524">
        <v>7.7</v>
      </c>
      <c r="R524">
        <v>40</v>
      </c>
      <c r="S524" t="s">
        <v>36</v>
      </c>
    </row>
    <row r="525" spans="1:19" x14ac:dyDescent="0.3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 t="str">
        <f t="shared" si="8"/>
        <v>31-60 days</v>
      </c>
      <c r="L525">
        <v>56</v>
      </c>
      <c r="M525">
        <v>2</v>
      </c>
      <c r="N525">
        <v>1</v>
      </c>
      <c r="O525" t="s">
        <v>25</v>
      </c>
      <c r="P525" t="s">
        <v>26</v>
      </c>
      <c r="Q525">
        <v>4.2</v>
      </c>
      <c r="R525">
        <v>40</v>
      </c>
      <c r="S525" t="s">
        <v>36</v>
      </c>
    </row>
    <row r="526" spans="1:19" x14ac:dyDescent="0.3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 t="str">
        <f t="shared" si="8"/>
        <v>31-60 days</v>
      </c>
      <c r="L526">
        <v>37</v>
      </c>
      <c r="M526">
        <v>3</v>
      </c>
      <c r="N526">
        <v>0</v>
      </c>
      <c r="O526" t="s">
        <v>25</v>
      </c>
      <c r="P526" t="s">
        <v>35</v>
      </c>
      <c r="Q526">
        <v>11.1</v>
      </c>
      <c r="R526">
        <v>28</v>
      </c>
      <c r="S526" t="s">
        <v>36</v>
      </c>
    </row>
    <row r="527" spans="1:19" x14ac:dyDescent="0.3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 t="str">
        <f t="shared" si="8"/>
        <v>0-7 days</v>
      </c>
      <c r="L527">
        <v>6</v>
      </c>
      <c r="M527">
        <v>4</v>
      </c>
      <c r="N527">
        <v>1</v>
      </c>
      <c r="O527" t="s">
        <v>54</v>
      </c>
      <c r="P527" t="s">
        <v>55</v>
      </c>
      <c r="Q527">
        <v>5.7</v>
      </c>
      <c r="R527">
        <v>2</v>
      </c>
      <c r="S527" t="s">
        <v>27</v>
      </c>
    </row>
    <row r="528" spans="1:19" x14ac:dyDescent="0.3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 t="str">
        <f t="shared" si="8"/>
        <v>31-60 days</v>
      </c>
      <c r="L528">
        <v>35</v>
      </c>
      <c r="M528">
        <v>0</v>
      </c>
      <c r="N528">
        <v>0</v>
      </c>
      <c r="O528" t="s">
        <v>54</v>
      </c>
      <c r="P528" t="s">
        <v>55</v>
      </c>
      <c r="Q528">
        <v>15.2</v>
      </c>
      <c r="R528">
        <v>15</v>
      </c>
      <c r="S528" t="s">
        <v>36</v>
      </c>
    </row>
    <row r="529" spans="1:19" x14ac:dyDescent="0.3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 t="str">
        <f t="shared" si="8"/>
        <v>15-30 days</v>
      </c>
      <c r="L529">
        <v>19</v>
      </c>
      <c r="M529">
        <v>2</v>
      </c>
      <c r="N529">
        <v>0</v>
      </c>
      <c r="O529" t="s">
        <v>25</v>
      </c>
      <c r="P529" t="s">
        <v>50</v>
      </c>
      <c r="Q529">
        <v>12.3</v>
      </c>
      <c r="R529">
        <v>8</v>
      </c>
      <c r="S529" t="s">
        <v>36</v>
      </c>
    </row>
    <row r="530" spans="1:19" x14ac:dyDescent="0.3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 t="str">
        <f t="shared" si="8"/>
        <v>0-7 days</v>
      </c>
      <c r="L530">
        <v>1</v>
      </c>
      <c r="M530">
        <v>7</v>
      </c>
      <c r="N530">
        <v>1</v>
      </c>
      <c r="O530" t="s">
        <v>25</v>
      </c>
      <c r="P530" t="s">
        <v>35</v>
      </c>
      <c r="Q530">
        <v>13</v>
      </c>
      <c r="R530">
        <v>41</v>
      </c>
      <c r="S530" t="s">
        <v>36</v>
      </c>
    </row>
    <row r="531" spans="1:19" x14ac:dyDescent="0.3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 t="str">
        <f t="shared" si="8"/>
        <v>0-7 days</v>
      </c>
      <c r="L531">
        <v>4</v>
      </c>
      <c r="M531">
        <v>1</v>
      </c>
      <c r="N531">
        <v>1</v>
      </c>
      <c r="O531" t="s">
        <v>25</v>
      </c>
      <c r="P531" t="s">
        <v>35</v>
      </c>
      <c r="Q531">
        <v>10.4</v>
      </c>
      <c r="R531">
        <v>31</v>
      </c>
      <c r="S531" t="s">
        <v>36</v>
      </c>
    </row>
    <row r="532" spans="1:19" x14ac:dyDescent="0.3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 t="str">
        <f t="shared" si="8"/>
        <v>31-60 days</v>
      </c>
      <c r="L532">
        <v>36</v>
      </c>
      <c r="M532">
        <v>2</v>
      </c>
      <c r="N532">
        <v>0</v>
      </c>
      <c r="O532" t="s">
        <v>25</v>
      </c>
      <c r="P532" t="s">
        <v>26</v>
      </c>
      <c r="Q532">
        <v>10.199999999999999</v>
      </c>
      <c r="R532">
        <v>23</v>
      </c>
      <c r="S532" t="s">
        <v>27</v>
      </c>
    </row>
    <row r="533" spans="1:19" x14ac:dyDescent="0.3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 t="str">
        <f t="shared" si="8"/>
        <v>31-60 days</v>
      </c>
      <c r="L533">
        <v>57</v>
      </c>
      <c r="M533">
        <v>3</v>
      </c>
      <c r="N533">
        <v>0</v>
      </c>
      <c r="O533" t="s">
        <v>25</v>
      </c>
      <c r="P533" t="s">
        <v>35</v>
      </c>
      <c r="Q533">
        <v>5.4</v>
      </c>
      <c r="R533">
        <v>20</v>
      </c>
      <c r="S533" t="s">
        <v>27</v>
      </c>
    </row>
    <row r="534" spans="1:19" x14ac:dyDescent="0.3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 t="str">
        <f t="shared" si="8"/>
        <v>15-30 days</v>
      </c>
      <c r="L534">
        <v>30</v>
      </c>
      <c r="M534">
        <v>1</v>
      </c>
      <c r="N534">
        <v>0</v>
      </c>
      <c r="O534" t="s">
        <v>54</v>
      </c>
      <c r="P534" t="s">
        <v>55</v>
      </c>
      <c r="Q534">
        <v>5.9</v>
      </c>
      <c r="R534">
        <v>37</v>
      </c>
      <c r="S534" t="s">
        <v>27</v>
      </c>
    </row>
    <row r="535" spans="1:19" x14ac:dyDescent="0.3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 t="str">
        <f t="shared" si="8"/>
        <v>15-30 days</v>
      </c>
      <c r="L535">
        <v>27</v>
      </c>
      <c r="M535">
        <v>2</v>
      </c>
      <c r="N535">
        <v>0</v>
      </c>
      <c r="O535" t="s">
        <v>54</v>
      </c>
      <c r="P535" t="s">
        <v>55</v>
      </c>
      <c r="Q535">
        <v>6.1</v>
      </c>
      <c r="R535">
        <v>15</v>
      </c>
      <c r="S535" t="s">
        <v>36</v>
      </c>
    </row>
    <row r="536" spans="1:19" x14ac:dyDescent="0.3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 t="str">
        <f t="shared" si="8"/>
        <v>0-7 days</v>
      </c>
      <c r="L536">
        <v>5</v>
      </c>
      <c r="M536">
        <v>4</v>
      </c>
      <c r="N536">
        <v>0</v>
      </c>
      <c r="O536" t="s">
        <v>25</v>
      </c>
      <c r="P536" t="s">
        <v>26</v>
      </c>
      <c r="Q536">
        <v>14.4</v>
      </c>
      <c r="R536">
        <v>11</v>
      </c>
      <c r="S536" t="s">
        <v>27</v>
      </c>
    </row>
    <row r="537" spans="1:19" x14ac:dyDescent="0.3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 t="str">
        <f t="shared" si="8"/>
        <v>31-60 days</v>
      </c>
      <c r="L537">
        <v>41</v>
      </c>
      <c r="M537">
        <v>2</v>
      </c>
      <c r="N537">
        <v>1</v>
      </c>
      <c r="O537" t="s">
        <v>25</v>
      </c>
      <c r="P537" t="s">
        <v>26</v>
      </c>
      <c r="Q537">
        <v>11</v>
      </c>
      <c r="R537">
        <v>10</v>
      </c>
      <c r="S537" t="s">
        <v>27</v>
      </c>
    </row>
    <row r="538" spans="1:19" x14ac:dyDescent="0.3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 t="str">
        <f t="shared" si="8"/>
        <v>0-7 days</v>
      </c>
      <c r="L538">
        <v>3</v>
      </c>
      <c r="M538">
        <v>2</v>
      </c>
      <c r="N538">
        <v>0</v>
      </c>
      <c r="O538" t="s">
        <v>25</v>
      </c>
      <c r="P538" t="s">
        <v>35</v>
      </c>
      <c r="Q538">
        <v>6</v>
      </c>
      <c r="R538">
        <v>26</v>
      </c>
      <c r="S538" t="s">
        <v>36</v>
      </c>
    </row>
    <row r="539" spans="1:19" x14ac:dyDescent="0.3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 t="str">
        <f t="shared" si="8"/>
        <v>31-60 days</v>
      </c>
      <c r="L539">
        <v>51</v>
      </c>
      <c r="M539">
        <v>2</v>
      </c>
      <c r="N539">
        <v>0</v>
      </c>
      <c r="O539" t="s">
        <v>25</v>
      </c>
      <c r="P539" t="s">
        <v>50</v>
      </c>
      <c r="Q539">
        <v>8.8000000000000007</v>
      </c>
      <c r="R539">
        <v>16</v>
      </c>
      <c r="S539" t="s">
        <v>71</v>
      </c>
    </row>
    <row r="540" spans="1:19" x14ac:dyDescent="0.3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 t="str">
        <f t="shared" si="8"/>
        <v>31-60 days</v>
      </c>
      <c r="L540">
        <v>49</v>
      </c>
      <c r="M540">
        <v>1</v>
      </c>
      <c r="N540">
        <v>0</v>
      </c>
      <c r="O540" t="s">
        <v>54</v>
      </c>
      <c r="P540" t="s">
        <v>55</v>
      </c>
      <c r="Q540">
        <v>19.100000000000001</v>
      </c>
      <c r="R540">
        <v>36</v>
      </c>
      <c r="S540" t="s">
        <v>27</v>
      </c>
    </row>
    <row r="541" spans="1:19" x14ac:dyDescent="0.3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 t="str">
        <f t="shared" si="8"/>
        <v>31-60 days</v>
      </c>
      <c r="L541">
        <v>60</v>
      </c>
      <c r="M541">
        <v>5</v>
      </c>
      <c r="N541">
        <v>1</v>
      </c>
      <c r="O541" t="s">
        <v>25</v>
      </c>
      <c r="P541" t="s">
        <v>50</v>
      </c>
      <c r="Q541">
        <v>0.5</v>
      </c>
      <c r="R541">
        <v>25</v>
      </c>
      <c r="S541" t="s">
        <v>27</v>
      </c>
    </row>
    <row r="542" spans="1:19" x14ac:dyDescent="0.3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 t="str">
        <f t="shared" si="8"/>
        <v>15-30 days</v>
      </c>
      <c r="L542">
        <v>17</v>
      </c>
      <c r="M542">
        <v>3</v>
      </c>
      <c r="N542">
        <v>0</v>
      </c>
      <c r="O542" t="s">
        <v>54</v>
      </c>
      <c r="P542" t="s">
        <v>55</v>
      </c>
      <c r="Q542">
        <v>8.1</v>
      </c>
      <c r="R542">
        <v>10</v>
      </c>
      <c r="S542" t="s">
        <v>27</v>
      </c>
    </row>
    <row r="543" spans="1:19" x14ac:dyDescent="0.3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 t="str">
        <f t="shared" si="8"/>
        <v>8-14 days</v>
      </c>
      <c r="L543">
        <v>9</v>
      </c>
      <c r="M543">
        <v>3</v>
      </c>
      <c r="N543">
        <v>0</v>
      </c>
      <c r="O543" t="s">
        <v>25</v>
      </c>
      <c r="P543" t="s">
        <v>50</v>
      </c>
      <c r="Q543">
        <v>9</v>
      </c>
      <c r="R543">
        <v>22</v>
      </c>
      <c r="S543" t="s">
        <v>36</v>
      </c>
    </row>
    <row r="544" spans="1:19" x14ac:dyDescent="0.3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 t="str">
        <f t="shared" si="8"/>
        <v>15-30 days</v>
      </c>
      <c r="L544">
        <v>18</v>
      </c>
      <c r="M544">
        <v>3</v>
      </c>
      <c r="N544">
        <v>0</v>
      </c>
      <c r="O544" t="s">
        <v>25</v>
      </c>
      <c r="P544" t="s">
        <v>35</v>
      </c>
      <c r="Q544">
        <v>5.7</v>
      </c>
      <c r="R544">
        <v>14</v>
      </c>
      <c r="S544" t="s">
        <v>36</v>
      </c>
    </row>
    <row r="545" spans="1:19" x14ac:dyDescent="0.3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 t="str">
        <f t="shared" si="8"/>
        <v>31-60 days</v>
      </c>
      <c r="L545">
        <v>48</v>
      </c>
      <c r="M545">
        <v>4</v>
      </c>
      <c r="N545">
        <v>0</v>
      </c>
      <c r="O545" t="s">
        <v>54</v>
      </c>
      <c r="P545" t="s">
        <v>55</v>
      </c>
      <c r="Q545">
        <v>2.8</v>
      </c>
      <c r="R545">
        <v>24</v>
      </c>
      <c r="S545" t="s">
        <v>27</v>
      </c>
    </row>
    <row r="546" spans="1:19" x14ac:dyDescent="0.3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 t="str">
        <f t="shared" si="8"/>
        <v>8-14 days</v>
      </c>
      <c r="L546">
        <v>13</v>
      </c>
      <c r="M546">
        <v>6</v>
      </c>
      <c r="N546">
        <v>0</v>
      </c>
      <c r="O546" t="s">
        <v>25</v>
      </c>
      <c r="P546" t="s">
        <v>35</v>
      </c>
      <c r="Q546">
        <v>5.4</v>
      </c>
      <c r="R546">
        <v>37</v>
      </c>
      <c r="S546" t="s">
        <v>36</v>
      </c>
    </row>
    <row r="547" spans="1:19" x14ac:dyDescent="0.3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 t="str">
        <f t="shared" si="8"/>
        <v>31-60 days</v>
      </c>
      <c r="L547">
        <v>54</v>
      </c>
      <c r="M547">
        <v>3</v>
      </c>
      <c r="N547">
        <v>1</v>
      </c>
      <c r="O547" t="s">
        <v>25</v>
      </c>
      <c r="P547" t="s">
        <v>35</v>
      </c>
      <c r="Q547">
        <v>4.7</v>
      </c>
      <c r="R547">
        <v>23</v>
      </c>
      <c r="S547" t="s">
        <v>27</v>
      </c>
    </row>
    <row r="548" spans="1:19" x14ac:dyDescent="0.3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 t="str">
        <f t="shared" si="8"/>
        <v>8-14 days</v>
      </c>
      <c r="L548">
        <v>9</v>
      </c>
      <c r="M548">
        <v>1</v>
      </c>
      <c r="N548">
        <v>0</v>
      </c>
      <c r="O548" t="s">
        <v>25</v>
      </c>
      <c r="P548" t="s">
        <v>26</v>
      </c>
      <c r="Q548">
        <v>9.1999999999999993</v>
      </c>
      <c r="R548">
        <v>17</v>
      </c>
      <c r="S548" t="s">
        <v>27</v>
      </c>
    </row>
    <row r="549" spans="1:19" x14ac:dyDescent="0.3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 t="str">
        <f t="shared" si="8"/>
        <v>0-7 days</v>
      </c>
      <c r="L549">
        <v>2</v>
      </c>
      <c r="M549">
        <v>3</v>
      </c>
      <c r="N549">
        <v>0</v>
      </c>
      <c r="O549" t="s">
        <v>25</v>
      </c>
      <c r="P549" t="s">
        <v>35</v>
      </c>
      <c r="Q549">
        <v>5</v>
      </c>
      <c r="R549">
        <v>30</v>
      </c>
      <c r="S549" t="s">
        <v>36</v>
      </c>
    </row>
    <row r="550" spans="1:19" x14ac:dyDescent="0.3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 t="str">
        <f t="shared" si="8"/>
        <v>8-14 days</v>
      </c>
      <c r="L550">
        <v>13</v>
      </c>
      <c r="M550">
        <v>5</v>
      </c>
      <c r="N550">
        <v>1</v>
      </c>
      <c r="O550" t="s">
        <v>25</v>
      </c>
      <c r="P550" t="s">
        <v>35</v>
      </c>
      <c r="Q550">
        <v>8.9</v>
      </c>
      <c r="R550">
        <v>20</v>
      </c>
      <c r="S550" t="s">
        <v>36</v>
      </c>
    </row>
    <row r="551" spans="1:19" x14ac:dyDescent="0.3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 t="str">
        <f t="shared" si="8"/>
        <v>31-60 days</v>
      </c>
      <c r="L551">
        <v>45</v>
      </c>
      <c r="M551">
        <v>1</v>
      </c>
      <c r="N551">
        <v>0</v>
      </c>
      <c r="O551" t="s">
        <v>25</v>
      </c>
      <c r="P551" t="s">
        <v>35</v>
      </c>
      <c r="Q551">
        <v>22.1</v>
      </c>
      <c r="R551">
        <v>31</v>
      </c>
      <c r="S551" t="s">
        <v>27</v>
      </c>
    </row>
    <row r="552" spans="1:19" x14ac:dyDescent="0.3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 t="str">
        <f t="shared" si="8"/>
        <v>31-60 days</v>
      </c>
      <c r="L552">
        <v>36</v>
      </c>
      <c r="M552">
        <v>4</v>
      </c>
      <c r="N552">
        <v>0</v>
      </c>
      <c r="O552" t="s">
        <v>25</v>
      </c>
      <c r="P552" t="s">
        <v>50</v>
      </c>
      <c r="Q552">
        <v>4</v>
      </c>
      <c r="R552">
        <v>28</v>
      </c>
      <c r="S552" t="s">
        <v>36</v>
      </c>
    </row>
    <row r="553" spans="1:19" x14ac:dyDescent="0.3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 t="str">
        <f t="shared" si="8"/>
        <v>15-30 days</v>
      </c>
      <c r="L553">
        <v>21</v>
      </c>
      <c r="M553">
        <v>4</v>
      </c>
      <c r="N553">
        <v>1</v>
      </c>
      <c r="O553" t="s">
        <v>25</v>
      </c>
      <c r="P553" t="s">
        <v>50</v>
      </c>
      <c r="Q553">
        <v>16</v>
      </c>
      <c r="R553">
        <v>13</v>
      </c>
      <c r="S553" t="s">
        <v>36</v>
      </c>
    </row>
    <row r="554" spans="1:19" x14ac:dyDescent="0.3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 t="str">
        <f t="shared" si="8"/>
        <v>31-60 days</v>
      </c>
      <c r="L554">
        <v>40</v>
      </c>
      <c r="M554">
        <v>4</v>
      </c>
      <c r="N554">
        <v>1</v>
      </c>
      <c r="O554" t="s">
        <v>25</v>
      </c>
      <c r="P554" t="s">
        <v>26</v>
      </c>
      <c r="Q554">
        <v>7.6</v>
      </c>
      <c r="R554">
        <v>10</v>
      </c>
      <c r="S554" t="s">
        <v>27</v>
      </c>
    </row>
    <row r="555" spans="1:19" x14ac:dyDescent="0.3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 t="str">
        <f t="shared" si="8"/>
        <v>31-60 days</v>
      </c>
      <c r="L555">
        <v>39</v>
      </c>
      <c r="M555">
        <v>1</v>
      </c>
      <c r="N555">
        <v>0</v>
      </c>
      <c r="O555" t="s">
        <v>54</v>
      </c>
      <c r="P555" t="s">
        <v>55</v>
      </c>
      <c r="Q555">
        <v>1.2</v>
      </c>
      <c r="R555">
        <v>21</v>
      </c>
      <c r="S555" t="s">
        <v>36</v>
      </c>
    </row>
    <row r="556" spans="1:19" x14ac:dyDescent="0.3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 t="str">
        <f t="shared" si="8"/>
        <v>31-60 days</v>
      </c>
      <c r="L556">
        <v>33</v>
      </c>
      <c r="M556">
        <v>3</v>
      </c>
      <c r="N556">
        <v>0</v>
      </c>
      <c r="O556" t="s">
        <v>54</v>
      </c>
      <c r="P556" t="s">
        <v>55</v>
      </c>
      <c r="Q556">
        <v>15.3</v>
      </c>
      <c r="R556">
        <v>29</v>
      </c>
      <c r="S556" t="s">
        <v>36</v>
      </c>
    </row>
    <row r="557" spans="1:19" x14ac:dyDescent="0.3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 t="str">
        <f t="shared" si="8"/>
        <v>31-60 days</v>
      </c>
      <c r="L557">
        <v>31</v>
      </c>
      <c r="M557">
        <v>3</v>
      </c>
      <c r="N557">
        <v>0</v>
      </c>
      <c r="O557" t="s">
        <v>54</v>
      </c>
      <c r="P557" t="s">
        <v>55</v>
      </c>
      <c r="Q557">
        <v>15.1</v>
      </c>
      <c r="R557">
        <v>44</v>
      </c>
      <c r="S557" t="s">
        <v>27</v>
      </c>
    </row>
    <row r="558" spans="1:19" x14ac:dyDescent="0.3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 t="str">
        <f t="shared" si="8"/>
        <v>0-7 days</v>
      </c>
      <c r="L558">
        <v>6</v>
      </c>
      <c r="M558">
        <v>2</v>
      </c>
      <c r="N558">
        <v>0</v>
      </c>
      <c r="O558" t="s">
        <v>25</v>
      </c>
      <c r="P558" t="s">
        <v>50</v>
      </c>
      <c r="Q558">
        <v>3.9</v>
      </c>
      <c r="R558">
        <v>12</v>
      </c>
      <c r="S558" t="s">
        <v>27</v>
      </c>
    </row>
    <row r="559" spans="1:19" x14ac:dyDescent="0.3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 t="str">
        <f t="shared" si="8"/>
        <v>15-30 days</v>
      </c>
      <c r="L559">
        <v>15</v>
      </c>
      <c r="M559">
        <v>3</v>
      </c>
      <c r="N559">
        <v>0</v>
      </c>
      <c r="O559" t="s">
        <v>25</v>
      </c>
      <c r="P559" t="s">
        <v>35</v>
      </c>
      <c r="Q559">
        <v>11.1</v>
      </c>
      <c r="R559">
        <v>14</v>
      </c>
      <c r="S559" t="s">
        <v>27</v>
      </c>
    </row>
    <row r="560" spans="1:19" x14ac:dyDescent="0.3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 t="str">
        <f t="shared" si="8"/>
        <v>31-60 days</v>
      </c>
      <c r="L560">
        <v>32</v>
      </c>
      <c r="M560">
        <v>7</v>
      </c>
      <c r="N560">
        <v>2</v>
      </c>
      <c r="O560" t="s">
        <v>25</v>
      </c>
      <c r="P560" t="s">
        <v>35</v>
      </c>
      <c r="Q560">
        <v>7.4</v>
      </c>
      <c r="R560">
        <v>35</v>
      </c>
      <c r="S560" t="s">
        <v>27</v>
      </c>
    </row>
    <row r="561" spans="1:19" x14ac:dyDescent="0.3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 t="str">
        <f t="shared" si="8"/>
        <v>8-14 days</v>
      </c>
      <c r="L561">
        <v>8</v>
      </c>
      <c r="M561">
        <v>3</v>
      </c>
      <c r="N561">
        <v>0</v>
      </c>
      <c r="O561" t="s">
        <v>54</v>
      </c>
      <c r="P561" t="s">
        <v>55</v>
      </c>
      <c r="Q561">
        <v>9.8000000000000007</v>
      </c>
      <c r="R561">
        <v>27</v>
      </c>
      <c r="S561" t="s">
        <v>27</v>
      </c>
    </row>
    <row r="562" spans="1:19" x14ac:dyDescent="0.3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 t="str">
        <f t="shared" si="8"/>
        <v>15-30 days</v>
      </c>
      <c r="L562">
        <v>29</v>
      </c>
      <c r="M562">
        <v>2</v>
      </c>
      <c r="N562">
        <v>1</v>
      </c>
      <c r="O562" t="s">
        <v>25</v>
      </c>
      <c r="P562" t="s">
        <v>26</v>
      </c>
      <c r="Q562">
        <v>5.3</v>
      </c>
      <c r="R562">
        <v>23</v>
      </c>
      <c r="S562" t="s">
        <v>36</v>
      </c>
    </row>
    <row r="563" spans="1:19" x14ac:dyDescent="0.3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 t="str">
        <f t="shared" si="8"/>
        <v>0-7 days</v>
      </c>
      <c r="L563">
        <v>7</v>
      </c>
      <c r="M563">
        <v>1</v>
      </c>
      <c r="N563">
        <v>1</v>
      </c>
      <c r="O563" t="s">
        <v>54</v>
      </c>
      <c r="P563" t="s">
        <v>55</v>
      </c>
      <c r="Q563">
        <v>4.2</v>
      </c>
      <c r="R563">
        <v>32</v>
      </c>
      <c r="S563" t="s">
        <v>36</v>
      </c>
    </row>
    <row r="564" spans="1:19" x14ac:dyDescent="0.3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 t="str">
        <f t="shared" si="8"/>
        <v>31-60 days</v>
      </c>
      <c r="L564">
        <v>48</v>
      </c>
      <c r="M564">
        <v>5</v>
      </c>
      <c r="N564">
        <v>0</v>
      </c>
      <c r="O564" t="s">
        <v>54</v>
      </c>
      <c r="P564" t="s">
        <v>55</v>
      </c>
      <c r="Q564">
        <v>3.5</v>
      </c>
      <c r="R564">
        <v>38</v>
      </c>
      <c r="S564" t="s">
        <v>27</v>
      </c>
    </row>
    <row r="565" spans="1:19" x14ac:dyDescent="0.3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 t="str">
        <f t="shared" si="8"/>
        <v>0-7 days</v>
      </c>
      <c r="L565">
        <v>6</v>
      </c>
      <c r="M565">
        <v>4</v>
      </c>
      <c r="N565">
        <v>1</v>
      </c>
      <c r="O565" t="s">
        <v>25</v>
      </c>
      <c r="P565" t="s">
        <v>26</v>
      </c>
      <c r="Q565">
        <v>17.899999999999999</v>
      </c>
      <c r="R565">
        <v>36</v>
      </c>
      <c r="S565" t="s">
        <v>36</v>
      </c>
    </row>
    <row r="566" spans="1:19" x14ac:dyDescent="0.3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 t="str">
        <f t="shared" si="8"/>
        <v>0-7 days</v>
      </c>
      <c r="L566">
        <v>5</v>
      </c>
      <c r="M566">
        <v>3</v>
      </c>
      <c r="N566">
        <v>0</v>
      </c>
      <c r="O566" t="s">
        <v>25</v>
      </c>
      <c r="P566" t="s">
        <v>26</v>
      </c>
      <c r="Q566">
        <v>4</v>
      </c>
      <c r="R566">
        <v>17</v>
      </c>
      <c r="S566" t="s">
        <v>36</v>
      </c>
    </row>
    <row r="567" spans="1:19" x14ac:dyDescent="0.3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 t="str">
        <f t="shared" si="8"/>
        <v>31-60 days</v>
      </c>
      <c r="L567">
        <v>38</v>
      </c>
      <c r="M567">
        <v>4</v>
      </c>
      <c r="N567">
        <v>1</v>
      </c>
      <c r="O567" t="s">
        <v>25</v>
      </c>
      <c r="P567" t="s">
        <v>35</v>
      </c>
      <c r="Q567">
        <v>11</v>
      </c>
      <c r="S567" t="s">
        <v>36</v>
      </c>
    </row>
    <row r="568" spans="1:19" x14ac:dyDescent="0.3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 t="str">
        <f t="shared" si="8"/>
        <v>8-14 days</v>
      </c>
      <c r="L568">
        <v>13</v>
      </c>
      <c r="M568">
        <v>2</v>
      </c>
      <c r="N568">
        <v>1</v>
      </c>
      <c r="O568" t="s">
        <v>25</v>
      </c>
      <c r="P568" t="s">
        <v>26</v>
      </c>
      <c r="Q568">
        <v>4</v>
      </c>
      <c r="R568">
        <v>37</v>
      </c>
      <c r="S568" t="s">
        <v>36</v>
      </c>
    </row>
    <row r="569" spans="1:19" x14ac:dyDescent="0.3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 t="str">
        <f t="shared" si="8"/>
        <v>15-30 days</v>
      </c>
      <c r="L569">
        <v>21</v>
      </c>
      <c r="M569">
        <v>1</v>
      </c>
      <c r="N569">
        <v>1</v>
      </c>
      <c r="O569" t="s">
        <v>54</v>
      </c>
      <c r="P569" t="s">
        <v>55</v>
      </c>
      <c r="Q569">
        <v>30.6</v>
      </c>
      <c r="R569">
        <v>21</v>
      </c>
      <c r="S569" t="s">
        <v>36</v>
      </c>
    </row>
    <row r="570" spans="1:19" x14ac:dyDescent="0.3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 t="str">
        <f t="shared" si="8"/>
        <v>15-30 days</v>
      </c>
      <c r="L570">
        <v>19</v>
      </c>
      <c r="M570">
        <v>2</v>
      </c>
      <c r="N570">
        <v>0</v>
      </c>
      <c r="O570" t="s">
        <v>25</v>
      </c>
      <c r="P570" t="s">
        <v>35</v>
      </c>
      <c r="Q570">
        <v>4</v>
      </c>
      <c r="R570">
        <v>29</v>
      </c>
      <c r="S570" t="s">
        <v>36</v>
      </c>
    </row>
    <row r="571" spans="1:19" x14ac:dyDescent="0.3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 t="str">
        <f t="shared" si="8"/>
        <v>8-14 days</v>
      </c>
      <c r="L571">
        <v>13</v>
      </c>
      <c r="M571">
        <v>2</v>
      </c>
      <c r="N571">
        <v>1</v>
      </c>
      <c r="O571" t="s">
        <v>54</v>
      </c>
      <c r="P571" t="s">
        <v>55</v>
      </c>
      <c r="Q571">
        <v>3.9</v>
      </c>
      <c r="R571">
        <v>18</v>
      </c>
      <c r="S571" t="s">
        <v>36</v>
      </c>
    </row>
    <row r="572" spans="1:19" x14ac:dyDescent="0.3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 t="str">
        <f t="shared" si="8"/>
        <v>31-60 days</v>
      </c>
      <c r="L572">
        <v>46</v>
      </c>
      <c r="M572">
        <v>2</v>
      </c>
      <c r="N572">
        <v>0</v>
      </c>
      <c r="O572" t="s">
        <v>25</v>
      </c>
      <c r="P572" t="s">
        <v>35</v>
      </c>
      <c r="Q572">
        <v>19.7</v>
      </c>
      <c r="R572">
        <v>14</v>
      </c>
      <c r="S572" t="s">
        <v>27</v>
      </c>
    </row>
    <row r="573" spans="1:19" x14ac:dyDescent="0.3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 t="str">
        <f t="shared" si="8"/>
        <v>31-60 days</v>
      </c>
      <c r="L573">
        <v>42</v>
      </c>
      <c r="M573">
        <v>1</v>
      </c>
      <c r="N573">
        <v>0</v>
      </c>
      <c r="O573" t="s">
        <v>54</v>
      </c>
      <c r="P573" t="s">
        <v>55</v>
      </c>
      <c r="Q573">
        <v>7</v>
      </c>
      <c r="R573">
        <v>29</v>
      </c>
      <c r="S573" t="s">
        <v>71</v>
      </c>
    </row>
    <row r="574" spans="1:19" x14ac:dyDescent="0.3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 t="str">
        <f t="shared" si="8"/>
        <v>8-14 days</v>
      </c>
      <c r="L574">
        <v>14</v>
      </c>
      <c r="M574">
        <v>2</v>
      </c>
      <c r="N574">
        <v>1</v>
      </c>
      <c r="O574" t="s">
        <v>25</v>
      </c>
      <c r="P574" t="s">
        <v>26</v>
      </c>
      <c r="Q574">
        <v>3.2</v>
      </c>
      <c r="R574">
        <v>35</v>
      </c>
      <c r="S574" t="s">
        <v>27</v>
      </c>
    </row>
    <row r="575" spans="1:19" x14ac:dyDescent="0.3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 t="str">
        <f t="shared" si="8"/>
        <v>31-60 days</v>
      </c>
      <c r="L575">
        <v>41</v>
      </c>
      <c r="M575">
        <v>3</v>
      </c>
      <c r="N575">
        <v>1</v>
      </c>
      <c r="O575" t="s">
        <v>25</v>
      </c>
      <c r="P575" t="s">
        <v>35</v>
      </c>
      <c r="Q575">
        <v>8</v>
      </c>
      <c r="R575">
        <v>33</v>
      </c>
      <c r="S575" t="s">
        <v>27</v>
      </c>
    </row>
    <row r="576" spans="1:19" x14ac:dyDescent="0.3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 t="str">
        <f t="shared" si="8"/>
        <v>31-60 days</v>
      </c>
      <c r="L576">
        <v>43</v>
      </c>
      <c r="M576">
        <v>2</v>
      </c>
      <c r="N576">
        <v>0</v>
      </c>
      <c r="O576" t="s">
        <v>25</v>
      </c>
      <c r="P576" t="s">
        <v>35</v>
      </c>
      <c r="Q576">
        <v>4.5</v>
      </c>
      <c r="R576">
        <v>10</v>
      </c>
      <c r="S576" t="s">
        <v>36</v>
      </c>
    </row>
    <row r="577" spans="1:19" x14ac:dyDescent="0.3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 t="str">
        <f t="shared" si="8"/>
        <v>31-60 days</v>
      </c>
      <c r="L577">
        <v>32</v>
      </c>
      <c r="M577">
        <v>0</v>
      </c>
      <c r="N577">
        <v>0</v>
      </c>
      <c r="O577" t="s">
        <v>25</v>
      </c>
      <c r="P577" t="s">
        <v>35</v>
      </c>
      <c r="Q577">
        <v>33.9</v>
      </c>
      <c r="R577">
        <v>39</v>
      </c>
      <c r="S577" t="s">
        <v>36</v>
      </c>
    </row>
    <row r="578" spans="1:19" x14ac:dyDescent="0.3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 t="str">
        <f t="shared" si="8"/>
        <v>31-60 days</v>
      </c>
      <c r="L578">
        <v>35</v>
      </c>
      <c r="M578">
        <v>2</v>
      </c>
      <c r="N578">
        <v>1</v>
      </c>
      <c r="O578" t="s">
        <v>54</v>
      </c>
      <c r="P578" t="s">
        <v>55</v>
      </c>
      <c r="Q578">
        <v>1.9</v>
      </c>
      <c r="R578">
        <v>31</v>
      </c>
      <c r="S578" t="s">
        <v>27</v>
      </c>
    </row>
    <row r="579" spans="1:19" x14ac:dyDescent="0.3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 t="str">
        <f t="shared" ref="K579:K642" si="9">IF(L579&lt;=7,"0-7 days",IF(L579&lt;=14,"8-14 days",IF(L579&lt;=30,"15-30 days","31-60 days")))</f>
        <v>31-60 days</v>
      </c>
      <c r="L579">
        <v>57</v>
      </c>
      <c r="M579">
        <v>4</v>
      </c>
      <c r="N579">
        <v>0</v>
      </c>
      <c r="O579" t="s">
        <v>25</v>
      </c>
      <c r="P579" t="s">
        <v>50</v>
      </c>
      <c r="Q579">
        <v>12.7</v>
      </c>
      <c r="R579">
        <v>37</v>
      </c>
      <c r="S579" t="s">
        <v>27</v>
      </c>
    </row>
    <row r="580" spans="1:19" x14ac:dyDescent="0.3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 t="str">
        <f t="shared" si="9"/>
        <v>15-30 days</v>
      </c>
      <c r="L580">
        <v>27</v>
      </c>
      <c r="M580">
        <v>4</v>
      </c>
      <c r="N580">
        <v>1</v>
      </c>
      <c r="O580" t="s">
        <v>25</v>
      </c>
      <c r="P580" t="s">
        <v>26</v>
      </c>
      <c r="Q580">
        <v>20.100000000000001</v>
      </c>
      <c r="R580">
        <v>14</v>
      </c>
      <c r="S580" t="s">
        <v>71</v>
      </c>
    </row>
    <row r="581" spans="1:19" x14ac:dyDescent="0.3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 t="str">
        <f t="shared" si="9"/>
        <v>15-30 days</v>
      </c>
      <c r="L581">
        <v>23</v>
      </c>
      <c r="M581">
        <v>2</v>
      </c>
      <c r="N581">
        <v>0</v>
      </c>
      <c r="O581" t="s">
        <v>25</v>
      </c>
      <c r="P581" t="s">
        <v>26</v>
      </c>
      <c r="Q581">
        <v>13.8</v>
      </c>
      <c r="S581" t="s">
        <v>27</v>
      </c>
    </row>
    <row r="582" spans="1:19" x14ac:dyDescent="0.3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 t="str">
        <f t="shared" si="9"/>
        <v>31-60 days</v>
      </c>
      <c r="L582">
        <v>32</v>
      </c>
      <c r="M582">
        <v>7</v>
      </c>
      <c r="N582">
        <v>2</v>
      </c>
      <c r="O582" t="s">
        <v>25</v>
      </c>
      <c r="P582" t="s">
        <v>35</v>
      </c>
      <c r="Q582">
        <v>5.0999999999999996</v>
      </c>
      <c r="R582">
        <v>32</v>
      </c>
      <c r="S582" t="s">
        <v>36</v>
      </c>
    </row>
    <row r="583" spans="1:19" x14ac:dyDescent="0.3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 t="str">
        <f t="shared" si="9"/>
        <v>31-60 days</v>
      </c>
      <c r="L583">
        <v>50</v>
      </c>
      <c r="M583">
        <v>1</v>
      </c>
      <c r="N583">
        <v>0</v>
      </c>
      <c r="O583" t="s">
        <v>25</v>
      </c>
      <c r="P583" t="s">
        <v>35</v>
      </c>
      <c r="R583">
        <v>11</v>
      </c>
      <c r="S583" t="s">
        <v>27</v>
      </c>
    </row>
    <row r="584" spans="1:19" x14ac:dyDescent="0.3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 t="str">
        <f t="shared" si="9"/>
        <v>31-60 days</v>
      </c>
      <c r="L584">
        <v>43</v>
      </c>
      <c r="M584">
        <v>3</v>
      </c>
      <c r="N584">
        <v>0</v>
      </c>
      <c r="O584" t="s">
        <v>25</v>
      </c>
      <c r="P584" t="s">
        <v>35</v>
      </c>
      <c r="Q584">
        <v>9.3000000000000007</v>
      </c>
      <c r="R584">
        <v>30</v>
      </c>
      <c r="S584" t="s">
        <v>36</v>
      </c>
    </row>
    <row r="585" spans="1:19" x14ac:dyDescent="0.3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 t="str">
        <f t="shared" si="9"/>
        <v>0-7 days</v>
      </c>
      <c r="L585">
        <v>4</v>
      </c>
      <c r="M585">
        <v>0</v>
      </c>
      <c r="N585">
        <v>0</v>
      </c>
      <c r="O585" t="s">
        <v>25</v>
      </c>
      <c r="P585" t="s">
        <v>50</v>
      </c>
      <c r="Q585">
        <v>12.4</v>
      </c>
      <c r="R585">
        <v>13</v>
      </c>
      <c r="S585" t="s">
        <v>36</v>
      </c>
    </row>
    <row r="586" spans="1:19" x14ac:dyDescent="0.3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 t="str">
        <f t="shared" si="9"/>
        <v>15-30 days</v>
      </c>
      <c r="L586">
        <v>28</v>
      </c>
      <c r="M586">
        <v>3</v>
      </c>
      <c r="N586">
        <v>1</v>
      </c>
      <c r="O586" t="s">
        <v>54</v>
      </c>
      <c r="P586" t="s">
        <v>55</v>
      </c>
      <c r="Q586">
        <v>14.1</v>
      </c>
      <c r="R586">
        <v>25</v>
      </c>
      <c r="S586" t="s">
        <v>36</v>
      </c>
    </row>
    <row r="587" spans="1:19" x14ac:dyDescent="0.3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 t="str">
        <f t="shared" si="9"/>
        <v>31-60 days</v>
      </c>
      <c r="L587">
        <v>45</v>
      </c>
      <c r="M587">
        <v>2</v>
      </c>
      <c r="N587">
        <v>0</v>
      </c>
      <c r="O587" t="s">
        <v>54</v>
      </c>
      <c r="P587" t="s">
        <v>55</v>
      </c>
      <c r="Q587">
        <v>3.8</v>
      </c>
      <c r="R587">
        <v>50</v>
      </c>
      <c r="S587" t="s">
        <v>36</v>
      </c>
    </row>
    <row r="588" spans="1:19" x14ac:dyDescent="0.3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 t="str">
        <f t="shared" si="9"/>
        <v>8-14 days</v>
      </c>
      <c r="L588">
        <v>13</v>
      </c>
      <c r="M588">
        <v>3</v>
      </c>
      <c r="N588">
        <v>0</v>
      </c>
      <c r="O588" t="s">
        <v>25</v>
      </c>
      <c r="P588" t="s">
        <v>35</v>
      </c>
      <c r="Q588">
        <v>11.9</v>
      </c>
      <c r="R588">
        <v>28</v>
      </c>
      <c r="S588" t="s">
        <v>36</v>
      </c>
    </row>
    <row r="589" spans="1:19" x14ac:dyDescent="0.3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 t="str">
        <f t="shared" si="9"/>
        <v>31-60 days</v>
      </c>
      <c r="L589">
        <v>60</v>
      </c>
      <c r="M589">
        <v>4</v>
      </c>
      <c r="N589">
        <v>1</v>
      </c>
      <c r="O589" t="s">
        <v>54</v>
      </c>
      <c r="P589" t="s">
        <v>55</v>
      </c>
      <c r="Q589">
        <v>13.5</v>
      </c>
      <c r="R589">
        <v>23</v>
      </c>
      <c r="S589" t="s">
        <v>27</v>
      </c>
    </row>
    <row r="590" spans="1:19" x14ac:dyDescent="0.3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 t="str">
        <f t="shared" si="9"/>
        <v>31-60 days</v>
      </c>
      <c r="L590">
        <v>49</v>
      </c>
      <c r="M590">
        <v>2</v>
      </c>
      <c r="N590">
        <v>0</v>
      </c>
      <c r="O590" t="s">
        <v>25</v>
      </c>
      <c r="P590" t="s">
        <v>35</v>
      </c>
      <c r="Q590">
        <v>8.1</v>
      </c>
      <c r="R590">
        <v>8</v>
      </c>
      <c r="S590" t="s">
        <v>71</v>
      </c>
    </row>
    <row r="591" spans="1:19" x14ac:dyDescent="0.3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 t="str">
        <f t="shared" si="9"/>
        <v>31-60 days</v>
      </c>
      <c r="L591">
        <v>51</v>
      </c>
      <c r="M591">
        <v>3</v>
      </c>
      <c r="N591">
        <v>0</v>
      </c>
      <c r="O591" t="s">
        <v>25</v>
      </c>
      <c r="P591" t="s">
        <v>35</v>
      </c>
      <c r="Q591">
        <v>5.0999999999999996</v>
      </c>
      <c r="R591">
        <v>28</v>
      </c>
      <c r="S591" t="s">
        <v>27</v>
      </c>
    </row>
    <row r="592" spans="1:19" x14ac:dyDescent="0.3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 t="str">
        <f t="shared" si="9"/>
        <v>0-7 days</v>
      </c>
      <c r="L592">
        <v>4</v>
      </c>
      <c r="M592">
        <v>2</v>
      </c>
      <c r="N592">
        <v>0</v>
      </c>
      <c r="O592" t="s">
        <v>25</v>
      </c>
      <c r="P592" t="s">
        <v>26</v>
      </c>
      <c r="Q592">
        <v>7.7</v>
      </c>
      <c r="R592">
        <v>23</v>
      </c>
      <c r="S592" t="s">
        <v>36</v>
      </c>
    </row>
    <row r="593" spans="1:19" x14ac:dyDescent="0.3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 t="str">
        <f t="shared" si="9"/>
        <v>31-60 days</v>
      </c>
      <c r="L593">
        <v>35</v>
      </c>
      <c r="M593">
        <v>2</v>
      </c>
      <c r="N593">
        <v>1</v>
      </c>
      <c r="O593" t="s">
        <v>25</v>
      </c>
      <c r="P593" t="s">
        <v>26</v>
      </c>
      <c r="Q593">
        <v>23.9</v>
      </c>
      <c r="R593">
        <v>3</v>
      </c>
      <c r="S593" t="s">
        <v>27</v>
      </c>
    </row>
    <row r="594" spans="1:19" x14ac:dyDescent="0.3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 t="str">
        <f t="shared" si="9"/>
        <v>31-60 days</v>
      </c>
      <c r="L594">
        <v>32</v>
      </c>
      <c r="M594">
        <v>2</v>
      </c>
      <c r="N594">
        <v>0</v>
      </c>
      <c r="O594" t="s">
        <v>25</v>
      </c>
      <c r="P594" t="s">
        <v>35</v>
      </c>
      <c r="Q594">
        <v>11</v>
      </c>
      <c r="R594">
        <v>13</v>
      </c>
      <c r="S594" t="s">
        <v>27</v>
      </c>
    </row>
    <row r="595" spans="1:19" x14ac:dyDescent="0.3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 t="str">
        <f t="shared" si="9"/>
        <v>31-60 days</v>
      </c>
      <c r="L595">
        <v>38</v>
      </c>
      <c r="M595">
        <v>4</v>
      </c>
      <c r="N595">
        <v>0</v>
      </c>
      <c r="O595" t="s">
        <v>25</v>
      </c>
      <c r="P595" t="s">
        <v>26</v>
      </c>
      <c r="Q595">
        <v>8.6</v>
      </c>
      <c r="R595">
        <v>35</v>
      </c>
      <c r="S595" t="s">
        <v>27</v>
      </c>
    </row>
    <row r="596" spans="1:19" x14ac:dyDescent="0.3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 t="str">
        <f t="shared" si="9"/>
        <v>31-60 days</v>
      </c>
      <c r="L596">
        <v>51</v>
      </c>
      <c r="M596">
        <v>5</v>
      </c>
      <c r="N596">
        <v>1</v>
      </c>
      <c r="O596" t="s">
        <v>25</v>
      </c>
      <c r="P596" t="s">
        <v>26</v>
      </c>
      <c r="Q596">
        <v>3.9</v>
      </c>
      <c r="R596">
        <v>39</v>
      </c>
      <c r="S596" t="s">
        <v>27</v>
      </c>
    </row>
    <row r="597" spans="1:19" x14ac:dyDescent="0.3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 t="str">
        <f t="shared" si="9"/>
        <v>15-30 days</v>
      </c>
      <c r="L597">
        <v>21</v>
      </c>
      <c r="M597">
        <v>4</v>
      </c>
      <c r="N597">
        <v>0</v>
      </c>
      <c r="O597" t="s">
        <v>54</v>
      </c>
      <c r="P597" t="s">
        <v>55</v>
      </c>
      <c r="Q597">
        <v>16.3</v>
      </c>
      <c r="R597">
        <v>26</v>
      </c>
      <c r="S597" t="s">
        <v>36</v>
      </c>
    </row>
    <row r="598" spans="1:19" x14ac:dyDescent="0.3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 t="str">
        <f t="shared" si="9"/>
        <v>31-60 days</v>
      </c>
      <c r="L598">
        <v>32</v>
      </c>
      <c r="M598">
        <v>5</v>
      </c>
      <c r="N598">
        <v>1</v>
      </c>
      <c r="O598" t="s">
        <v>25</v>
      </c>
      <c r="P598" t="s">
        <v>26</v>
      </c>
      <c r="Q598">
        <v>11.8</v>
      </c>
      <c r="R598">
        <v>36</v>
      </c>
      <c r="S598" t="s">
        <v>71</v>
      </c>
    </row>
    <row r="599" spans="1:19" x14ac:dyDescent="0.3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 t="str">
        <f t="shared" si="9"/>
        <v>31-60 days</v>
      </c>
      <c r="L599">
        <v>41</v>
      </c>
      <c r="M599">
        <v>2</v>
      </c>
      <c r="N599">
        <v>0</v>
      </c>
      <c r="O599" t="s">
        <v>25</v>
      </c>
      <c r="P599" t="s">
        <v>26</v>
      </c>
      <c r="Q599">
        <v>6.2</v>
      </c>
      <c r="R599">
        <v>25</v>
      </c>
      <c r="S599" t="s">
        <v>36</v>
      </c>
    </row>
    <row r="600" spans="1:19" x14ac:dyDescent="0.3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 t="str">
        <f t="shared" si="9"/>
        <v>31-60 days</v>
      </c>
      <c r="L600">
        <v>45</v>
      </c>
      <c r="M600">
        <v>4</v>
      </c>
      <c r="N600">
        <v>0</v>
      </c>
      <c r="O600" t="s">
        <v>25</v>
      </c>
      <c r="P600" t="s">
        <v>26</v>
      </c>
      <c r="Q600">
        <v>5.5</v>
      </c>
      <c r="R600">
        <v>16</v>
      </c>
      <c r="S600" t="s">
        <v>27</v>
      </c>
    </row>
    <row r="601" spans="1:19" x14ac:dyDescent="0.3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 t="str">
        <f t="shared" si="9"/>
        <v>31-60 days</v>
      </c>
      <c r="L601">
        <v>46</v>
      </c>
      <c r="M601">
        <v>1</v>
      </c>
      <c r="N601">
        <v>0</v>
      </c>
      <c r="O601" t="s">
        <v>25</v>
      </c>
      <c r="P601" t="s">
        <v>35</v>
      </c>
      <c r="Q601">
        <v>3.4</v>
      </c>
      <c r="R601">
        <v>49</v>
      </c>
      <c r="S601" t="s">
        <v>27</v>
      </c>
    </row>
    <row r="602" spans="1:19" x14ac:dyDescent="0.3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 t="str">
        <f t="shared" si="9"/>
        <v>15-30 days</v>
      </c>
      <c r="L602">
        <v>20</v>
      </c>
      <c r="M602">
        <v>2</v>
      </c>
      <c r="N602">
        <v>0</v>
      </c>
      <c r="O602" t="s">
        <v>25</v>
      </c>
      <c r="P602" t="s">
        <v>35</v>
      </c>
      <c r="Q602">
        <v>12.1</v>
      </c>
      <c r="R602">
        <v>9</v>
      </c>
      <c r="S602" t="s">
        <v>36</v>
      </c>
    </row>
    <row r="603" spans="1:19" x14ac:dyDescent="0.3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 t="str">
        <f t="shared" si="9"/>
        <v>31-60 days</v>
      </c>
      <c r="L603">
        <v>60</v>
      </c>
      <c r="M603">
        <v>4</v>
      </c>
      <c r="N603">
        <v>0</v>
      </c>
      <c r="O603" t="s">
        <v>25</v>
      </c>
      <c r="P603" t="s">
        <v>26</v>
      </c>
      <c r="Q603">
        <v>1.8</v>
      </c>
      <c r="R603">
        <v>29</v>
      </c>
      <c r="S603" t="s">
        <v>27</v>
      </c>
    </row>
    <row r="604" spans="1:19" x14ac:dyDescent="0.3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 t="str">
        <f t="shared" si="9"/>
        <v>0-7 days</v>
      </c>
      <c r="L604">
        <v>0</v>
      </c>
      <c r="M604">
        <v>3</v>
      </c>
      <c r="N604">
        <v>0</v>
      </c>
      <c r="O604" t="s">
        <v>54</v>
      </c>
      <c r="P604" t="s">
        <v>55</v>
      </c>
      <c r="Q604">
        <v>12.4</v>
      </c>
      <c r="R604">
        <v>18</v>
      </c>
      <c r="S604" t="s">
        <v>27</v>
      </c>
    </row>
    <row r="605" spans="1:19" x14ac:dyDescent="0.3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 t="str">
        <f t="shared" si="9"/>
        <v>15-30 days</v>
      </c>
      <c r="L605">
        <v>30</v>
      </c>
      <c r="M605">
        <v>7</v>
      </c>
      <c r="N605">
        <v>1</v>
      </c>
      <c r="O605" t="s">
        <v>25</v>
      </c>
      <c r="P605" t="s">
        <v>35</v>
      </c>
      <c r="Q605">
        <v>2</v>
      </c>
      <c r="R605">
        <v>22</v>
      </c>
      <c r="S605" t="s">
        <v>27</v>
      </c>
    </row>
    <row r="606" spans="1:19" x14ac:dyDescent="0.3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 t="str">
        <f t="shared" si="9"/>
        <v>31-60 days</v>
      </c>
      <c r="L606">
        <v>37</v>
      </c>
      <c r="M606">
        <v>0</v>
      </c>
      <c r="N606">
        <v>0</v>
      </c>
      <c r="O606" t="s">
        <v>25</v>
      </c>
      <c r="P606" t="s">
        <v>35</v>
      </c>
      <c r="Q606">
        <v>7.3</v>
      </c>
      <c r="R606">
        <v>42</v>
      </c>
      <c r="S606" t="s">
        <v>36</v>
      </c>
    </row>
    <row r="607" spans="1:19" x14ac:dyDescent="0.3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 t="str">
        <f t="shared" si="9"/>
        <v>0-7 days</v>
      </c>
      <c r="L607">
        <v>3</v>
      </c>
      <c r="M607">
        <v>4</v>
      </c>
      <c r="N607">
        <v>0</v>
      </c>
      <c r="O607" t="s">
        <v>25</v>
      </c>
      <c r="P607" t="s">
        <v>50</v>
      </c>
      <c r="Q607">
        <v>16.600000000000001</v>
      </c>
      <c r="R607">
        <v>25</v>
      </c>
      <c r="S607" t="s">
        <v>36</v>
      </c>
    </row>
    <row r="608" spans="1:19" x14ac:dyDescent="0.3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 t="str">
        <f t="shared" si="9"/>
        <v>15-30 days</v>
      </c>
      <c r="L608">
        <v>27</v>
      </c>
      <c r="M608">
        <v>1</v>
      </c>
      <c r="N608">
        <v>0</v>
      </c>
      <c r="O608" t="s">
        <v>25</v>
      </c>
      <c r="P608" t="s">
        <v>26</v>
      </c>
      <c r="Q608">
        <v>1.5</v>
      </c>
      <c r="R608">
        <v>21</v>
      </c>
      <c r="S608" t="s">
        <v>36</v>
      </c>
    </row>
    <row r="609" spans="1:19" x14ac:dyDescent="0.3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 t="str">
        <f t="shared" si="9"/>
        <v>31-60 days</v>
      </c>
      <c r="L609">
        <v>36</v>
      </c>
      <c r="M609">
        <v>4</v>
      </c>
      <c r="N609">
        <v>0</v>
      </c>
      <c r="O609" t="s">
        <v>25</v>
      </c>
      <c r="P609" t="s">
        <v>50</v>
      </c>
      <c r="Q609">
        <v>19.100000000000001</v>
      </c>
      <c r="R609">
        <v>19</v>
      </c>
      <c r="S609" t="s">
        <v>27</v>
      </c>
    </row>
    <row r="610" spans="1:19" x14ac:dyDescent="0.3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 t="str">
        <f t="shared" si="9"/>
        <v>31-60 days</v>
      </c>
      <c r="L610">
        <v>37</v>
      </c>
      <c r="M610">
        <v>2</v>
      </c>
      <c r="N610">
        <v>0</v>
      </c>
      <c r="O610" t="s">
        <v>25</v>
      </c>
      <c r="P610" t="s">
        <v>35</v>
      </c>
      <c r="Q610">
        <v>5.4</v>
      </c>
      <c r="R610">
        <v>31</v>
      </c>
      <c r="S610" t="s">
        <v>27</v>
      </c>
    </row>
    <row r="611" spans="1:19" x14ac:dyDescent="0.3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 t="str">
        <f t="shared" si="9"/>
        <v>0-7 days</v>
      </c>
      <c r="L611">
        <v>7</v>
      </c>
      <c r="M611">
        <v>3</v>
      </c>
      <c r="N611">
        <v>2</v>
      </c>
      <c r="O611" t="s">
        <v>25</v>
      </c>
      <c r="P611" t="s">
        <v>26</v>
      </c>
      <c r="Q611">
        <v>7.6</v>
      </c>
      <c r="R611">
        <v>14</v>
      </c>
      <c r="S611" t="s">
        <v>27</v>
      </c>
    </row>
    <row r="612" spans="1:19" x14ac:dyDescent="0.3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 t="str">
        <f t="shared" si="9"/>
        <v>15-30 days</v>
      </c>
      <c r="L612">
        <v>16</v>
      </c>
      <c r="M612">
        <v>1</v>
      </c>
      <c r="N612">
        <v>0</v>
      </c>
      <c r="O612" t="s">
        <v>25</v>
      </c>
      <c r="P612" t="s">
        <v>35</v>
      </c>
      <c r="Q612">
        <v>5.4</v>
      </c>
      <c r="R612">
        <v>26</v>
      </c>
      <c r="S612" t="s">
        <v>36</v>
      </c>
    </row>
    <row r="613" spans="1:19" x14ac:dyDescent="0.3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 t="str">
        <f t="shared" si="9"/>
        <v>8-14 days</v>
      </c>
      <c r="L613">
        <v>14</v>
      </c>
      <c r="M613">
        <v>3</v>
      </c>
      <c r="N613">
        <v>1</v>
      </c>
      <c r="O613" t="s">
        <v>54</v>
      </c>
      <c r="P613" t="s">
        <v>55</v>
      </c>
      <c r="Q613">
        <v>5.9</v>
      </c>
      <c r="R613">
        <v>23</v>
      </c>
      <c r="S613" t="s">
        <v>36</v>
      </c>
    </row>
    <row r="614" spans="1:19" x14ac:dyDescent="0.3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 t="str">
        <f t="shared" si="9"/>
        <v>31-60 days</v>
      </c>
      <c r="L614">
        <v>39</v>
      </c>
      <c r="M614">
        <v>2</v>
      </c>
      <c r="N614">
        <v>0</v>
      </c>
      <c r="O614" t="s">
        <v>25</v>
      </c>
      <c r="P614" t="s">
        <v>35</v>
      </c>
      <c r="Q614">
        <v>4.3</v>
      </c>
      <c r="R614">
        <v>16</v>
      </c>
      <c r="S614" t="s">
        <v>71</v>
      </c>
    </row>
    <row r="615" spans="1:19" x14ac:dyDescent="0.3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 t="str">
        <f t="shared" si="9"/>
        <v>15-30 days</v>
      </c>
      <c r="L615">
        <v>20</v>
      </c>
      <c r="M615">
        <v>1</v>
      </c>
      <c r="N615">
        <v>0</v>
      </c>
      <c r="O615" t="s">
        <v>25</v>
      </c>
      <c r="P615" t="s">
        <v>35</v>
      </c>
      <c r="Q615">
        <v>15.7</v>
      </c>
      <c r="R615">
        <v>9</v>
      </c>
      <c r="S615" t="s">
        <v>27</v>
      </c>
    </row>
    <row r="616" spans="1:19" x14ac:dyDescent="0.3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 t="str">
        <f t="shared" si="9"/>
        <v>31-60 days</v>
      </c>
      <c r="L616">
        <v>34</v>
      </c>
      <c r="M616">
        <v>0</v>
      </c>
      <c r="N616">
        <v>0</v>
      </c>
      <c r="O616" t="s">
        <v>25</v>
      </c>
      <c r="P616" t="s">
        <v>35</v>
      </c>
      <c r="Q616">
        <v>13.2</v>
      </c>
      <c r="R616">
        <v>25</v>
      </c>
      <c r="S616" t="s">
        <v>27</v>
      </c>
    </row>
    <row r="617" spans="1:19" x14ac:dyDescent="0.3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 t="str">
        <f t="shared" si="9"/>
        <v>31-60 days</v>
      </c>
      <c r="L617">
        <v>44</v>
      </c>
      <c r="M617">
        <v>1</v>
      </c>
      <c r="N617">
        <v>0</v>
      </c>
      <c r="O617" t="s">
        <v>54</v>
      </c>
      <c r="P617" t="s">
        <v>55</v>
      </c>
      <c r="Q617">
        <v>3.9</v>
      </c>
      <c r="R617">
        <v>21</v>
      </c>
      <c r="S617" t="s">
        <v>36</v>
      </c>
    </row>
    <row r="618" spans="1:19" x14ac:dyDescent="0.3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 t="str">
        <f t="shared" si="9"/>
        <v>31-60 days</v>
      </c>
      <c r="L618">
        <v>48</v>
      </c>
      <c r="M618">
        <v>3</v>
      </c>
      <c r="N618">
        <v>1</v>
      </c>
      <c r="O618" t="s">
        <v>25</v>
      </c>
      <c r="P618" t="s">
        <v>26</v>
      </c>
      <c r="Q618">
        <v>11.1</v>
      </c>
      <c r="R618">
        <v>27</v>
      </c>
      <c r="S618" t="s">
        <v>27</v>
      </c>
    </row>
    <row r="619" spans="1:19" x14ac:dyDescent="0.3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 t="str">
        <f t="shared" si="9"/>
        <v>8-14 days</v>
      </c>
      <c r="L619">
        <v>11</v>
      </c>
      <c r="M619">
        <v>1</v>
      </c>
      <c r="N619">
        <v>0</v>
      </c>
      <c r="O619" t="s">
        <v>25</v>
      </c>
      <c r="P619" t="s">
        <v>50</v>
      </c>
      <c r="Q619">
        <v>9.6</v>
      </c>
      <c r="R619">
        <v>2</v>
      </c>
      <c r="S619" t="s">
        <v>27</v>
      </c>
    </row>
    <row r="620" spans="1:19" x14ac:dyDescent="0.3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 t="str">
        <f t="shared" si="9"/>
        <v>31-60 days</v>
      </c>
      <c r="L620">
        <v>55</v>
      </c>
      <c r="M620">
        <v>2</v>
      </c>
      <c r="N620">
        <v>1</v>
      </c>
      <c r="O620" t="s">
        <v>54</v>
      </c>
      <c r="P620" t="s">
        <v>55</v>
      </c>
      <c r="Q620">
        <v>6.5</v>
      </c>
      <c r="R620">
        <v>20</v>
      </c>
      <c r="S620" t="s">
        <v>27</v>
      </c>
    </row>
    <row r="621" spans="1:19" x14ac:dyDescent="0.3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 t="str">
        <f t="shared" si="9"/>
        <v>8-14 days</v>
      </c>
      <c r="L621">
        <v>10</v>
      </c>
      <c r="M621">
        <v>0</v>
      </c>
      <c r="N621">
        <v>0</v>
      </c>
      <c r="O621" t="s">
        <v>54</v>
      </c>
      <c r="P621" t="s">
        <v>55</v>
      </c>
      <c r="Q621">
        <v>11.6</v>
      </c>
      <c r="R621">
        <v>34</v>
      </c>
      <c r="S621" t="s">
        <v>36</v>
      </c>
    </row>
    <row r="622" spans="1:19" x14ac:dyDescent="0.3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 t="str">
        <f t="shared" si="9"/>
        <v>0-7 days</v>
      </c>
      <c r="L622">
        <v>1</v>
      </c>
      <c r="M622">
        <v>8</v>
      </c>
      <c r="N622">
        <v>2</v>
      </c>
      <c r="O622" t="s">
        <v>25</v>
      </c>
      <c r="P622" t="s">
        <v>35</v>
      </c>
      <c r="Q622">
        <v>7.5</v>
      </c>
      <c r="R622">
        <v>7</v>
      </c>
      <c r="S622" t="s">
        <v>36</v>
      </c>
    </row>
    <row r="623" spans="1:19" x14ac:dyDescent="0.3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 t="str">
        <f t="shared" si="9"/>
        <v>0-7 days</v>
      </c>
      <c r="L623">
        <v>2</v>
      </c>
      <c r="M623">
        <v>1</v>
      </c>
      <c r="N623">
        <v>0</v>
      </c>
      <c r="O623" t="s">
        <v>25</v>
      </c>
      <c r="P623" t="s">
        <v>35</v>
      </c>
      <c r="Q623">
        <v>14.4</v>
      </c>
      <c r="R623">
        <v>45</v>
      </c>
      <c r="S623" t="s">
        <v>36</v>
      </c>
    </row>
    <row r="624" spans="1:19" x14ac:dyDescent="0.3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 t="str">
        <f t="shared" si="9"/>
        <v>8-14 days</v>
      </c>
      <c r="L624">
        <v>12</v>
      </c>
      <c r="M624">
        <v>1</v>
      </c>
      <c r="N624">
        <v>0</v>
      </c>
      <c r="O624" t="s">
        <v>25</v>
      </c>
      <c r="P624" t="s">
        <v>50</v>
      </c>
      <c r="Q624">
        <v>4.4000000000000004</v>
      </c>
      <c r="R624">
        <v>29</v>
      </c>
      <c r="S624" t="s">
        <v>36</v>
      </c>
    </row>
    <row r="625" spans="1:19" x14ac:dyDescent="0.3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 t="str">
        <f t="shared" si="9"/>
        <v>31-60 days</v>
      </c>
      <c r="L625">
        <v>53</v>
      </c>
      <c r="M625">
        <v>1</v>
      </c>
      <c r="N625">
        <v>0</v>
      </c>
      <c r="O625" t="s">
        <v>54</v>
      </c>
      <c r="P625" t="s">
        <v>55</v>
      </c>
      <c r="Q625">
        <v>13.5</v>
      </c>
      <c r="R625">
        <v>23</v>
      </c>
      <c r="S625" t="s">
        <v>27</v>
      </c>
    </row>
    <row r="626" spans="1:19" x14ac:dyDescent="0.3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 t="str">
        <f t="shared" si="9"/>
        <v>8-14 days</v>
      </c>
      <c r="L626">
        <v>12</v>
      </c>
      <c r="M626">
        <v>2</v>
      </c>
      <c r="N626">
        <v>0</v>
      </c>
      <c r="O626" t="s">
        <v>25</v>
      </c>
      <c r="P626" t="s">
        <v>35</v>
      </c>
      <c r="Q626">
        <v>1.8</v>
      </c>
      <c r="R626">
        <v>26</v>
      </c>
      <c r="S626" t="s">
        <v>36</v>
      </c>
    </row>
    <row r="627" spans="1:19" x14ac:dyDescent="0.3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 t="str">
        <f t="shared" si="9"/>
        <v>31-60 days</v>
      </c>
      <c r="L627">
        <v>42</v>
      </c>
      <c r="M627">
        <v>5</v>
      </c>
      <c r="N627">
        <v>1</v>
      </c>
      <c r="O627" t="s">
        <v>25</v>
      </c>
      <c r="P627" t="s">
        <v>50</v>
      </c>
      <c r="Q627">
        <v>9.1</v>
      </c>
      <c r="R627">
        <v>15</v>
      </c>
      <c r="S627" t="s">
        <v>27</v>
      </c>
    </row>
    <row r="628" spans="1:19" x14ac:dyDescent="0.3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 t="str">
        <f t="shared" si="9"/>
        <v>15-30 days</v>
      </c>
      <c r="L628">
        <v>25</v>
      </c>
      <c r="M628">
        <v>2</v>
      </c>
      <c r="N628">
        <v>0</v>
      </c>
      <c r="O628" t="s">
        <v>25</v>
      </c>
      <c r="P628" t="s">
        <v>35</v>
      </c>
      <c r="Q628">
        <v>8.3000000000000007</v>
      </c>
      <c r="R628">
        <v>40</v>
      </c>
      <c r="S628" t="s">
        <v>27</v>
      </c>
    </row>
    <row r="629" spans="1:19" x14ac:dyDescent="0.3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 t="str">
        <f t="shared" si="9"/>
        <v>0-7 days</v>
      </c>
      <c r="L629">
        <v>2</v>
      </c>
      <c r="M629">
        <v>2</v>
      </c>
      <c r="N629">
        <v>0</v>
      </c>
      <c r="O629" t="s">
        <v>25</v>
      </c>
      <c r="P629" t="s">
        <v>26</v>
      </c>
      <c r="Q629">
        <v>4.5</v>
      </c>
      <c r="R629">
        <v>27</v>
      </c>
      <c r="S629" t="s">
        <v>36</v>
      </c>
    </row>
    <row r="630" spans="1:19" x14ac:dyDescent="0.3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 t="str">
        <f t="shared" si="9"/>
        <v>15-30 days</v>
      </c>
      <c r="L630">
        <v>27</v>
      </c>
      <c r="M630">
        <v>3</v>
      </c>
      <c r="N630">
        <v>1</v>
      </c>
      <c r="O630" t="s">
        <v>54</v>
      </c>
      <c r="P630" t="s">
        <v>55</v>
      </c>
      <c r="Q630">
        <v>11.8</v>
      </c>
      <c r="R630">
        <v>25</v>
      </c>
      <c r="S630" t="s">
        <v>27</v>
      </c>
    </row>
    <row r="631" spans="1:19" x14ac:dyDescent="0.3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 t="str">
        <f t="shared" si="9"/>
        <v>0-7 days</v>
      </c>
      <c r="L631">
        <v>1</v>
      </c>
      <c r="M631">
        <v>4</v>
      </c>
      <c r="N631">
        <v>0</v>
      </c>
      <c r="O631" t="s">
        <v>25</v>
      </c>
      <c r="P631" t="s">
        <v>35</v>
      </c>
      <c r="Q631">
        <v>12.5</v>
      </c>
      <c r="R631">
        <v>36</v>
      </c>
      <c r="S631" t="s">
        <v>36</v>
      </c>
    </row>
    <row r="632" spans="1:19" x14ac:dyDescent="0.3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 t="str">
        <f t="shared" si="9"/>
        <v>15-30 days</v>
      </c>
      <c r="L632">
        <v>29</v>
      </c>
      <c r="M632">
        <v>5</v>
      </c>
      <c r="N632">
        <v>2</v>
      </c>
      <c r="O632" t="s">
        <v>25</v>
      </c>
      <c r="P632" t="s">
        <v>35</v>
      </c>
      <c r="Q632">
        <v>5.3</v>
      </c>
      <c r="R632">
        <v>29</v>
      </c>
      <c r="S632" t="s">
        <v>27</v>
      </c>
    </row>
    <row r="633" spans="1:19" x14ac:dyDescent="0.3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 t="str">
        <f t="shared" si="9"/>
        <v>31-60 days</v>
      </c>
      <c r="L633">
        <v>34</v>
      </c>
      <c r="M633">
        <v>5</v>
      </c>
      <c r="N633">
        <v>1</v>
      </c>
      <c r="O633" t="s">
        <v>25</v>
      </c>
      <c r="P633" t="s">
        <v>26</v>
      </c>
      <c r="Q633">
        <v>6.5</v>
      </c>
      <c r="R633">
        <v>17</v>
      </c>
      <c r="S633" t="s">
        <v>27</v>
      </c>
    </row>
    <row r="634" spans="1:19" x14ac:dyDescent="0.3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 t="str">
        <f t="shared" si="9"/>
        <v>31-60 days</v>
      </c>
      <c r="L634">
        <v>31</v>
      </c>
      <c r="M634">
        <v>4</v>
      </c>
      <c r="N634">
        <v>0</v>
      </c>
      <c r="O634" t="s">
        <v>54</v>
      </c>
      <c r="P634" t="s">
        <v>55</v>
      </c>
      <c r="Q634">
        <v>10.5</v>
      </c>
      <c r="R634">
        <v>24</v>
      </c>
      <c r="S634" t="s">
        <v>27</v>
      </c>
    </row>
    <row r="635" spans="1:19" x14ac:dyDescent="0.3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 t="str">
        <f t="shared" si="9"/>
        <v>15-30 days</v>
      </c>
      <c r="L635">
        <v>17</v>
      </c>
      <c r="M635">
        <v>0</v>
      </c>
      <c r="N635">
        <v>0</v>
      </c>
      <c r="O635" t="s">
        <v>25</v>
      </c>
      <c r="P635" t="s">
        <v>35</v>
      </c>
      <c r="Q635">
        <v>2.2000000000000002</v>
      </c>
      <c r="R635">
        <v>31</v>
      </c>
      <c r="S635" t="s">
        <v>71</v>
      </c>
    </row>
    <row r="636" spans="1:19" x14ac:dyDescent="0.3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 t="str">
        <f t="shared" si="9"/>
        <v>31-60 days</v>
      </c>
      <c r="L636">
        <v>46</v>
      </c>
      <c r="M636">
        <v>3</v>
      </c>
      <c r="N636">
        <v>1</v>
      </c>
      <c r="O636" t="s">
        <v>25</v>
      </c>
      <c r="P636" t="s">
        <v>35</v>
      </c>
      <c r="Q636">
        <v>5.5</v>
      </c>
      <c r="R636">
        <v>25</v>
      </c>
      <c r="S636" t="s">
        <v>27</v>
      </c>
    </row>
    <row r="637" spans="1:19" x14ac:dyDescent="0.3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 t="str">
        <f t="shared" si="9"/>
        <v>31-60 days</v>
      </c>
      <c r="L637">
        <v>36</v>
      </c>
      <c r="M637">
        <v>1</v>
      </c>
      <c r="N637">
        <v>0</v>
      </c>
      <c r="O637" t="s">
        <v>54</v>
      </c>
      <c r="P637" t="s">
        <v>55</v>
      </c>
      <c r="Q637">
        <v>5.8</v>
      </c>
      <c r="R637">
        <v>10</v>
      </c>
      <c r="S637" t="s">
        <v>36</v>
      </c>
    </row>
    <row r="638" spans="1:19" x14ac:dyDescent="0.3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 t="str">
        <f t="shared" si="9"/>
        <v>15-30 days</v>
      </c>
      <c r="L638">
        <v>15</v>
      </c>
      <c r="M638">
        <v>2</v>
      </c>
      <c r="N638">
        <v>1</v>
      </c>
      <c r="O638" t="s">
        <v>25</v>
      </c>
      <c r="P638" t="s">
        <v>35</v>
      </c>
      <c r="Q638">
        <v>6.8</v>
      </c>
      <c r="R638">
        <v>40</v>
      </c>
      <c r="S638" t="s">
        <v>36</v>
      </c>
    </row>
    <row r="639" spans="1:19" x14ac:dyDescent="0.3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 t="str">
        <f t="shared" si="9"/>
        <v>15-30 days</v>
      </c>
      <c r="L639">
        <v>26</v>
      </c>
      <c r="M639">
        <v>7</v>
      </c>
      <c r="N639">
        <v>2</v>
      </c>
      <c r="O639" t="s">
        <v>25</v>
      </c>
      <c r="P639" t="s">
        <v>26</v>
      </c>
      <c r="Q639">
        <v>13.9</v>
      </c>
      <c r="R639">
        <v>26</v>
      </c>
      <c r="S639" t="s">
        <v>36</v>
      </c>
    </row>
    <row r="640" spans="1:19" x14ac:dyDescent="0.3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 t="str">
        <f t="shared" si="9"/>
        <v>0-7 days</v>
      </c>
      <c r="L640">
        <v>6</v>
      </c>
      <c r="M640">
        <v>4</v>
      </c>
      <c r="N640">
        <v>0</v>
      </c>
      <c r="O640" t="s">
        <v>25</v>
      </c>
      <c r="P640" t="s">
        <v>35</v>
      </c>
      <c r="Q640">
        <v>13.3</v>
      </c>
      <c r="R640">
        <v>20</v>
      </c>
      <c r="S640" t="s">
        <v>27</v>
      </c>
    </row>
    <row r="641" spans="1:19" x14ac:dyDescent="0.3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 t="str">
        <f t="shared" si="9"/>
        <v>31-60 days</v>
      </c>
      <c r="L641">
        <v>56</v>
      </c>
      <c r="M641">
        <v>2</v>
      </c>
      <c r="N641">
        <v>0</v>
      </c>
      <c r="O641" t="s">
        <v>25</v>
      </c>
      <c r="P641" t="s">
        <v>26</v>
      </c>
      <c r="Q641">
        <v>4.3</v>
      </c>
      <c r="R641">
        <v>32</v>
      </c>
      <c r="S641" t="s">
        <v>36</v>
      </c>
    </row>
    <row r="642" spans="1:19" x14ac:dyDescent="0.3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 t="str">
        <f t="shared" si="9"/>
        <v>31-60 days</v>
      </c>
      <c r="L642">
        <v>45</v>
      </c>
      <c r="M642">
        <v>3</v>
      </c>
      <c r="N642">
        <v>0</v>
      </c>
      <c r="O642" t="s">
        <v>25</v>
      </c>
      <c r="P642" t="s">
        <v>35</v>
      </c>
      <c r="Q642">
        <v>8.8000000000000007</v>
      </c>
      <c r="R642">
        <v>19</v>
      </c>
      <c r="S642" t="s">
        <v>27</v>
      </c>
    </row>
    <row r="643" spans="1:19" x14ac:dyDescent="0.3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 t="str">
        <f t="shared" ref="K643:K706" si="10">IF(L643&lt;=7,"0-7 days",IF(L643&lt;=14,"8-14 days",IF(L643&lt;=30,"15-30 days","31-60 days")))</f>
        <v>15-30 days</v>
      </c>
      <c r="L643">
        <v>17</v>
      </c>
      <c r="M643">
        <v>6</v>
      </c>
      <c r="N643">
        <v>1</v>
      </c>
      <c r="O643" t="s">
        <v>25</v>
      </c>
      <c r="P643" t="s">
        <v>35</v>
      </c>
      <c r="Q643">
        <v>10.1</v>
      </c>
      <c r="R643">
        <v>8</v>
      </c>
      <c r="S643" t="s">
        <v>36</v>
      </c>
    </row>
    <row r="644" spans="1:19" x14ac:dyDescent="0.3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 t="str">
        <f t="shared" si="10"/>
        <v>31-60 days</v>
      </c>
      <c r="L644">
        <v>41</v>
      </c>
      <c r="M644">
        <v>3</v>
      </c>
      <c r="N644">
        <v>2</v>
      </c>
      <c r="O644" t="s">
        <v>25</v>
      </c>
      <c r="P644" t="s">
        <v>26</v>
      </c>
      <c r="Q644">
        <v>11.4</v>
      </c>
      <c r="R644">
        <v>25</v>
      </c>
      <c r="S644" t="s">
        <v>71</v>
      </c>
    </row>
    <row r="645" spans="1:19" x14ac:dyDescent="0.3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 t="str">
        <f t="shared" si="10"/>
        <v>31-60 days</v>
      </c>
      <c r="L645">
        <v>41</v>
      </c>
      <c r="M645">
        <v>1</v>
      </c>
      <c r="N645">
        <v>0</v>
      </c>
      <c r="O645" t="s">
        <v>25</v>
      </c>
      <c r="P645" t="s">
        <v>35</v>
      </c>
      <c r="Q645">
        <v>3.3</v>
      </c>
      <c r="R645">
        <v>32</v>
      </c>
      <c r="S645" t="s">
        <v>36</v>
      </c>
    </row>
    <row r="646" spans="1:19" x14ac:dyDescent="0.3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 t="str">
        <f t="shared" si="10"/>
        <v>31-60 days</v>
      </c>
      <c r="L646">
        <v>37</v>
      </c>
      <c r="M646">
        <v>2</v>
      </c>
      <c r="N646">
        <v>1</v>
      </c>
      <c r="O646" t="s">
        <v>25</v>
      </c>
      <c r="P646" t="s">
        <v>50</v>
      </c>
      <c r="Q646">
        <v>1.2</v>
      </c>
      <c r="R646">
        <v>22</v>
      </c>
      <c r="S646" t="s">
        <v>36</v>
      </c>
    </row>
    <row r="647" spans="1:19" x14ac:dyDescent="0.3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 t="str">
        <f t="shared" si="10"/>
        <v>0-7 days</v>
      </c>
      <c r="L647">
        <v>3</v>
      </c>
      <c r="M647">
        <v>4</v>
      </c>
      <c r="N647">
        <v>1</v>
      </c>
      <c r="O647" t="s">
        <v>25</v>
      </c>
      <c r="P647" t="s">
        <v>26</v>
      </c>
      <c r="Q647">
        <v>26</v>
      </c>
      <c r="R647">
        <v>22</v>
      </c>
      <c r="S647" t="s">
        <v>27</v>
      </c>
    </row>
    <row r="648" spans="1:19" x14ac:dyDescent="0.3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 t="str">
        <f t="shared" si="10"/>
        <v>31-60 days</v>
      </c>
      <c r="L648">
        <v>53</v>
      </c>
      <c r="M648">
        <v>1</v>
      </c>
      <c r="N648">
        <v>0</v>
      </c>
      <c r="O648" t="s">
        <v>25</v>
      </c>
      <c r="P648" t="s">
        <v>35</v>
      </c>
      <c r="Q648">
        <v>4.9000000000000004</v>
      </c>
      <c r="R648">
        <v>23</v>
      </c>
      <c r="S648" t="s">
        <v>36</v>
      </c>
    </row>
    <row r="649" spans="1:19" x14ac:dyDescent="0.3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 t="str">
        <f t="shared" si="10"/>
        <v>31-60 days</v>
      </c>
      <c r="L649">
        <v>58</v>
      </c>
      <c r="M649">
        <v>2</v>
      </c>
      <c r="N649">
        <v>0</v>
      </c>
      <c r="O649" t="s">
        <v>54</v>
      </c>
      <c r="P649" t="s">
        <v>55</v>
      </c>
      <c r="Q649">
        <v>7.9</v>
      </c>
      <c r="R649">
        <v>24</v>
      </c>
      <c r="S649" t="s">
        <v>36</v>
      </c>
    </row>
    <row r="650" spans="1:19" x14ac:dyDescent="0.3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 t="str">
        <f t="shared" si="10"/>
        <v>31-60 days</v>
      </c>
      <c r="L650">
        <v>59</v>
      </c>
      <c r="M650">
        <v>2</v>
      </c>
      <c r="N650">
        <v>0</v>
      </c>
      <c r="O650" t="s">
        <v>25</v>
      </c>
      <c r="P650" t="s">
        <v>35</v>
      </c>
      <c r="Q650">
        <v>10.3</v>
      </c>
      <c r="R650">
        <v>26</v>
      </c>
      <c r="S650" t="s">
        <v>27</v>
      </c>
    </row>
    <row r="651" spans="1:19" x14ac:dyDescent="0.3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 t="str">
        <f t="shared" si="10"/>
        <v>31-60 days</v>
      </c>
      <c r="L651">
        <v>59</v>
      </c>
      <c r="M651">
        <v>5</v>
      </c>
      <c r="N651">
        <v>1</v>
      </c>
      <c r="O651" t="s">
        <v>25</v>
      </c>
      <c r="P651" t="s">
        <v>35</v>
      </c>
      <c r="Q651">
        <v>7.7</v>
      </c>
      <c r="R651">
        <v>33</v>
      </c>
      <c r="S651" t="s">
        <v>27</v>
      </c>
    </row>
    <row r="652" spans="1:19" x14ac:dyDescent="0.3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 t="str">
        <f t="shared" si="10"/>
        <v>31-60 days</v>
      </c>
      <c r="L652">
        <v>56</v>
      </c>
      <c r="M652">
        <v>0</v>
      </c>
      <c r="N652">
        <v>0</v>
      </c>
      <c r="O652" t="s">
        <v>25</v>
      </c>
      <c r="P652" t="s">
        <v>35</v>
      </c>
      <c r="Q652">
        <v>8.1</v>
      </c>
      <c r="R652">
        <v>33</v>
      </c>
      <c r="S652" t="s">
        <v>36</v>
      </c>
    </row>
    <row r="653" spans="1:19" x14ac:dyDescent="0.3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 t="str">
        <f t="shared" si="10"/>
        <v>31-60 days</v>
      </c>
      <c r="L653">
        <v>45</v>
      </c>
      <c r="M653">
        <v>3</v>
      </c>
      <c r="N653">
        <v>0</v>
      </c>
      <c r="O653" t="s">
        <v>54</v>
      </c>
      <c r="P653" t="s">
        <v>55</v>
      </c>
      <c r="Q653">
        <v>10</v>
      </c>
      <c r="R653">
        <v>47</v>
      </c>
      <c r="S653" t="s">
        <v>27</v>
      </c>
    </row>
    <row r="654" spans="1:19" x14ac:dyDescent="0.3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 t="str">
        <f t="shared" si="10"/>
        <v>0-7 days</v>
      </c>
      <c r="L654">
        <v>3</v>
      </c>
      <c r="M654">
        <v>3</v>
      </c>
      <c r="N654">
        <v>2</v>
      </c>
      <c r="O654" t="s">
        <v>25</v>
      </c>
      <c r="P654" t="s">
        <v>35</v>
      </c>
      <c r="Q654">
        <v>4.5999999999999996</v>
      </c>
      <c r="R654">
        <v>44</v>
      </c>
      <c r="S654" t="s">
        <v>36</v>
      </c>
    </row>
    <row r="655" spans="1:19" x14ac:dyDescent="0.3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 t="str">
        <f t="shared" si="10"/>
        <v>15-30 days</v>
      </c>
      <c r="L655">
        <v>28</v>
      </c>
      <c r="M655">
        <v>3</v>
      </c>
      <c r="N655">
        <v>1</v>
      </c>
      <c r="O655" t="s">
        <v>25</v>
      </c>
      <c r="P655" t="s">
        <v>35</v>
      </c>
      <c r="Q655">
        <v>4.7</v>
      </c>
      <c r="R655">
        <v>15</v>
      </c>
      <c r="S655" t="s">
        <v>27</v>
      </c>
    </row>
    <row r="656" spans="1:19" x14ac:dyDescent="0.3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 t="str">
        <f t="shared" si="10"/>
        <v>8-14 days</v>
      </c>
      <c r="L656">
        <v>14</v>
      </c>
      <c r="M656">
        <v>2</v>
      </c>
      <c r="N656">
        <v>0</v>
      </c>
      <c r="O656" t="s">
        <v>25</v>
      </c>
      <c r="P656" t="s">
        <v>50</v>
      </c>
      <c r="Q656">
        <v>4.9000000000000004</v>
      </c>
      <c r="R656">
        <v>22</v>
      </c>
      <c r="S656" t="s">
        <v>27</v>
      </c>
    </row>
    <row r="657" spans="1:19" x14ac:dyDescent="0.3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 t="str">
        <f t="shared" si="10"/>
        <v>8-14 days</v>
      </c>
      <c r="L657">
        <v>13</v>
      </c>
      <c r="M657">
        <v>2</v>
      </c>
      <c r="N657">
        <v>0</v>
      </c>
      <c r="O657" t="s">
        <v>25</v>
      </c>
      <c r="P657" t="s">
        <v>35</v>
      </c>
      <c r="R657">
        <v>33</v>
      </c>
      <c r="S657" t="s">
        <v>36</v>
      </c>
    </row>
    <row r="658" spans="1:19" x14ac:dyDescent="0.3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 t="str">
        <f t="shared" si="10"/>
        <v>31-60 days</v>
      </c>
      <c r="L658">
        <v>50</v>
      </c>
      <c r="M658">
        <v>3</v>
      </c>
      <c r="N658">
        <v>0</v>
      </c>
      <c r="O658" t="s">
        <v>54</v>
      </c>
      <c r="P658" t="s">
        <v>55</v>
      </c>
      <c r="Q658">
        <v>12.6</v>
      </c>
      <c r="R658">
        <v>5</v>
      </c>
      <c r="S658" t="s">
        <v>27</v>
      </c>
    </row>
    <row r="659" spans="1:19" x14ac:dyDescent="0.3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 t="str">
        <f t="shared" si="10"/>
        <v>31-60 days</v>
      </c>
      <c r="L659">
        <v>49</v>
      </c>
      <c r="M659">
        <v>3</v>
      </c>
      <c r="N659">
        <v>1</v>
      </c>
      <c r="O659" t="s">
        <v>25</v>
      </c>
      <c r="P659" t="s">
        <v>35</v>
      </c>
      <c r="Q659">
        <v>4.2</v>
      </c>
      <c r="R659">
        <v>28</v>
      </c>
      <c r="S659" t="s">
        <v>71</v>
      </c>
    </row>
    <row r="660" spans="1:19" x14ac:dyDescent="0.3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 t="str">
        <f t="shared" si="10"/>
        <v>31-60 days</v>
      </c>
      <c r="L660">
        <v>31</v>
      </c>
      <c r="M660">
        <v>0</v>
      </c>
      <c r="N660">
        <v>0</v>
      </c>
      <c r="O660" t="s">
        <v>25</v>
      </c>
      <c r="P660" t="s">
        <v>35</v>
      </c>
      <c r="Q660">
        <v>4.5999999999999996</v>
      </c>
      <c r="R660">
        <v>15</v>
      </c>
      <c r="S660" t="s">
        <v>36</v>
      </c>
    </row>
    <row r="661" spans="1:19" x14ac:dyDescent="0.3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 t="str">
        <f t="shared" si="10"/>
        <v>31-60 days</v>
      </c>
      <c r="L661">
        <v>44</v>
      </c>
      <c r="M661">
        <v>4</v>
      </c>
      <c r="N661">
        <v>0</v>
      </c>
      <c r="O661" t="s">
        <v>25</v>
      </c>
      <c r="P661" t="s">
        <v>35</v>
      </c>
      <c r="Q661">
        <v>11.8</v>
      </c>
      <c r="R661">
        <v>24</v>
      </c>
      <c r="S661" t="s">
        <v>36</v>
      </c>
    </row>
    <row r="662" spans="1:19" x14ac:dyDescent="0.3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 t="str">
        <f t="shared" si="10"/>
        <v>0-7 days</v>
      </c>
      <c r="L662">
        <v>7</v>
      </c>
      <c r="M662">
        <v>3</v>
      </c>
      <c r="N662">
        <v>0</v>
      </c>
      <c r="O662" t="s">
        <v>25</v>
      </c>
      <c r="P662" t="s">
        <v>35</v>
      </c>
      <c r="Q662">
        <v>13.9</v>
      </c>
      <c r="R662">
        <v>25</v>
      </c>
      <c r="S662" t="s">
        <v>27</v>
      </c>
    </row>
    <row r="663" spans="1:19" x14ac:dyDescent="0.3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 t="str">
        <f t="shared" si="10"/>
        <v>8-14 days</v>
      </c>
      <c r="L663">
        <v>13</v>
      </c>
      <c r="M663">
        <v>0</v>
      </c>
      <c r="N663">
        <v>0</v>
      </c>
      <c r="O663" t="s">
        <v>25</v>
      </c>
      <c r="P663" t="s">
        <v>26</v>
      </c>
      <c r="Q663">
        <v>15</v>
      </c>
      <c r="R663">
        <v>5</v>
      </c>
      <c r="S663" t="s">
        <v>36</v>
      </c>
    </row>
    <row r="664" spans="1:19" x14ac:dyDescent="0.3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 t="str">
        <f t="shared" si="10"/>
        <v>31-60 days</v>
      </c>
      <c r="L664">
        <v>52</v>
      </c>
      <c r="M664">
        <v>3</v>
      </c>
      <c r="N664">
        <v>2</v>
      </c>
      <c r="O664" t="s">
        <v>25</v>
      </c>
      <c r="P664" t="s">
        <v>26</v>
      </c>
      <c r="Q664">
        <v>5</v>
      </c>
      <c r="R664">
        <v>51</v>
      </c>
      <c r="S664" t="s">
        <v>27</v>
      </c>
    </row>
    <row r="665" spans="1:19" x14ac:dyDescent="0.3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 t="str">
        <f t="shared" si="10"/>
        <v>15-30 days</v>
      </c>
      <c r="L665">
        <v>27</v>
      </c>
      <c r="M665">
        <v>4</v>
      </c>
      <c r="N665">
        <v>1</v>
      </c>
      <c r="O665" t="s">
        <v>54</v>
      </c>
      <c r="P665" t="s">
        <v>55</v>
      </c>
      <c r="Q665">
        <v>11.1</v>
      </c>
      <c r="R665">
        <v>19</v>
      </c>
      <c r="S665" t="s">
        <v>36</v>
      </c>
    </row>
    <row r="666" spans="1:19" x14ac:dyDescent="0.3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 t="str">
        <f t="shared" si="10"/>
        <v>31-60 days</v>
      </c>
      <c r="L666">
        <v>33</v>
      </c>
      <c r="M666">
        <v>2</v>
      </c>
      <c r="N666">
        <v>0</v>
      </c>
      <c r="O666" t="s">
        <v>54</v>
      </c>
      <c r="P666" t="s">
        <v>55</v>
      </c>
      <c r="Q666">
        <v>22</v>
      </c>
      <c r="R666">
        <v>40</v>
      </c>
      <c r="S666" t="s">
        <v>36</v>
      </c>
    </row>
    <row r="667" spans="1:19" x14ac:dyDescent="0.3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 t="str">
        <f t="shared" si="10"/>
        <v>15-30 days</v>
      </c>
      <c r="L667">
        <v>28</v>
      </c>
      <c r="M667">
        <v>5</v>
      </c>
      <c r="N667">
        <v>3</v>
      </c>
      <c r="O667" t="s">
        <v>25</v>
      </c>
      <c r="P667" t="s">
        <v>26</v>
      </c>
      <c r="Q667">
        <v>5.9</v>
      </c>
      <c r="R667">
        <v>7</v>
      </c>
      <c r="S667" t="s">
        <v>27</v>
      </c>
    </row>
    <row r="668" spans="1:19" x14ac:dyDescent="0.3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 t="str">
        <f t="shared" si="10"/>
        <v>8-14 days</v>
      </c>
      <c r="L668">
        <v>12</v>
      </c>
      <c r="M668">
        <v>4</v>
      </c>
      <c r="N668">
        <v>0</v>
      </c>
      <c r="O668" t="s">
        <v>25</v>
      </c>
      <c r="P668" t="s">
        <v>35</v>
      </c>
      <c r="Q668">
        <v>13.2</v>
      </c>
      <c r="R668">
        <v>17</v>
      </c>
      <c r="S668" t="s">
        <v>36</v>
      </c>
    </row>
    <row r="669" spans="1:19" x14ac:dyDescent="0.3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 t="str">
        <f t="shared" si="10"/>
        <v>31-60 days</v>
      </c>
      <c r="L669">
        <v>50</v>
      </c>
      <c r="M669">
        <v>3</v>
      </c>
      <c r="N669">
        <v>2</v>
      </c>
      <c r="O669" t="s">
        <v>25</v>
      </c>
      <c r="P669" t="s">
        <v>35</v>
      </c>
      <c r="Q669">
        <v>9.1</v>
      </c>
      <c r="R669">
        <v>33</v>
      </c>
      <c r="S669" t="s">
        <v>27</v>
      </c>
    </row>
    <row r="670" spans="1:19" x14ac:dyDescent="0.3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 t="str">
        <f t="shared" si="10"/>
        <v>31-60 days</v>
      </c>
      <c r="L670">
        <v>46</v>
      </c>
      <c r="M670">
        <v>1</v>
      </c>
      <c r="N670">
        <v>1</v>
      </c>
      <c r="O670" t="s">
        <v>54</v>
      </c>
      <c r="P670" t="s">
        <v>55</v>
      </c>
      <c r="Q670">
        <v>28.7</v>
      </c>
      <c r="R670">
        <v>22</v>
      </c>
      <c r="S670" t="s">
        <v>27</v>
      </c>
    </row>
    <row r="671" spans="1:19" x14ac:dyDescent="0.3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 t="str">
        <f t="shared" si="10"/>
        <v>31-60 days</v>
      </c>
      <c r="L671">
        <v>41</v>
      </c>
      <c r="M671">
        <v>5</v>
      </c>
      <c r="N671">
        <v>1</v>
      </c>
      <c r="O671" t="s">
        <v>25</v>
      </c>
      <c r="P671" t="s">
        <v>35</v>
      </c>
      <c r="Q671">
        <v>1.2</v>
      </c>
      <c r="R671">
        <v>33</v>
      </c>
      <c r="S671" t="s">
        <v>27</v>
      </c>
    </row>
    <row r="672" spans="1:19" x14ac:dyDescent="0.3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 t="str">
        <f t="shared" si="10"/>
        <v>15-30 days</v>
      </c>
      <c r="L672">
        <v>21</v>
      </c>
      <c r="M672">
        <v>3</v>
      </c>
      <c r="N672">
        <v>0</v>
      </c>
      <c r="O672" t="s">
        <v>54</v>
      </c>
      <c r="P672" t="s">
        <v>55</v>
      </c>
      <c r="Q672">
        <v>10</v>
      </c>
      <c r="R672">
        <v>31</v>
      </c>
      <c r="S672" t="s">
        <v>27</v>
      </c>
    </row>
    <row r="673" spans="1:19" x14ac:dyDescent="0.3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 t="str">
        <f t="shared" si="10"/>
        <v>31-60 days</v>
      </c>
      <c r="L673">
        <v>39</v>
      </c>
      <c r="M673">
        <v>6</v>
      </c>
      <c r="N673">
        <v>2</v>
      </c>
      <c r="O673" t="s">
        <v>25</v>
      </c>
      <c r="P673" t="s">
        <v>35</v>
      </c>
      <c r="Q673">
        <v>18.7</v>
      </c>
      <c r="R673">
        <v>15</v>
      </c>
      <c r="S673" t="s">
        <v>27</v>
      </c>
    </row>
    <row r="674" spans="1:19" x14ac:dyDescent="0.3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 t="str">
        <f t="shared" si="10"/>
        <v>31-60 days</v>
      </c>
      <c r="L674">
        <v>58</v>
      </c>
      <c r="M674">
        <v>5</v>
      </c>
      <c r="N674">
        <v>0</v>
      </c>
      <c r="O674" t="s">
        <v>25</v>
      </c>
      <c r="P674" t="s">
        <v>26</v>
      </c>
      <c r="Q674">
        <v>4</v>
      </c>
      <c r="R674">
        <v>38</v>
      </c>
      <c r="S674" t="s">
        <v>27</v>
      </c>
    </row>
    <row r="675" spans="1:19" x14ac:dyDescent="0.3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 t="str">
        <f t="shared" si="10"/>
        <v>31-60 days</v>
      </c>
      <c r="L675">
        <v>39</v>
      </c>
      <c r="M675">
        <v>3</v>
      </c>
      <c r="N675">
        <v>0</v>
      </c>
      <c r="O675" t="s">
        <v>25</v>
      </c>
      <c r="P675" t="s">
        <v>35</v>
      </c>
      <c r="Q675">
        <v>13.4</v>
      </c>
      <c r="R675">
        <v>31</v>
      </c>
      <c r="S675" t="s">
        <v>27</v>
      </c>
    </row>
    <row r="676" spans="1:19" x14ac:dyDescent="0.3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 t="str">
        <f t="shared" si="10"/>
        <v>15-30 days</v>
      </c>
      <c r="L676">
        <v>30</v>
      </c>
      <c r="M676">
        <v>3</v>
      </c>
      <c r="N676">
        <v>0</v>
      </c>
      <c r="O676" t="s">
        <v>25</v>
      </c>
      <c r="P676" t="s">
        <v>50</v>
      </c>
      <c r="Q676">
        <v>6</v>
      </c>
      <c r="R676">
        <v>8</v>
      </c>
      <c r="S676" t="s">
        <v>36</v>
      </c>
    </row>
    <row r="677" spans="1:19" x14ac:dyDescent="0.3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 t="str">
        <f t="shared" si="10"/>
        <v>15-30 days</v>
      </c>
      <c r="L677">
        <v>16</v>
      </c>
      <c r="M677">
        <v>3</v>
      </c>
      <c r="N677">
        <v>0</v>
      </c>
      <c r="O677" t="s">
        <v>25</v>
      </c>
      <c r="P677" t="s">
        <v>50</v>
      </c>
      <c r="Q677">
        <v>1.9</v>
      </c>
      <c r="R677">
        <v>26</v>
      </c>
      <c r="S677" t="s">
        <v>36</v>
      </c>
    </row>
    <row r="678" spans="1:19" x14ac:dyDescent="0.3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 t="str">
        <f t="shared" si="10"/>
        <v>31-60 days</v>
      </c>
      <c r="L678">
        <v>31</v>
      </c>
      <c r="M678">
        <v>1</v>
      </c>
      <c r="N678">
        <v>0</v>
      </c>
      <c r="O678" t="s">
        <v>25</v>
      </c>
      <c r="P678" t="s">
        <v>35</v>
      </c>
      <c r="Q678">
        <v>5.9</v>
      </c>
      <c r="R678">
        <v>32</v>
      </c>
      <c r="S678" t="s">
        <v>36</v>
      </c>
    </row>
    <row r="679" spans="1:19" x14ac:dyDescent="0.3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 t="str">
        <f t="shared" si="10"/>
        <v>15-30 days</v>
      </c>
      <c r="L679">
        <v>22</v>
      </c>
      <c r="M679">
        <v>0</v>
      </c>
      <c r="N679">
        <v>0</v>
      </c>
      <c r="O679" t="s">
        <v>25</v>
      </c>
      <c r="P679" t="s">
        <v>26</v>
      </c>
      <c r="Q679">
        <v>4.2</v>
      </c>
      <c r="R679">
        <v>23</v>
      </c>
      <c r="S679" t="s">
        <v>27</v>
      </c>
    </row>
    <row r="680" spans="1:19" x14ac:dyDescent="0.3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 t="str">
        <f t="shared" si="10"/>
        <v>31-60 days</v>
      </c>
      <c r="L680">
        <v>37</v>
      </c>
      <c r="M680">
        <v>4</v>
      </c>
      <c r="N680">
        <v>0</v>
      </c>
      <c r="O680" t="s">
        <v>25</v>
      </c>
      <c r="P680" t="s">
        <v>50</v>
      </c>
      <c r="Q680">
        <v>16</v>
      </c>
      <c r="R680">
        <v>25</v>
      </c>
      <c r="S680" t="s">
        <v>27</v>
      </c>
    </row>
    <row r="681" spans="1:19" x14ac:dyDescent="0.3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 t="str">
        <f t="shared" si="10"/>
        <v>0-7 days</v>
      </c>
      <c r="L681">
        <v>2</v>
      </c>
      <c r="M681">
        <v>5</v>
      </c>
      <c r="N681">
        <v>1</v>
      </c>
      <c r="O681" t="s">
        <v>54</v>
      </c>
      <c r="P681" t="s">
        <v>55</v>
      </c>
      <c r="Q681">
        <v>29</v>
      </c>
      <c r="R681">
        <v>30</v>
      </c>
      <c r="S681" t="s">
        <v>36</v>
      </c>
    </row>
    <row r="682" spans="1:19" x14ac:dyDescent="0.3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 t="str">
        <f t="shared" si="10"/>
        <v>8-14 days</v>
      </c>
      <c r="L682">
        <v>11</v>
      </c>
      <c r="M682">
        <v>1</v>
      </c>
      <c r="N682">
        <v>0</v>
      </c>
      <c r="O682" t="s">
        <v>25</v>
      </c>
      <c r="P682" t="s">
        <v>35</v>
      </c>
      <c r="Q682">
        <v>6.2</v>
      </c>
      <c r="R682">
        <v>6</v>
      </c>
      <c r="S682" t="s">
        <v>36</v>
      </c>
    </row>
    <row r="683" spans="1:19" x14ac:dyDescent="0.3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 t="str">
        <f t="shared" si="10"/>
        <v>31-60 days</v>
      </c>
      <c r="L683">
        <v>48</v>
      </c>
      <c r="M683">
        <v>2</v>
      </c>
      <c r="N683">
        <v>0</v>
      </c>
      <c r="O683" t="s">
        <v>25</v>
      </c>
      <c r="P683" t="s">
        <v>50</v>
      </c>
      <c r="Q683">
        <v>5.9</v>
      </c>
      <c r="R683">
        <v>22</v>
      </c>
      <c r="S683" t="s">
        <v>27</v>
      </c>
    </row>
    <row r="684" spans="1:19" x14ac:dyDescent="0.3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 t="str">
        <f t="shared" si="10"/>
        <v>15-30 days</v>
      </c>
      <c r="L684">
        <v>23</v>
      </c>
      <c r="M684">
        <v>2</v>
      </c>
      <c r="N684">
        <v>1</v>
      </c>
      <c r="O684" t="s">
        <v>54</v>
      </c>
      <c r="P684" t="s">
        <v>55</v>
      </c>
      <c r="Q684">
        <v>1.5</v>
      </c>
      <c r="R684">
        <v>20</v>
      </c>
      <c r="S684" t="s">
        <v>27</v>
      </c>
    </row>
    <row r="685" spans="1:19" x14ac:dyDescent="0.3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 t="str">
        <f t="shared" si="10"/>
        <v>15-30 days</v>
      </c>
      <c r="L685">
        <v>26</v>
      </c>
      <c r="M685">
        <v>3</v>
      </c>
      <c r="N685">
        <v>1</v>
      </c>
      <c r="O685" t="s">
        <v>25</v>
      </c>
      <c r="P685" t="s">
        <v>35</v>
      </c>
      <c r="Q685">
        <v>15.1</v>
      </c>
      <c r="R685">
        <v>33</v>
      </c>
      <c r="S685" t="s">
        <v>27</v>
      </c>
    </row>
    <row r="686" spans="1:19" x14ac:dyDescent="0.3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 t="str">
        <f t="shared" si="10"/>
        <v>31-60 days</v>
      </c>
      <c r="L686">
        <v>33</v>
      </c>
      <c r="M686">
        <v>0</v>
      </c>
      <c r="N686">
        <v>0</v>
      </c>
      <c r="O686" t="s">
        <v>25</v>
      </c>
      <c r="P686" t="s">
        <v>26</v>
      </c>
      <c r="Q686">
        <v>20.7</v>
      </c>
      <c r="R686">
        <v>18</v>
      </c>
      <c r="S686" t="s">
        <v>71</v>
      </c>
    </row>
    <row r="687" spans="1:19" x14ac:dyDescent="0.3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 t="str">
        <f t="shared" si="10"/>
        <v>15-30 days</v>
      </c>
      <c r="L687">
        <v>26</v>
      </c>
      <c r="M687">
        <v>3</v>
      </c>
      <c r="N687">
        <v>1</v>
      </c>
      <c r="O687" t="s">
        <v>25</v>
      </c>
      <c r="P687" t="s">
        <v>35</v>
      </c>
      <c r="Q687">
        <v>11.9</v>
      </c>
      <c r="R687">
        <v>46</v>
      </c>
      <c r="S687" t="s">
        <v>27</v>
      </c>
    </row>
    <row r="688" spans="1:19" x14ac:dyDescent="0.3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 t="str">
        <f t="shared" si="10"/>
        <v>31-60 days</v>
      </c>
      <c r="L688">
        <v>46</v>
      </c>
      <c r="M688">
        <v>3</v>
      </c>
      <c r="N688">
        <v>1</v>
      </c>
      <c r="O688" t="s">
        <v>25</v>
      </c>
      <c r="P688" t="s">
        <v>35</v>
      </c>
      <c r="Q688">
        <v>5.7</v>
      </c>
      <c r="R688">
        <v>18</v>
      </c>
      <c r="S688" t="s">
        <v>27</v>
      </c>
    </row>
    <row r="689" spans="1:19" x14ac:dyDescent="0.3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 t="str">
        <f t="shared" si="10"/>
        <v>8-14 days</v>
      </c>
      <c r="L689">
        <v>14</v>
      </c>
      <c r="M689">
        <v>0</v>
      </c>
      <c r="N689">
        <v>0</v>
      </c>
      <c r="O689" t="s">
        <v>54</v>
      </c>
      <c r="P689" t="s">
        <v>55</v>
      </c>
      <c r="Q689">
        <v>10.3</v>
      </c>
      <c r="R689">
        <v>12</v>
      </c>
      <c r="S689" t="s">
        <v>36</v>
      </c>
    </row>
    <row r="690" spans="1:19" x14ac:dyDescent="0.3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 t="str">
        <f t="shared" si="10"/>
        <v>31-60 days</v>
      </c>
      <c r="L690">
        <v>46</v>
      </c>
      <c r="M690">
        <v>4</v>
      </c>
      <c r="N690">
        <v>0</v>
      </c>
      <c r="O690" t="s">
        <v>25</v>
      </c>
      <c r="P690" t="s">
        <v>35</v>
      </c>
      <c r="Q690">
        <v>14.8</v>
      </c>
      <c r="R690">
        <v>38</v>
      </c>
      <c r="S690" t="s">
        <v>27</v>
      </c>
    </row>
    <row r="691" spans="1:19" x14ac:dyDescent="0.3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 t="str">
        <f t="shared" si="10"/>
        <v>8-14 days</v>
      </c>
      <c r="L691">
        <v>12</v>
      </c>
      <c r="M691">
        <v>2</v>
      </c>
      <c r="N691">
        <v>0</v>
      </c>
      <c r="O691" t="s">
        <v>25</v>
      </c>
      <c r="P691" t="s">
        <v>35</v>
      </c>
      <c r="Q691">
        <v>7.7</v>
      </c>
      <c r="R691">
        <v>31</v>
      </c>
      <c r="S691" t="s">
        <v>71</v>
      </c>
    </row>
    <row r="692" spans="1:19" x14ac:dyDescent="0.3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 t="str">
        <f t="shared" si="10"/>
        <v>15-30 days</v>
      </c>
      <c r="L692">
        <v>22</v>
      </c>
      <c r="M692">
        <v>3</v>
      </c>
      <c r="N692">
        <v>0</v>
      </c>
      <c r="O692" t="s">
        <v>25</v>
      </c>
      <c r="P692" t="s">
        <v>50</v>
      </c>
      <c r="Q692">
        <v>12.6</v>
      </c>
      <c r="R692">
        <v>29</v>
      </c>
      <c r="S692" t="s">
        <v>27</v>
      </c>
    </row>
    <row r="693" spans="1:19" x14ac:dyDescent="0.3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 t="str">
        <f t="shared" si="10"/>
        <v>31-60 days</v>
      </c>
      <c r="L693">
        <v>35</v>
      </c>
      <c r="M693">
        <v>2</v>
      </c>
      <c r="N693">
        <v>1</v>
      </c>
      <c r="O693" t="s">
        <v>25</v>
      </c>
      <c r="P693" t="s">
        <v>26</v>
      </c>
      <c r="Q693">
        <v>6.5</v>
      </c>
      <c r="R693">
        <v>22</v>
      </c>
      <c r="S693" t="s">
        <v>27</v>
      </c>
    </row>
    <row r="694" spans="1:19" x14ac:dyDescent="0.3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 t="str">
        <f t="shared" si="10"/>
        <v>31-60 days</v>
      </c>
      <c r="L694">
        <v>54</v>
      </c>
      <c r="M694">
        <v>3</v>
      </c>
      <c r="N694">
        <v>1</v>
      </c>
      <c r="O694" t="s">
        <v>25</v>
      </c>
      <c r="P694" t="s">
        <v>26</v>
      </c>
      <c r="Q694">
        <v>2.9</v>
      </c>
      <c r="R694">
        <v>20</v>
      </c>
      <c r="S694" t="s">
        <v>27</v>
      </c>
    </row>
    <row r="695" spans="1:19" x14ac:dyDescent="0.3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 t="str">
        <f t="shared" si="10"/>
        <v>8-14 days</v>
      </c>
      <c r="L695">
        <v>14</v>
      </c>
      <c r="M695">
        <v>3</v>
      </c>
      <c r="N695">
        <v>0</v>
      </c>
      <c r="O695" t="s">
        <v>54</v>
      </c>
      <c r="P695" t="s">
        <v>55</v>
      </c>
      <c r="Q695">
        <v>14.3</v>
      </c>
      <c r="R695">
        <v>29</v>
      </c>
      <c r="S695" t="s">
        <v>27</v>
      </c>
    </row>
    <row r="696" spans="1:19" x14ac:dyDescent="0.3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 t="str">
        <f t="shared" si="10"/>
        <v>31-60 days</v>
      </c>
      <c r="L696">
        <v>35</v>
      </c>
      <c r="M696">
        <v>0</v>
      </c>
      <c r="N696">
        <v>0</v>
      </c>
      <c r="O696" t="s">
        <v>25</v>
      </c>
      <c r="P696" t="s">
        <v>26</v>
      </c>
      <c r="Q696">
        <v>9.4</v>
      </c>
      <c r="R696">
        <v>18</v>
      </c>
      <c r="S696" t="s">
        <v>36</v>
      </c>
    </row>
    <row r="697" spans="1:19" x14ac:dyDescent="0.3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 t="str">
        <f t="shared" si="10"/>
        <v>0-7 days</v>
      </c>
      <c r="L697">
        <v>3</v>
      </c>
      <c r="M697">
        <v>3</v>
      </c>
      <c r="N697">
        <v>1</v>
      </c>
      <c r="O697" t="s">
        <v>25</v>
      </c>
      <c r="P697" t="s">
        <v>26</v>
      </c>
      <c r="Q697">
        <v>10.3</v>
      </c>
      <c r="R697">
        <v>44</v>
      </c>
      <c r="S697" t="s">
        <v>36</v>
      </c>
    </row>
    <row r="698" spans="1:19" x14ac:dyDescent="0.3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 t="str">
        <f t="shared" si="10"/>
        <v>0-7 days</v>
      </c>
      <c r="L698">
        <v>4</v>
      </c>
      <c r="M698">
        <v>3</v>
      </c>
      <c r="N698">
        <v>2</v>
      </c>
      <c r="O698" t="s">
        <v>25</v>
      </c>
      <c r="P698" t="s">
        <v>35</v>
      </c>
      <c r="Q698">
        <v>15.7</v>
      </c>
      <c r="R698">
        <v>27</v>
      </c>
      <c r="S698" t="s">
        <v>27</v>
      </c>
    </row>
    <row r="699" spans="1:19" x14ac:dyDescent="0.3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 t="str">
        <f t="shared" si="10"/>
        <v>31-60 days</v>
      </c>
      <c r="L699">
        <v>46</v>
      </c>
      <c r="M699">
        <v>5</v>
      </c>
      <c r="N699">
        <v>2</v>
      </c>
      <c r="O699" t="s">
        <v>25</v>
      </c>
      <c r="P699" t="s">
        <v>35</v>
      </c>
      <c r="Q699">
        <v>4.4000000000000004</v>
      </c>
      <c r="R699">
        <v>21</v>
      </c>
      <c r="S699" t="s">
        <v>27</v>
      </c>
    </row>
    <row r="700" spans="1:19" x14ac:dyDescent="0.3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 t="str">
        <f t="shared" si="10"/>
        <v>31-60 days</v>
      </c>
      <c r="L700">
        <v>43</v>
      </c>
      <c r="M700">
        <v>4</v>
      </c>
      <c r="N700">
        <v>1</v>
      </c>
      <c r="O700" t="s">
        <v>25</v>
      </c>
      <c r="P700" t="s">
        <v>35</v>
      </c>
      <c r="Q700">
        <v>5.9</v>
      </c>
      <c r="R700">
        <v>20</v>
      </c>
      <c r="S700" t="s">
        <v>36</v>
      </c>
    </row>
    <row r="701" spans="1:19" x14ac:dyDescent="0.3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 t="str">
        <f t="shared" si="10"/>
        <v>15-30 days</v>
      </c>
      <c r="L701">
        <v>22</v>
      </c>
      <c r="M701">
        <v>3</v>
      </c>
      <c r="N701">
        <v>1</v>
      </c>
      <c r="O701" t="s">
        <v>25</v>
      </c>
      <c r="P701" t="s">
        <v>35</v>
      </c>
      <c r="Q701">
        <v>20.5</v>
      </c>
      <c r="R701">
        <v>11</v>
      </c>
      <c r="S701" t="s">
        <v>36</v>
      </c>
    </row>
    <row r="702" spans="1:19" x14ac:dyDescent="0.3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 t="str">
        <f t="shared" si="10"/>
        <v>31-60 days</v>
      </c>
      <c r="L702">
        <v>38</v>
      </c>
      <c r="M702">
        <v>4</v>
      </c>
      <c r="N702">
        <v>0</v>
      </c>
      <c r="O702" t="s">
        <v>25</v>
      </c>
      <c r="P702" t="s">
        <v>26</v>
      </c>
      <c r="Q702">
        <v>10</v>
      </c>
      <c r="R702">
        <v>32</v>
      </c>
      <c r="S702" t="s">
        <v>27</v>
      </c>
    </row>
    <row r="703" spans="1:19" x14ac:dyDescent="0.3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 t="str">
        <f t="shared" si="10"/>
        <v>15-30 days</v>
      </c>
      <c r="L703">
        <v>23</v>
      </c>
      <c r="M703">
        <v>4</v>
      </c>
      <c r="N703">
        <v>0</v>
      </c>
      <c r="O703" t="s">
        <v>25</v>
      </c>
      <c r="P703" t="s">
        <v>35</v>
      </c>
      <c r="Q703">
        <v>14.8</v>
      </c>
      <c r="R703">
        <v>16</v>
      </c>
      <c r="S703" t="s">
        <v>36</v>
      </c>
    </row>
    <row r="704" spans="1:19" x14ac:dyDescent="0.3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 t="str">
        <f t="shared" si="10"/>
        <v>15-30 days</v>
      </c>
      <c r="L704">
        <v>16</v>
      </c>
      <c r="M704">
        <v>6</v>
      </c>
      <c r="N704">
        <v>0</v>
      </c>
      <c r="O704" t="s">
        <v>25</v>
      </c>
      <c r="P704" t="s">
        <v>35</v>
      </c>
      <c r="Q704">
        <v>8.6999999999999993</v>
      </c>
      <c r="R704">
        <v>23</v>
      </c>
      <c r="S704" t="s">
        <v>27</v>
      </c>
    </row>
    <row r="705" spans="1:19" x14ac:dyDescent="0.3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 t="str">
        <f t="shared" si="10"/>
        <v>15-30 days</v>
      </c>
      <c r="L705">
        <v>26</v>
      </c>
      <c r="M705">
        <v>0</v>
      </c>
      <c r="N705">
        <v>0</v>
      </c>
      <c r="O705" t="s">
        <v>25</v>
      </c>
      <c r="P705" t="s">
        <v>26</v>
      </c>
      <c r="Q705">
        <v>12.5</v>
      </c>
      <c r="R705">
        <v>52</v>
      </c>
      <c r="S705" t="s">
        <v>71</v>
      </c>
    </row>
    <row r="706" spans="1:19" x14ac:dyDescent="0.3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 t="str">
        <f t="shared" si="10"/>
        <v>15-30 days</v>
      </c>
      <c r="L706">
        <v>19</v>
      </c>
      <c r="M706">
        <v>0</v>
      </c>
      <c r="N706">
        <v>0</v>
      </c>
      <c r="O706" t="s">
        <v>25</v>
      </c>
      <c r="P706" t="s">
        <v>26</v>
      </c>
      <c r="Q706">
        <v>12.8</v>
      </c>
      <c r="R706">
        <v>4</v>
      </c>
      <c r="S706" t="s">
        <v>36</v>
      </c>
    </row>
    <row r="707" spans="1:19" x14ac:dyDescent="0.3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 t="str">
        <f t="shared" ref="K707:K770" si="11">IF(L707&lt;=7,"0-7 days",IF(L707&lt;=14,"8-14 days",IF(L707&lt;=30,"15-30 days","31-60 days")))</f>
        <v>31-60 days</v>
      </c>
      <c r="L707">
        <v>49</v>
      </c>
      <c r="M707">
        <v>2</v>
      </c>
      <c r="N707">
        <v>1</v>
      </c>
      <c r="O707" t="s">
        <v>25</v>
      </c>
      <c r="P707" t="s">
        <v>35</v>
      </c>
      <c r="Q707">
        <v>5.3</v>
      </c>
      <c r="R707">
        <v>23</v>
      </c>
      <c r="S707" t="s">
        <v>27</v>
      </c>
    </row>
    <row r="708" spans="1:19" x14ac:dyDescent="0.3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 t="str">
        <f t="shared" si="11"/>
        <v>15-30 days</v>
      </c>
      <c r="L708">
        <v>25</v>
      </c>
      <c r="M708">
        <v>3</v>
      </c>
      <c r="N708">
        <v>0</v>
      </c>
      <c r="O708" t="s">
        <v>54</v>
      </c>
      <c r="P708" t="s">
        <v>55</v>
      </c>
      <c r="Q708">
        <v>30.3</v>
      </c>
      <c r="R708">
        <v>9</v>
      </c>
      <c r="S708" t="s">
        <v>27</v>
      </c>
    </row>
    <row r="709" spans="1:19" x14ac:dyDescent="0.3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 t="str">
        <f t="shared" si="11"/>
        <v>15-30 days</v>
      </c>
      <c r="L709">
        <v>19</v>
      </c>
      <c r="M709">
        <v>8</v>
      </c>
      <c r="N709">
        <v>1</v>
      </c>
      <c r="O709" t="s">
        <v>25</v>
      </c>
      <c r="P709" t="s">
        <v>35</v>
      </c>
      <c r="Q709">
        <v>10.199999999999999</v>
      </c>
      <c r="R709">
        <v>18</v>
      </c>
      <c r="S709" t="s">
        <v>27</v>
      </c>
    </row>
    <row r="710" spans="1:19" x14ac:dyDescent="0.3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 t="str">
        <f t="shared" si="11"/>
        <v>31-60 days</v>
      </c>
      <c r="L710">
        <v>32</v>
      </c>
      <c r="M710">
        <v>6</v>
      </c>
      <c r="N710">
        <v>1</v>
      </c>
      <c r="O710" t="s">
        <v>54</v>
      </c>
      <c r="P710" t="s">
        <v>55</v>
      </c>
      <c r="Q710">
        <v>2.2999999999999998</v>
      </c>
      <c r="R710">
        <v>22</v>
      </c>
      <c r="S710" t="s">
        <v>36</v>
      </c>
    </row>
    <row r="711" spans="1:19" x14ac:dyDescent="0.3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 t="str">
        <f t="shared" si="11"/>
        <v>31-60 days</v>
      </c>
      <c r="L711">
        <v>46</v>
      </c>
      <c r="M711">
        <v>2</v>
      </c>
      <c r="N711">
        <v>0</v>
      </c>
      <c r="O711" t="s">
        <v>25</v>
      </c>
      <c r="P711" t="s">
        <v>35</v>
      </c>
      <c r="Q711">
        <v>2.8</v>
      </c>
      <c r="R711">
        <v>10</v>
      </c>
      <c r="S711" t="s">
        <v>36</v>
      </c>
    </row>
    <row r="712" spans="1:19" x14ac:dyDescent="0.3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 t="str">
        <f t="shared" si="11"/>
        <v>15-30 days</v>
      </c>
      <c r="L712">
        <v>16</v>
      </c>
      <c r="M712">
        <v>4</v>
      </c>
      <c r="N712">
        <v>1</v>
      </c>
      <c r="O712" t="s">
        <v>25</v>
      </c>
      <c r="P712" t="s">
        <v>26</v>
      </c>
      <c r="Q712">
        <v>6.2</v>
      </c>
      <c r="R712">
        <v>29</v>
      </c>
      <c r="S712" t="s">
        <v>36</v>
      </c>
    </row>
    <row r="713" spans="1:19" x14ac:dyDescent="0.3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 t="str">
        <f t="shared" si="11"/>
        <v>31-60 days</v>
      </c>
      <c r="L713">
        <v>57</v>
      </c>
      <c r="M713">
        <v>6</v>
      </c>
      <c r="N713">
        <v>2</v>
      </c>
      <c r="O713" t="s">
        <v>25</v>
      </c>
      <c r="P713" t="s">
        <v>35</v>
      </c>
      <c r="Q713">
        <v>1.8</v>
      </c>
      <c r="R713">
        <v>40</v>
      </c>
      <c r="S713" t="s">
        <v>27</v>
      </c>
    </row>
    <row r="714" spans="1:19" x14ac:dyDescent="0.3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 t="str">
        <f t="shared" si="11"/>
        <v>15-30 days</v>
      </c>
      <c r="L714">
        <v>28</v>
      </c>
      <c r="M714">
        <v>1</v>
      </c>
      <c r="N714">
        <v>1</v>
      </c>
      <c r="O714" t="s">
        <v>25</v>
      </c>
      <c r="P714" t="s">
        <v>35</v>
      </c>
      <c r="Q714">
        <v>18.7</v>
      </c>
      <c r="R714">
        <v>28</v>
      </c>
      <c r="S714" t="s">
        <v>27</v>
      </c>
    </row>
    <row r="715" spans="1:19" x14ac:dyDescent="0.3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 t="str">
        <f t="shared" si="11"/>
        <v>31-60 days</v>
      </c>
      <c r="L715">
        <v>40</v>
      </c>
      <c r="M715">
        <v>2</v>
      </c>
      <c r="N715">
        <v>0</v>
      </c>
      <c r="O715" t="s">
        <v>25</v>
      </c>
      <c r="P715" t="s">
        <v>26</v>
      </c>
      <c r="Q715">
        <v>5.4</v>
      </c>
      <c r="R715">
        <v>33</v>
      </c>
      <c r="S715" t="s">
        <v>27</v>
      </c>
    </row>
    <row r="716" spans="1:19" x14ac:dyDescent="0.3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 t="str">
        <f t="shared" si="11"/>
        <v>31-60 days</v>
      </c>
      <c r="L716">
        <v>58</v>
      </c>
      <c r="M716">
        <v>2</v>
      </c>
      <c r="N716">
        <v>0</v>
      </c>
      <c r="O716" t="s">
        <v>25</v>
      </c>
      <c r="P716" t="s">
        <v>26</v>
      </c>
      <c r="Q716">
        <v>3.5</v>
      </c>
      <c r="R716">
        <v>42</v>
      </c>
      <c r="S716" t="s">
        <v>27</v>
      </c>
    </row>
    <row r="717" spans="1:19" x14ac:dyDescent="0.3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 t="str">
        <f t="shared" si="11"/>
        <v>15-30 days</v>
      </c>
      <c r="L717">
        <v>26</v>
      </c>
      <c r="M717">
        <v>4</v>
      </c>
      <c r="N717">
        <v>2</v>
      </c>
      <c r="O717" t="s">
        <v>54</v>
      </c>
      <c r="P717" t="s">
        <v>55</v>
      </c>
      <c r="Q717">
        <v>10.7</v>
      </c>
      <c r="R717">
        <v>31</v>
      </c>
      <c r="S717" t="s">
        <v>36</v>
      </c>
    </row>
    <row r="718" spans="1:19" x14ac:dyDescent="0.3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 t="str">
        <f t="shared" si="11"/>
        <v>8-14 days</v>
      </c>
      <c r="L718">
        <v>12</v>
      </c>
      <c r="M718">
        <v>4</v>
      </c>
      <c r="N718">
        <v>1</v>
      </c>
      <c r="O718" t="s">
        <v>25</v>
      </c>
      <c r="P718" t="s">
        <v>35</v>
      </c>
      <c r="Q718">
        <v>12.6</v>
      </c>
      <c r="R718">
        <v>2</v>
      </c>
      <c r="S718" t="s">
        <v>27</v>
      </c>
    </row>
    <row r="719" spans="1:19" x14ac:dyDescent="0.3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 t="str">
        <f t="shared" si="11"/>
        <v>31-60 days</v>
      </c>
      <c r="L719">
        <v>45</v>
      </c>
      <c r="M719">
        <v>2</v>
      </c>
      <c r="N719">
        <v>0</v>
      </c>
      <c r="O719" t="s">
        <v>25</v>
      </c>
      <c r="P719" t="s">
        <v>35</v>
      </c>
      <c r="Q719">
        <v>6.5</v>
      </c>
      <c r="R719">
        <v>26</v>
      </c>
      <c r="S719" t="s">
        <v>27</v>
      </c>
    </row>
    <row r="720" spans="1:19" x14ac:dyDescent="0.3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 t="str">
        <f t="shared" si="11"/>
        <v>0-7 days</v>
      </c>
      <c r="L720">
        <v>0</v>
      </c>
      <c r="M720">
        <v>2</v>
      </c>
      <c r="N720">
        <v>0</v>
      </c>
      <c r="O720" t="s">
        <v>25</v>
      </c>
      <c r="P720" t="s">
        <v>35</v>
      </c>
      <c r="Q720">
        <v>12.7</v>
      </c>
      <c r="R720">
        <v>2</v>
      </c>
      <c r="S720" t="s">
        <v>36</v>
      </c>
    </row>
    <row r="721" spans="1:19" x14ac:dyDescent="0.3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 t="str">
        <f t="shared" si="11"/>
        <v>15-30 days</v>
      </c>
      <c r="L721">
        <v>27</v>
      </c>
      <c r="M721">
        <v>3</v>
      </c>
      <c r="N721">
        <v>0</v>
      </c>
      <c r="O721" t="s">
        <v>54</v>
      </c>
      <c r="P721" t="s">
        <v>55</v>
      </c>
      <c r="Q721">
        <v>14.6</v>
      </c>
      <c r="R721">
        <v>16</v>
      </c>
      <c r="S721" t="s">
        <v>27</v>
      </c>
    </row>
    <row r="722" spans="1:19" x14ac:dyDescent="0.3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 t="str">
        <f t="shared" si="11"/>
        <v>31-60 days</v>
      </c>
      <c r="L722">
        <v>59</v>
      </c>
      <c r="M722">
        <v>4</v>
      </c>
      <c r="N722">
        <v>0</v>
      </c>
      <c r="O722" t="s">
        <v>25</v>
      </c>
      <c r="P722" t="s">
        <v>50</v>
      </c>
      <c r="Q722">
        <v>6.4</v>
      </c>
      <c r="R722">
        <v>8</v>
      </c>
      <c r="S722" t="s">
        <v>36</v>
      </c>
    </row>
    <row r="723" spans="1:19" x14ac:dyDescent="0.3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 t="str">
        <f t="shared" si="11"/>
        <v>15-30 days</v>
      </c>
      <c r="L723">
        <v>25</v>
      </c>
      <c r="M723">
        <v>7</v>
      </c>
      <c r="N723">
        <v>1</v>
      </c>
      <c r="O723" t="s">
        <v>25</v>
      </c>
      <c r="P723" t="s">
        <v>35</v>
      </c>
      <c r="Q723">
        <v>3.2</v>
      </c>
      <c r="R723">
        <v>27</v>
      </c>
      <c r="S723" t="s">
        <v>27</v>
      </c>
    </row>
    <row r="724" spans="1:19" x14ac:dyDescent="0.3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 t="str">
        <f t="shared" si="11"/>
        <v>31-60 days</v>
      </c>
      <c r="L724">
        <v>41</v>
      </c>
      <c r="M724">
        <v>5</v>
      </c>
      <c r="N724">
        <v>1</v>
      </c>
      <c r="O724" t="s">
        <v>25</v>
      </c>
      <c r="P724" t="s">
        <v>35</v>
      </c>
      <c r="Q724">
        <v>5.8</v>
      </c>
      <c r="R724">
        <v>14</v>
      </c>
      <c r="S724" t="s">
        <v>36</v>
      </c>
    </row>
    <row r="725" spans="1:19" x14ac:dyDescent="0.3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 t="str">
        <f t="shared" si="11"/>
        <v>31-60 days</v>
      </c>
      <c r="L725">
        <v>32</v>
      </c>
      <c r="M725">
        <v>2</v>
      </c>
      <c r="N725">
        <v>0</v>
      </c>
      <c r="O725" t="s">
        <v>25</v>
      </c>
      <c r="P725" t="s">
        <v>26</v>
      </c>
      <c r="Q725">
        <v>7.3</v>
      </c>
      <c r="R725">
        <v>27</v>
      </c>
      <c r="S725" t="s">
        <v>36</v>
      </c>
    </row>
    <row r="726" spans="1:19" x14ac:dyDescent="0.3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 t="str">
        <f t="shared" si="11"/>
        <v>8-14 days</v>
      </c>
      <c r="L726">
        <v>13</v>
      </c>
      <c r="M726">
        <v>4</v>
      </c>
      <c r="N726">
        <v>0</v>
      </c>
      <c r="O726" t="s">
        <v>25</v>
      </c>
      <c r="P726" t="s">
        <v>35</v>
      </c>
      <c r="Q726">
        <v>8.8000000000000007</v>
      </c>
      <c r="R726">
        <v>33</v>
      </c>
      <c r="S726" t="s">
        <v>36</v>
      </c>
    </row>
    <row r="727" spans="1:19" x14ac:dyDescent="0.3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 t="str">
        <f t="shared" si="11"/>
        <v>15-30 days</v>
      </c>
      <c r="L727">
        <v>19</v>
      </c>
      <c r="M727">
        <v>2</v>
      </c>
      <c r="N727">
        <v>0</v>
      </c>
      <c r="O727" t="s">
        <v>54</v>
      </c>
      <c r="P727" t="s">
        <v>55</v>
      </c>
      <c r="Q727">
        <v>14.9</v>
      </c>
      <c r="R727">
        <v>13</v>
      </c>
      <c r="S727" t="s">
        <v>27</v>
      </c>
    </row>
    <row r="728" spans="1:19" x14ac:dyDescent="0.3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 t="str">
        <f t="shared" si="11"/>
        <v>31-60 days</v>
      </c>
      <c r="L728">
        <v>31</v>
      </c>
      <c r="M728">
        <v>4</v>
      </c>
      <c r="N728">
        <v>1</v>
      </c>
      <c r="O728" t="s">
        <v>25</v>
      </c>
      <c r="P728" t="s">
        <v>50</v>
      </c>
      <c r="Q728">
        <v>7.5</v>
      </c>
      <c r="R728">
        <v>27</v>
      </c>
      <c r="S728" t="s">
        <v>27</v>
      </c>
    </row>
    <row r="729" spans="1:19" x14ac:dyDescent="0.3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 t="str">
        <f t="shared" si="11"/>
        <v>0-7 days</v>
      </c>
      <c r="L729">
        <v>6</v>
      </c>
      <c r="M729">
        <v>2</v>
      </c>
      <c r="N729">
        <v>0</v>
      </c>
      <c r="O729" t="s">
        <v>25</v>
      </c>
      <c r="P729" t="s">
        <v>35</v>
      </c>
      <c r="Q729">
        <v>4.8</v>
      </c>
      <c r="R729">
        <v>2</v>
      </c>
      <c r="S729" t="s">
        <v>27</v>
      </c>
    </row>
    <row r="730" spans="1:19" x14ac:dyDescent="0.3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 t="str">
        <f t="shared" si="11"/>
        <v>15-30 days</v>
      </c>
      <c r="L730">
        <v>25</v>
      </c>
      <c r="M730">
        <v>2</v>
      </c>
      <c r="N730">
        <v>0</v>
      </c>
      <c r="O730" t="s">
        <v>25</v>
      </c>
      <c r="P730" t="s">
        <v>50</v>
      </c>
      <c r="Q730">
        <v>5.7</v>
      </c>
      <c r="R730">
        <v>8</v>
      </c>
      <c r="S730" t="s">
        <v>36</v>
      </c>
    </row>
    <row r="731" spans="1:19" x14ac:dyDescent="0.3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 t="str">
        <f t="shared" si="11"/>
        <v>15-30 days</v>
      </c>
      <c r="L731">
        <v>25</v>
      </c>
      <c r="M731">
        <v>6</v>
      </c>
      <c r="N731">
        <v>1</v>
      </c>
      <c r="O731" t="s">
        <v>25</v>
      </c>
      <c r="P731" t="s">
        <v>35</v>
      </c>
      <c r="Q731">
        <v>9.8000000000000007</v>
      </c>
      <c r="R731">
        <v>38</v>
      </c>
      <c r="S731" t="s">
        <v>71</v>
      </c>
    </row>
    <row r="732" spans="1:19" x14ac:dyDescent="0.3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 t="str">
        <f t="shared" si="11"/>
        <v>31-60 days</v>
      </c>
      <c r="L732">
        <v>50</v>
      </c>
      <c r="M732">
        <v>1</v>
      </c>
      <c r="N732">
        <v>0</v>
      </c>
      <c r="O732" t="s">
        <v>54</v>
      </c>
      <c r="P732" t="s">
        <v>55</v>
      </c>
      <c r="R732">
        <v>14</v>
      </c>
      <c r="S732" t="s">
        <v>27</v>
      </c>
    </row>
    <row r="733" spans="1:19" x14ac:dyDescent="0.3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 t="str">
        <f t="shared" si="11"/>
        <v>0-7 days</v>
      </c>
      <c r="L733">
        <v>7</v>
      </c>
      <c r="M733">
        <v>1</v>
      </c>
      <c r="N733">
        <v>0</v>
      </c>
      <c r="O733" t="s">
        <v>25</v>
      </c>
      <c r="P733" t="s">
        <v>35</v>
      </c>
      <c r="Q733">
        <v>22.9</v>
      </c>
      <c r="R733">
        <v>18</v>
      </c>
      <c r="S733" t="s">
        <v>27</v>
      </c>
    </row>
    <row r="734" spans="1:19" x14ac:dyDescent="0.3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 t="str">
        <f t="shared" si="11"/>
        <v>31-60 days</v>
      </c>
      <c r="L734">
        <v>51</v>
      </c>
      <c r="M734">
        <v>3</v>
      </c>
      <c r="N734">
        <v>1</v>
      </c>
      <c r="O734" t="s">
        <v>54</v>
      </c>
      <c r="P734" t="s">
        <v>55</v>
      </c>
      <c r="Q734">
        <v>7.2</v>
      </c>
      <c r="R734">
        <v>15</v>
      </c>
      <c r="S734" t="s">
        <v>27</v>
      </c>
    </row>
    <row r="735" spans="1:19" x14ac:dyDescent="0.3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 t="str">
        <f t="shared" si="11"/>
        <v>15-30 days</v>
      </c>
      <c r="L735">
        <v>25</v>
      </c>
      <c r="M735">
        <v>2</v>
      </c>
      <c r="N735">
        <v>0</v>
      </c>
      <c r="O735" t="s">
        <v>54</v>
      </c>
      <c r="P735" t="s">
        <v>55</v>
      </c>
      <c r="Q735">
        <v>4.8</v>
      </c>
      <c r="R735">
        <v>5</v>
      </c>
      <c r="S735" t="s">
        <v>27</v>
      </c>
    </row>
    <row r="736" spans="1:19" x14ac:dyDescent="0.3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 t="str">
        <f t="shared" si="11"/>
        <v>31-60 days</v>
      </c>
      <c r="L736">
        <v>39</v>
      </c>
      <c r="M736">
        <v>2</v>
      </c>
      <c r="N736">
        <v>0</v>
      </c>
      <c r="O736" t="s">
        <v>25</v>
      </c>
      <c r="P736" t="s">
        <v>26</v>
      </c>
      <c r="Q736">
        <v>1.3</v>
      </c>
      <c r="R736">
        <v>13</v>
      </c>
      <c r="S736" t="s">
        <v>36</v>
      </c>
    </row>
    <row r="737" spans="1:19" x14ac:dyDescent="0.3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 t="str">
        <f t="shared" si="11"/>
        <v>31-60 days</v>
      </c>
      <c r="L737">
        <v>33</v>
      </c>
      <c r="M737">
        <v>6</v>
      </c>
      <c r="N737">
        <v>1</v>
      </c>
      <c r="O737" t="s">
        <v>54</v>
      </c>
      <c r="P737" t="s">
        <v>55</v>
      </c>
      <c r="Q737">
        <v>2</v>
      </c>
      <c r="R737">
        <v>24</v>
      </c>
      <c r="S737" t="s">
        <v>27</v>
      </c>
    </row>
    <row r="738" spans="1:19" x14ac:dyDescent="0.3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 t="str">
        <f t="shared" si="11"/>
        <v>15-30 days</v>
      </c>
      <c r="L738">
        <v>18</v>
      </c>
      <c r="M738">
        <v>3</v>
      </c>
      <c r="N738">
        <v>0</v>
      </c>
      <c r="O738" t="s">
        <v>54</v>
      </c>
      <c r="P738" t="s">
        <v>55</v>
      </c>
      <c r="Q738">
        <v>11.7</v>
      </c>
      <c r="R738">
        <v>20</v>
      </c>
      <c r="S738" t="s">
        <v>71</v>
      </c>
    </row>
    <row r="739" spans="1:19" x14ac:dyDescent="0.3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 t="str">
        <f t="shared" si="11"/>
        <v>31-60 days</v>
      </c>
      <c r="L739">
        <v>56</v>
      </c>
      <c r="M739">
        <v>4</v>
      </c>
      <c r="N739">
        <v>0</v>
      </c>
      <c r="O739" t="s">
        <v>54</v>
      </c>
      <c r="P739" t="s">
        <v>55</v>
      </c>
      <c r="Q739">
        <v>5.5</v>
      </c>
      <c r="R739">
        <v>36</v>
      </c>
      <c r="S739" t="s">
        <v>27</v>
      </c>
    </row>
    <row r="740" spans="1:19" x14ac:dyDescent="0.3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 t="str">
        <f t="shared" si="11"/>
        <v>8-14 days</v>
      </c>
      <c r="L740">
        <v>13</v>
      </c>
      <c r="M740">
        <v>5</v>
      </c>
      <c r="N740">
        <v>1</v>
      </c>
      <c r="O740" t="s">
        <v>25</v>
      </c>
      <c r="P740" t="s">
        <v>35</v>
      </c>
      <c r="Q740">
        <v>17.5</v>
      </c>
      <c r="R740">
        <v>17</v>
      </c>
      <c r="S740" t="s">
        <v>36</v>
      </c>
    </row>
    <row r="741" spans="1:19" x14ac:dyDescent="0.3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 t="str">
        <f t="shared" si="11"/>
        <v>0-7 days</v>
      </c>
      <c r="L741">
        <v>2</v>
      </c>
      <c r="M741">
        <v>9</v>
      </c>
      <c r="N741">
        <v>1</v>
      </c>
      <c r="O741" t="s">
        <v>25</v>
      </c>
      <c r="P741" t="s">
        <v>26</v>
      </c>
      <c r="Q741">
        <v>1.7</v>
      </c>
      <c r="R741">
        <v>24</v>
      </c>
      <c r="S741" t="s">
        <v>36</v>
      </c>
    </row>
    <row r="742" spans="1:19" x14ac:dyDescent="0.3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 t="str">
        <f t="shared" si="11"/>
        <v>31-60 days</v>
      </c>
      <c r="L742">
        <v>45</v>
      </c>
      <c r="M742">
        <v>4</v>
      </c>
      <c r="N742">
        <v>0</v>
      </c>
      <c r="O742" t="s">
        <v>25</v>
      </c>
      <c r="P742" t="s">
        <v>35</v>
      </c>
      <c r="Q742">
        <v>6.1</v>
      </c>
      <c r="R742">
        <v>18</v>
      </c>
      <c r="S742" t="s">
        <v>36</v>
      </c>
    </row>
    <row r="743" spans="1:19" x14ac:dyDescent="0.3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 t="str">
        <f t="shared" si="11"/>
        <v>31-60 days</v>
      </c>
      <c r="L743">
        <v>37</v>
      </c>
      <c r="M743">
        <v>2</v>
      </c>
      <c r="N743">
        <v>0</v>
      </c>
      <c r="O743" t="s">
        <v>54</v>
      </c>
      <c r="P743" t="s">
        <v>55</v>
      </c>
      <c r="Q743">
        <v>14.4</v>
      </c>
      <c r="R743">
        <v>34</v>
      </c>
      <c r="S743" t="s">
        <v>71</v>
      </c>
    </row>
    <row r="744" spans="1:19" x14ac:dyDescent="0.3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 t="str">
        <f t="shared" si="11"/>
        <v>31-60 days</v>
      </c>
      <c r="L744">
        <v>54</v>
      </c>
      <c r="M744">
        <v>2</v>
      </c>
      <c r="N744">
        <v>0</v>
      </c>
      <c r="O744" t="s">
        <v>25</v>
      </c>
      <c r="P744" t="s">
        <v>35</v>
      </c>
      <c r="Q744">
        <v>18.899999999999999</v>
      </c>
      <c r="R744">
        <v>8</v>
      </c>
      <c r="S744" t="s">
        <v>27</v>
      </c>
    </row>
    <row r="745" spans="1:19" x14ac:dyDescent="0.3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 t="str">
        <f t="shared" si="11"/>
        <v>15-30 days</v>
      </c>
      <c r="L745">
        <v>27</v>
      </c>
      <c r="M745">
        <v>2</v>
      </c>
      <c r="N745">
        <v>1</v>
      </c>
      <c r="O745" t="s">
        <v>25</v>
      </c>
      <c r="P745" t="s">
        <v>35</v>
      </c>
      <c r="Q745">
        <v>12.4</v>
      </c>
      <c r="R745">
        <v>29</v>
      </c>
      <c r="S745" t="s">
        <v>36</v>
      </c>
    </row>
    <row r="746" spans="1:19" x14ac:dyDescent="0.3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 t="str">
        <f t="shared" si="11"/>
        <v>0-7 days</v>
      </c>
      <c r="L746">
        <v>1</v>
      </c>
      <c r="M746">
        <v>4</v>
      </c>
      <c r="N746">
        <v>1</v>
      </c>
      <c r="O746" t="s">
        <v>54</v>
      </c>
      <c r="P746" t="s">
        <v>55</v>
      </c>
      <c r="Q746">
        <v>15.4</v>
      </c>
      <c r="R746">
        <v>28</v>
      </c>
      <c r="S746" t="s">
        <v>27</v>
      </c>
    </row>
    <row r="747" spans="1:19" x14ac:dyDescent="0.3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 t="str">
        <f t="shared" si="11"/>
        <v>0-7 days</v>
      </c>
      <c r="L747">
        <v>1</v>
      </c>
      <c r="M747">
        <v>1</v>
      </c>
      <c r="N747">
        <v>1</v>
      </c>
      <c r="O747" t="s">
        <v>54</v>
      </c>
      <c r="P747" t="s">
        <v>55</v>
      </c>
      <c r="Q747">
        <v>4.5999999999999996</v>
      </c>
      <c r="R747">
        <v>15</v>
      </c>
      <c r="S747" t="s">
        <v>36</v>
      </c>
    </row>
    <row r="748" spans="1:19" x14ac:dyDescent="0.3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 t="str">
        <f t="shared" si="11"/>
        <v>15-30 days</v>
      </c>
      <c r="L748">
        <v>26</v>
      </c>
      <c r="M748">
        <v>1</v>
      </c>
      <c r="N748">
        <v>0</v>
      </c>
      <c r="O748" t="s">
        <v>54</v>
      </c>
      <c r="P748" t="s">
        <v>55</v>
      </c>
      <c r="Q748">
        <v>6.9</v>
      </c>
      <c r="R748">
        <v>23</v>
      </c>
      <c r="S748" t="s">
        <v>36</v>
      </c>
    </row>
    <row r="749" spans="1:19" x14ac:dyDescent="0.3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 t="str">
        <f t="shared" si="11"/>
        <v>15-30 days</v>
      </c>
      <c r="L749">
        <v>15</v>
      </c>
      <c r="M749">
        <v>2</v>
      </c>
      <c r="N749">
        <v>0</v>
      </c>
      <c r="O749" t="s">
        <v>54</v>
      </c>
      <c r="P749" t="s">
        <v>55</v>
      </c>
      <c r="Q749">
        <v>19.7</v>
      </c>
      <c r="R749">
        <v>28</v>
      </c>
      <c r="S749" t="s">
        <v>36</v>
      </c>
    </row>
    <row r="750" spans="1:19" x14ac:dyDescent="0.3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 t="str">
        <f t="shared" si="11"/>
        <v>31-60 days</v>
      </c>
      <c r="L750">
        <v>56</v>
      </c>
      <c r="M750">
        <v>4</v>
      </c>
      <c r="N750">
        <v>0</v>
      </c>
      <c r="O750" t="s">
        <v>25</v>
      </c>
      <c r="P750" t="s">
        <v>26</v>
      </c>
      <c r="Q750">
        <v>4.3</v>
      </c>
      <c r="R750">
        <v>16</v>
      </c>
      <c r="S750" t="s">
        <v>36</v>
      </c>
    </row>
    <row r="751" spans="1:19" x14ac:dyDescent="0.3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 t="str">
        <f t="shared" si="11"/>
        <v>0-7 days</v>
      </c>
      <c r="L751">
        <v>7</v>
      </c>
      <c r="M751">
        <v>1</v>
      </c>
      <c r="N751">
        <v>0</v>
      </c>
      <c r="O751" t="s">
        <v>25</v>
      </c>
      <c r="P751" t="s">
        <v>35</v>
      </c>
      <c r="Q751">
        <v>8.6</v>
      </c>
      <c r="R751">
        <v>16</v>
      </c>
      <c r="S751" t="s">
        <v>36</v>
      </c>
    </row>
    <row r="752" spans="1:19" x14ac:dyDescent="0.3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 t="str">
        <f t="shared" si="11"/>
        <v>31-60 days</v>
      </c>
      <c r="L752">
        <v>53</v>
      </c>
      <c r="M752">
        <v>0</v>
      </c>
      <c r="N752">
        <v>0</v>
      </c>
      <c r="O752" t="s">
        <v>25</v>
      </c>
      <c r="P752" t="s">
        <v>35</v>
      </c>
      <c r="Q752">
        <v>13.2</v>
      </c>
      <c r="R752">
        <v>10</v>
      </c>
      <c r="S752" t="s">
        <v>27</v>
      </c>
    </row>
    <row r="753" spans="1:19" x14ac:dyDescent="0.3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 t="str">
        <f t="shared" si="11"/>
        <v>8-14 days</v>
      </c>
      <c r="L753">
        <v>13</v>
      </c>
      <c r="M753">
        <v>2</v>
      </c>
      <c r="N753">
        <v>0</v>
      </c>
      <c r="O753" t="s">
        <v>54</v>
      </c>
      <c r="P753" t="s">
        <v>55</v>
      </c>
      <c r="Q753">
        <v>18.100000000000001</v>
      </c>
      <c r="R753">
        <v>46</v>
      </c>
      <c r="S753" t="s">
        <v>36</v>
      </c>
    </row>
    <row r="754" spans="1:19" x14ac:dyDescent="0.3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 t="str">
        <f t="shared" si="11"/>
        <v>0-7 days</v>
      </c>
      <c r="L754">
        <v>7</v>
      </c>
      <c r="M754">
        <v>3</v>
      </c>
      <c r="N754">
        <v>1</v>
      </c>
      <c r="O754" t="s">
        <v>25</v>
      </c>
      <c r="P754" t="s">
        <v>50</v>
      </c>
      <c r="Q754">
        <v>7.9</v>
      </c>
      <c r="R754">
        <v>19</v>
      </c>
      <c r="S754" t="s">
        <v>36</v>
      </c>
    </row>
    <row r="755" spans="1:19" x14ac:dyDescent="0.3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 t="str">
        <f t="shared" si="11"/>
        <v>15-30 days</v>
      </c>
      <c r="L755">
        <v>16</v>
      </c>
      <c r="M755">
        <v>3</v>
      </c>
      <c r="N755">
        <v>0</v>
      </c>
      <c r="O755" t="s">
        <v>54</v>
      </c>
      <c r="P755" t="s">
        <v>55</v>
      </c>
      <c r="Q755">
        <v>6.7</v>
      </c>
      <c r="R755">
        <v>11</v>
      </c>
      <c r="S755" t="s">
        <v>27</v>
      </c>
    </row>
    <row r="756" spans="1:19" x14ac:dyDescent="0.3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 t="str">
        <f t="shared" si="11"/>
        <v>8-14 days</v>
      </c>
      <c r="L756">
        <v>8</v>
      </c>
      <c r="M756">
        <v>1</v>
      </c>
      <c r="N756">
        <v>0</v>
      </c>
      <c r="O756" t="s">
        <v>25</v>
      </c>
      <c r="P756" t="s">
        <v>35</v>
      </c>
      <c r="Q756">
        <v>11.1</v>
      </c>
      <c r="R756">
        <v>5</v>
      </c>
      <c r="S756" t="s">
        <v>27</v>
      </c>
    </row>
    <row r="757" spans="1:19" x14ac:dyDescent="0.3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 t="str">
        <f t="shared" si="11"/>
        <v>15-30 days</v>
      </c>
      <c r="L757">
        <v>24</v>
      </c>
      <c r="M757">
        <v>3</v>
      </c>
      <c r="N757">
        <v>1</v>
      </c>
      <c r="O757" t="s">
        <v>25</v>
      </c>
      <c r="P757" t="s">
        <v>50</v>
      </c>
      <c r="Q757">
        <v>23.8</v>
      </c>
      <c r="S757" t="s">
        <v>36</v>
      </c>
    </row>
    <row r="758" spans="1:19" x14ac:dyDescent="0.3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 t="str">
        <f t="shared" si="11"/>
        <v>15-30 days</v>
      </c>
      <c r="L758">
        <v>20</v>
      </c>
      <c r="M758">
        <v>4</v>
      </c>
      <c r="N758">
        <v>0</v>
      </c>
      <c r="O758" t="s">
        <v>25</v>
      </c>
      <c r="P758" t="s">
        <v>26</v>
      </c>
      <c r="Q758">
        <v>11</v>
      </c>
      <c r="R758">
        <v>27</v>
      </c>
      <c r="S758" t="s">
        <v>36</v>
      </c>
    </row>
    <row r="759" spans="1:19" x14ac:dyDescent="0.3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 t="str">
        <f t="shared" si="11"/>
        <v>31-60 days</v>
      </c>
      <c r="L759">
        <v>32</v>
      </c>
      <c r="M759">
        <v>2</v>
      </c>
      <c r="N759">
        <v>1</v>
      </c>
      <c r="O759" t="s">
        <v>54</v>
      </c>
      <c r="P759" t="s">
        <v>55</v>
      </c>
      <c r="Q759">
        <v>11.4</v>
      </c>
      <c r="R759">
        <v>21</v>
      </c>
      <c r="S759" t="s">
        <v>27</v>
      </c>
    </row>
    <row r="760" spans="1:19" x14ac:dyDescent="0.3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 t="str">
        <f t="shared" si="11"/>
        <v>31-60 days</v>
      </c>
      <c r="L760">
        <v>32</v>
      </c>
      <c r="M760">
        <v>1</v>
      </c>
      <c r="N760">
        <v>1</v>
      </c>
      <c r="O760" t="s">
        <v>25</v>
      </c>
      <c r="P760" t="s">
        <v>50</v>
      </c>
      <c r="Q760">
        <v>7.9</v>
      </c>
      <c r="R760">
        <v>28</v>
      </c>
      <c r="S760" t="s">
        <v>36</v>
      </c>
    </row>
    <row r="761" spans="1:19" x14ac:dyDescent="0.3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 t="str">
        <f t="shared" si="11"/>
        <v>0-7 days</v>
      </c>
      <c r="L761">
        <v>0</v>
      </c>
      <c r="M761">
        <v>2</v>
      </c>
      <c r="N761">
        <v>0</v>
      </c>
      <c r="O761" t="s">
        <v>25</v>
      </c>
      <c r="P761" t="s">
        <v>35</v>
      </c>
      <c r="Q761">
        <v>4.5</v>
      </c>
      <c r="R761">
        <v>32</v>
      </c>
      <c r="S761" t="s">
        <v>27</v>
      </c>
    </row>
    <row r="762" spans="1:19" x14ac:dyDescent="0.3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 t="str">
        <f t="shared" si="11"/>
        <v>0-7 days</v>
      </c>
      <c r="L762">
        <v>7</v>
      </c>
      <c r="M762">
        <v>1</v>
      </c>
      <c r="N762">
        <v>0</v>
      </c>
      <c r="O762" t="s">
        <v>25</v>
      </c>
      <c r="P762" t="s">
        <v>26</v>
      </c>
      <c r="R762">
        <v>22</v>
      </c>
      <c r="S762" t="s">
        <v>27</v>
      </c>
    </row>
    <row r="763" spans="1:19" x14ac:dyDescent="0.3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 t="str">
        <f t="shared" si="11"/>
        <v>8-14 days</v>
      </c>
      <c r="L763">
        <v>9</v>
      </c>
      <c r="M763">
        <v>0</v>
      </c>
      <c r="N763">
        <v>0</v>
      </c>
      <c r="O763" t="s">
        <v>25</v>
      </c>
      <c r="P763" t="s">
        <v>35</v>
      </c>
      <c r="Q763">
        <v>7.8</v>
      </c>
      <c r="R763">
        <v>23</v>
      </c>
      <c r="S763" t="s">
        <v>36</v>
      </c>
    </row>
    <row r="764" spans="1:19" x14ac:dyDescent="0.3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 t="str">
        <f t="shared" si="11"/>
        <v>8-14 days</v>
      </c>
      <c r="L764">
        <v>11</v>
      </c>
      <c r="M764">
        <v>2</v>
      </c>
      <c r="N764">
        <v>1</v>
      </c>
      <c r="O764" t="s">
        <v>25</v>
      </c>
      <c r="P764" t="s">
        <v>35</v>
      </c>
      <c r="Q764">
        <v>6.7</v>
      </c>
      <c r="R764">
        <v>41</v>
      </c>
      <c r="S764" t="s">
        <v>36</v>
      </c>
    </row>
    <row r="765" spans="1:19" x14ac:dyDescent="0.3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 t="str">
        <f t="shared" si="11"/>
        <v>0-7 days</v>
      </c>
      <c r="L765">
        <v>5</v>
      </c>
      <c r="M765">
        <v>5</v>
      </c>
      <c r="N765">
        <v>2</v>
      </c>
      <c r="O765" t="s">
        <v>25</v>
      </c>
      <c r="P765" t="s">
        <v>26</v>
      </c>
      <c r="Q765">
        <v>8.4</v>
      </c>
      <c r="R765">
        <v>32</v>
      </c>
      <c r="S765" t="s">
        <v>36</v>
      </c>
    </row>
    <row r="766" spans="1:19" x14ac:dyDescent="0.3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 t="str">
        <f t="shared" si="11"/>
        <v>15-30 days</v>
      </c>
      <c r="L766">
        <v>19</v>
      </c>
      <c r="M766">
        <v>0</v>
      </c>
      <c r="N766">
        <v>0</v>
      </c>
      <c r="O766" t="s">
        <v>25</v>
      </c>
      <c r="P766" t="s">
        <v>35</v>
      </c>
      <c r="Q766">
        <v>11.7</v>
      </c>
      <c r="R766">
        <v>28</v>
      </c>
      <c r="S766" t="s">
        <v>36</v>
      </c>
    </row>
    <row r="767" spans="1:19" x14ac:dyDescent="0.3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 t="str">
        <f t="shared" si="11"/>
        <v>31-60 days</v>
      </c>
      <c r="L767">
        <v>33</v>
      </c>
      <c r="M767">
        <v>0</v>
      </c>
      <c r="N767">
        <v>0</v>
      </c>
      <c r="O767" t="s">
        <v>54</v>
      </c>
      <c r="P767" t="s">
        <v>55</v>
      </c>
      <c r="Q767">
        <v>5.6</v>
      </c>
      <c r="R767">
        <v>20</v>
      </c>
      <c r="S767" t="s">
        <v>27</v>
      </c>
    </row>
    <row r="768" spans="1:19" x14ac:dyDescent="0.3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 t="str">
        <f t="shared" si="11"/>
        <v>15-30 days</v>
      </c>
      <c r="L768">
        <v>18</v>
      </c>
      <c r="M768">
        <v>3</v>
      </c>
      <c r="N768">
        <v>0</v>
      </c>
      <c r="O768" t="s">
        <v>54</v>
      </c>
      <c r="P768" t="s">
        <v>55</v>
      </c>
      <c r="Q768">
        <v>15</v>
      </c>
      <c r="R768">
        <v>31</v>
      </c>
      <c r="S768" t="s">
        <v>36</v>
      </c>
    </row>
    <row r="769" spans="1:19" x14ac:dyDescent="0.3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 t="str">
        <f t="shared" si="11"/>
        <v>15-30 days</v>
      </c>
      <c r="L769">
        <v>20</v>
      </c>
      <c r="M769">
        <v>5</v>
      </c>
      <c r="N769">
        <v>1</v>
      </c>
      <c r="O769" t="s">
        <v>54</v>
      </c>
      <c r="P769" t="s">
        <v>55</v>
      </c>
      <c r="Q769">
        <v>11.1</v>
      </c>
      <c r="R769">
        <v>28</v>
      </c>
      <c r="S769" t="s">
        <v>36</v>
      </c>
    </row>
    <row r="770" spans="1:19" x14ac:dyDescent="0.3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 t="str">
        <f t="shared" si="11"/>
        <v>15-30 days</v>
      </c>
      <c r="L770">
        <v>28</v>
      </c>
      <c r="M770">
        <v>6</v>
      </c>
      <c r="N770">
        <v>0</v>
      </c>
      <c r="O770" t="s">
        <v>25</v>
      </c>
      <c r="P770" t="s">
        <v>26</v>
      </c>
      <c r="Q770">
        <v>9</v>
      </c>
      <c r="R770">
        <v>27</v>
      </c>
      <c r="S770" t="s">
        <v>71</v>
      </c>
    </row>
    <row r="771" spans="1:19" x14ac:dyDescent="0.3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 t="str">
        <f t="shared" ref="K771:K834" si="12">IF(L771&lt;=7,"0-7 days",IF(L771&lt;=14,"8-14 days",IF(L771&lt;=30,"15-30 days","31-60 days")))</f>
        <v>31-60 days</v>
      </c>
      <c r="L771">
        <v>33</v>
      </c>
      <c r="M771">
        <v>2</v>
      </c>
      <c r="N771">
        <v>1</v>
      </c>
      <c r="O771" t="s">
        <v>25</v>
      </c>
      <c r="P771" t="s">
        <v>26</v>
      </c>
      <c r="Q771">
        <v>7.4</v>
      </c>
      <c r="R771">
        <v>32</v>
      </c>
      <c r="S771" t="s">
        <v>71</v>
      </c>
    </row>
    <row r="772" spans="1:19" x14ac:dyDescent="0.3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 t="str">
        <f t="shared" si="12"/>
        <v>15-30 days</v>
      </c>
      <c r="L772">
        <v>20</v>
      </c>
      <c r="M772">
        <v>3</v>
      </c>
      <c r="N772">
        <v>0</v>
      </c>
      <c r="O772" t="s">
        <v>25</v>
      </c>
      <c r="P772" t="s">
        <v>26</v>
      </c>
      <c r="Q772">
        <v>4.3</v>
      </c>
      <c r="R772">
        <v>28</v>
      </c>
      <c r="S772" t="s">
        <v>36</v>
      </c>
    </row>
    <row r="773" spans="1:19" x14ac:dyDescent="0.3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 t="str">
        <f t="shared" si="12"/>
        <v>8-14 days</v>
      </c>
      <c r="L773">
        <v>13</v>
      </c>
      <c r="M773">
        <v>2</v>
      </c>
      <c r="N773">
        <v>1</v>
      </c>
      <c r="O773" t="s">
        <v>54</v>
      </c>
      <c r="P773" t="s">
        <v>55</v>
      </c>
      <c r="Q773">
        <v>11.8</v>
      </c>
      <c r="R773">
        <v>7</v>
      </c>
      <c r="S773" t="s">
        <v>36</v>
      </c>
    </row>
    <row r="774" spans="1:19" x14ac:dyDescent="0.3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 t="str">
        <f t="shared" si="12"/>
        <v>15-30 days</v>
      </c>
      <c r="L774">
        <v>24</v>
      </c>
      <c r="M774">
        <v>1</v>
      </c>
      <c r="N774">
        <v>0</v>
      </c>
      <c r="O774" t="s">
        <v>25</v>
      </c>
      <c r="P774" t="s">
        <v>35</v>
      </c>
      <c r="Q774">
        <v>30.6</v>
      </c>
      <c r="R774">
        <v>25</v>
      </c>
      <c r="S774" t="s">
        <v>27</v>
      </c>
    </row>
    <row r="775" spans="1:19" x14ac:dyDescent="0.3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 t="str">
        <f t="shared" si="12"/>
        <v>0-7 days</v>
      </c>
      <c r="L775">
        <v>1</v>
      </c>
      <c r="M775">
        <v>2</v>
      </c>
      <c r="N775">
        <v>2</v>
      </c>
      <c r="O775" t="s">
        <v>25</v>
      </c>
      <c r="P775" t="s">
        <v>26</v>
      </c>
      <c r="Q775">
        <v>18.5</v>
      </c>
      <c r="R775">
        <v>12</v>
      </c>
      <c r="S775" t="s">
        <v>36</v>
      </c>
    </row>
    <row r="776" spans="1:19" x14ac:dyDescent="0.3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 t="str">
        <f t="shared" si="12"/>
        <v>15-30 days</v>
      </c>
      <c r="L776">
        <v>30</v>
      </c>
      <c r="M776">
        <v>1</v>
      </c>
      <c r="N776">
        <v>0</v>
      </c>
      <c r="O776" t="s">
        <v>54</v>
      </c>
      <c r="P776" t="s">
        <v>55</v>
      </c>
      <c r="Q776">
        <v>12.8</v>
      </c>
      <c r="R776">
        <v>31</v>
      </c>
      <c r="S776" t="s">
        <v>36</v>
      </c>
    </row>
    <row r="777" spans="1:19" x14ac:dyDescent="0.3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 t="str">
        <f t="shared" si="12"/>
        <v>31-60 days</v>
      </c>
      <c r="L777">
        <v>57</v>
      </c>
      <c r="M777">
        <v>1</v>
      </c>
      <c r="N777">
        <v>1</v>
      </c>
      <c r="O777" t="s">
        <v>54</v>
      </c>
      <c r="P777" t="s">
        <v>55</v>
      </c>
      <c r="Q777">
        <v>20</v>
      </c>
      <c r="R777">
        <v>7</v>
      </c>
      <c r="S777" t="s">
        <v>36</v>
      </c>
    </row>
    <row r="778" spans="1:19" x14ac:dyDescent="0.3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 t="str">
        <f t="shared" si="12"/>
        <v>15-30 days</v>
      </c>
      <c r="L778">
        <v>24</v>
      </c>
      <c r="M778">
        <v>0</v>
      </c>
      <c r="N778">
        <v>0</v>
      </c>
      <c r="O778" t="s">
        <v>25</v>
      </c>
      <c r="P778" t="s">
        <v>50</v>
      </c>
      <c r="Q778">
        <v>5.9</v>
      </c>
      <c r="R778">
        <v>24</v>
      </c>
      <c r="S778" t="s">
        <v>36</v>
      </c>
    </row>
    <row r="779" spans="1:19" x14ac:dyDescent="0.3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 t="str">
        <f t="shared" si="12"/>
        <v>0-7 days</v>
      </c>
      <c r="L779">
        <v>6</v>
      </c>
      <c r="M779">
        <v>3</v>
      </c>
      <c r="N779">
        <v>0</v>
      </c>
      <c r="O779" t="s">
        <v>25</v>
      </c>
      <c r="P779" t="s">
        <v>26</v>
      </c>
      <c r="Q779">
        <v>5</v>
      </c>
      <c r="R779">
        <v>25</v>
      </c>
      <c r="S779" t="s">
        <v>27</v>
      </c>
    </row>
    <row r="780" spans="1:19" x14ac:dyDescent="0.3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 t="str">
        <f t="shared" si="12"/>
        <v>31-60 days</v>
      </c>
      <c r="L780">
        <v>43</v>
      </c>
      <c r="M780">
        <v>3</v>
      </c>
      <c r="N780">
        <v>1</v>
      </c>
      <c r="O780" t="s">
        <v>54</v>
      </c>
      <c r="P780" t="s">
        <v>55</v>
      </c>
      <c r="Q780">
        <v>8.4</v>
      </c>
      <c r="R780">
        <v>11</v>
      </c>
      <c r="S780" t="s">
        <v>27</v>
      </c>
    </row>
    <row r="781" spans="1:19" x14ac:dyDescent="0.3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 t="str">
        <f t="shared" si="12"/>
        <v>0-7 days</v>
      </c>
      <c r="L781">
        <v>7</v>
      </c>
      <c r="M781">
        <v>2</v>
      </c>
      <c r="N781">
        <v>0</v>
      </c>
      <c r="O781" t="s">
        <v>25</v>
      </c>
      <c r="P781" t="s">
        <v>35</v>
      </c>
      <c r="Q781">
        <v>8.8000000000000007</v>
      </c>
      <c r="R781">
        <v>23</v>
      </c>
      <c r="S781" t="s">
        <v>27</v>
      </c>
    </row>
    <row r="782" spans="1:19" x14ac:dyDescent="0.3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 t="str">
        <f t="shared" si="12"/>
        <v>8-14 days</v>
      </c>
      <c r="L782">
        <v>11</v>
      </c>
      <c r="M782">
        <v>1</v>
      </c>
      <c r="N782">
        <v>0</v>
      </c>
      <c r="O782" t="s">
        <v>25</v>
      </c>
      <c r="P782" t="s">
        <v>50</v>
      </c>
      <c r="Q782">
        <v>17.399999999999999</v>
      </c>
      <c r="R782">
        <v>32</v>
      </c>
      <c r="S782" t="s">
        <v>27</v>
      </c>
    </row>
    <row r="783" spans="1:19" x14ac:dyDescent="0.3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 t="str">
        <f t="shared" si="12"/>
        <v>8-14 days</v>
      </c>
      <c r="L783">
        <v>8</v>
      </c>
      <c r="M783">
        <v>2</v>
      </c>
      <c r="N783">
        <v>0</v>
      </c>
      <c r="O783" t="s">
        <v>25</v>
      </c>
      <c r="P783" t="s">
        <v>35</v>
      </c>
      <c r="Q783">
        <v>14.7</v>
      </c>
      <c r="R783">
        <v>18</v>
      </c>
      <c r="S783" t="s">
        <v>36</v>
      </c>
    </row>
    <row r="784" spans="1:19" x14ac:dyDescent="0.3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 t="str">
        <f t="shared" si="12"/>
        <v>31-60 days</v>
      </c>
      <c r="L784">
        <v>53</v>
      </c>
      <c r="M784">
        <v>1</v>
      </c>
      <c r="N784">
        <v>1</v>
      </c>
      <c r="O784" t="s">
        <v>25</v>
      </c>
      <c r="P784" t="s">
        <v>35</v>
      </c>
      <c r="Q784">
        <v>1.6</v>
      </c>
      <c r="R784">
        <v>27</v>
      </c>
      <c r="S784" t="s">
        <v>36</v>
      </c>
    </row>
    <row r="785" spans="1:19" x14ac:dyDescent="0.3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 t="str">
        <f t="shared" si="12"/>
        <v>31-60 days</v>
      </c>
      <c r="L785">
        <v>59</v>
      </c>
      <c r="M785">
        <v>2</v>
      </c>
      <c r="N785">
        <v>2</v>
      </c>
      <c r="O785" t="s">
        <v>54</v>
      </c>
      <c r="P785" t="s">
        <v>55</v>
      </c>
      <c r="Q785">
        <v>15</v>
      </c>
      <c r="R785">
        <v>30</v>
      </c>
      <c r="S785" t="s">
        <v>27</v>
      </c>
    </row>
    <row r="786" spans="1:19" x14ac:dyDescent="0.3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 t="str">
        <f t="shared" si="12"/>
        <v>31-60 days</v>
      </c>
      <c r="L786">
        <v>34</v>
      </c>
      <c r="M786">
        <v>4</v>
      </c>
      <c r="N786">
        <v>1</v>
      </c>
      <c r="O786" t="s">
        <v>25</v>
      </c>
      <c r="P786" t="s">
        <v>35</v>
      </c>
      <c r="Q786">
        <v>7.5</v>
      </c>
      <c r="R786">
        <v>12</v>
      </c>
      <c r="S786" t="s">
        <v>27</v>
      </c>
    </row>
    <row r="787" spans="1:19" x14ac:dyDescent="0.3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 t="str">
        <f t="shared" si="12"/>
        <v>31-60 days</v>
      </c>
      <c r="L787">
        <v>37</v>
      </c>
      <c r="M787">
        <v>1</v>
      </c>
      <c r="N787">
        <v>0</v>
      </c>
      <c r="O787" t="s">
        <v>25</v>
      </c>
      <c r="P787" t="s">
        <v>26</v>
      </c>
      <c r="Q787">
        <v>10.7</v>
      </c>
      <c r="S787" t="s">
        <v>36</v>
      </c>
    </row>
    <row r="788" spans="1:19" x14ac:dyDescent="0.3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 t="str">
        <f t="shared" si="12"/>
        <v>31-60 days</v>
      </c>
      <c r="L788">
        <v>39</v>
      </c>
      <c r="M788">
        <v>2</v>
      </c>
      <c r="N788">
        <v>0</v>
      </c>
      <c r="O788" t="s">
        <v>25</v>
      </c>
      <c r="P788" t="s">
        <v>35</v>
      </c>
      <c r="Q788">
        <v>8.1</v>
      </c>
      <c r="R788">
        <v>22</v>
      </c>
      <c r="S788" t="s">
        <v>71</v>
      </c>
    </row>
    <row r="789" spans="1:19" x14ac:dyDescent="0.3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 t="str">
        <f t="shared" si="12"/>
        <v>31-60 days</v>
      </c>
      <c r="L789">
        <v>37</v>
      </c>
      <c r="M789">
        <v>2</v>
      </c>
      <c r="N789">
        <v>0</v>
      </c>
      <c r="O789" t="s">
        <v>25</v>
      </c>
      <c r="P789" t="s">
        <v>35</v>
      </c>
      <c r="Q789">
        <v>5.5</v>
      </c>
      <c r="R789">
        <v>24</v>
      </c>
      <c r="S789" t="s">
        <v>27</v>
      </c>
    </row>
    <row r="790" spans="1:19" x14ac:dyDescent="0.3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 t="str">
        <f t="shared" si="12"/>
        <v>31-60 days</v>
      </c>
      <c r="L790">
        <v>33</v>
      </c>
      <c r="M790">
        <v>2</v>
      </c>
      <c r="N790">
        <v>0</v>
      </c>
      <c r="O790" t="s">
        <v>25</v>
      </c>
      <c r="P790" t="s">
        <v>35</v>
      </c>
      <c r="Q790">
        <v>10.6</v>
      </c>
      <c r="R790">
        <v>6</v>
      </c>
      <c r="S790" t="s">
        <v>36</v>
      </c>
    </row>
    <row r="791" spans="1:19" x14ac:dyDescent="0.3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 t="str">
        <f t="shared" si="12"/>
        <v>31-60 days</v>
      </c>
      <c r="L791">
        <v>60</v>
      </c>
      <c r="M791">
        <v>2</v>
      </c>
      <c r="N791">
        <v>0</v>
      </c>
      <c r="O791" t="s">
        <v>25</v>
      </c>
      <c r="P791" t="s">
        <v>35</v>
      </c>
      <c r="Q791">
        <v>5.2</v>
      </c>
      <c r="R791">
        <v>9</v>
      </c>
      <c r="S791" t="s">
        <v>27</v>
      </c>
    </row>
    <row r="792" spans="1:19" x14ac:dyDescent="0.3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 t="str">
        <f t="shared" si="12"/>
        <v>31-60 days</v>
      </c>
      <c r="L792">
        <v>44</v>
      </c>
      <c r="M792">
        <v>3</v>
      </c>
      <c r="N792">
        <v>0</v>
      </c>
      <c r="O792" t="s">
        <v>25</v>
      </c>
      <c r="P792" t="s">
        <v>35</v>
      </c>
      <c r="Q792">
        <v>7.6</v>
      </c>
      <c r="R792">
        <v>37</v>
      </c>
      <c r="S792" t="s">
        <v>27</v>
      </c>
    </row>
    <row r="793" spans="1:19" x14ac:dyDescent="0.3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 t="str">
        <f t="shared" si="12"/>
        <v>0-7 days</v>
      </c>
      <c r="L793">
        <v>5</v>
      </c>
      <c r="M793">
        <v>5</v>
      </c>
      <c r="N793">
        <v>2</v>
      </c>
      <c r="O793" t="s">
        <v>54</v>
      </c>
      <c r="P793" t="s">
        <v>55</v>
      </c>
      <c r="Q793">
        <v>4.5999999999999996</v>
      </c>
      <c r="R793">
        <v>32</v>
      </c>
      <c r="S793" t="s">
        <v>27</v>
      </c>
    </row>
    <row r="794" spans="1:19" x14ac:dyDescent="0.3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 t="str">
        <f t="shared" si="12"/>
        <v>15-30 days</v>
      </c>
      <c r="L794">
        <v>23</v>
      </c>
      <c r="M794">
        <v>3</v>
      </c>
      <c r="N794">
        <v>2</v>
      </c>
      <c r="O794" t="s">
        <v>25</v>
      </c>
      <c r="P794" t="s">
        <v>26</v>
      </c>
      <c r="Q794">
        <v>3.5</v>
      </c>
      <c r="R794">
        <v>26</v>
      </c>
      <c r="S794" t="s">
        <v>36</v>
      </c>
    </row>
    <row r="795" spans="1:19" x14ac:dyDescent="0.3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 t="str">
        <f t="shared" si="12"/>
        <v>31-60 days</v>
      </c>
      <c r="L795">
        <v>59</v>
      </c>
      <c r="M795">
        <v>4</v>
      </c>
      <c r="N795">
        <v>0</v>
      </c>
      <c r="O795" t="s">
        <v>54</v>
      </c>
      <c r="P795" t="s">
        <v>55</v>
      </c>
      <c r="Q795">
        <v>29.6</v>
      </c>
      <c r="R795">
        <v>34</v>
      </c>
      <c r="S795" t="s">
        <v>27</v>
      </c>
    </row>
    <row r="796" spans="1:19" x14ac:dyDescent="0.3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 t="str">
        <f t="shared" si="12"/>
        <v>15-30 days</v>
      </c>
      <c r="L796">
        <v>24</v>
      </c>
      <c r="M796">
        <v>2</v>
      </c>
      <c r="N796">
        <v>0</v>
      </c>
      <c r="O796" t="s">
        <v>25</v>
      </c>
      <c r="P796" t="s">
        <v>35</v>
      </c>
      <c r="Q796">
        <v>6.1</v>
      </c>
      <c r="R796">
        <v>9</v>
      </c>
      <c r="S796" t="s">
        <v>71</v>
      </c>
    </row>
    <row r="797" spans="1:19" x14ac:dyDescent="0.3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 t="str">
        <f t="shared" si="12"/>
        <v>8-14 days</v>
      </c>
      <c r="L797">
        <v>12</v>
      </c>
      <c r="M797">
        <v>3</v>
      </c>
      <c r="N797">
        <v>0</v>
      </c>
      <c r="O797" t="s">
        <v>54</v>
      </c>
      <c r="P797" t="s">
        <v>55</v>
      </c>
      <c r="Q797">
        <v>7.6</v>
      </c>
      <c r="R797">
        <v>22</v>
      </c>
      <c r="S797" t="s">
        <v>27</v>
      </c>
    </row>
    <row r="798" spans="1:19" x14ac:dyDescent="0.3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 t="str">
        <f t="shared" si="12"/>
        <v>31-60 days</v>
      </c>
      <c r="L798">
        <v>52</v>
      </c>
      <c r="M798">
        <v>2</v>
      </c>
      <c r="N798">
        <v>0</v>
      </c>
      <c r="O798" t="s">
        <v>25</v>
      </c>
      <c r="P798" t="s">
        <v>26</v>
      </c>
      <c r="Q798">
        <v>18.3</v>
      </c>
      <c r="R798">
        <v>20</v>
      </c>
      <c r="S798" t="s">
        <v>27</v>
      </c>
    </row>
    <row r="799" spans="1:19" x14ac:dyDescent="0.3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 t="str">
        <f t="shared" si="12"/>
        <v>31-60 days</v>
      </c>
      <c r="L799">
        <v>38</v>
      </c>
      <c r="M799">
        <v>7</v>
      </c>
      <c r="N799">
        <v>1</v>
      </c>
      <c r="O799" t="s">
        <v>25</v>
      </c>
      <c r="P799" t="s">
        <v>35</v>
      </c>
      <c r="Q799">
        <v>9.4</v>
      </c>
      <c r="R799">
        <v>16</v>
      </c>
      <c r="S799" t="s">
        <v>36</v>
      </c>
    </row>
    <row r="800" spans="1:19" x14ac:dyDescent="0.3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 t="str">
        <f t="shared" si="12"/>
        <v>31-60 days</v>
      </c>
      <c r="L800">
        <v>34</v>
      </c>
      <c r="M800">
        <v>8</v>
      </c>
      <c r="N800">
        <v>0</v>
      </c>
      <c r="O800" t="s">
        <v>25</v>
      </c>
      <c r="P800" t="s">
        <v>35</v>
      </c>
      <c r="Q800">
        <v>4.4000000000000004</v>
      </c>
      <c r="R800">
        <v>12</v>
      </c>
      <c r="S800" t="s">
        <v>27</v>
      </c>
    </row>
    <row r="801" spans="1:19" x14ac:dyDescent="0.3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 t="str">
        <f t="shared" si="12"/>
        <v>15-30 days</v>
      </c>
      <c r="L801">
        <v>25</v>
      </c>
      <c r="M801">
        <v>1</v>
      </c>
      <c r="N801">
        <v>0</v>
      </c>
      <c r="O801" t="s">
        <v>25</v>
      </c>
      <c r="P801" t="s">
        <v>35</v>
      </c>
      <c r="Q801">
        <v>4.5</v>
      </c>
      <c r="R801">
        <v>38</v>
      </c>
      <c r="S801" t="s">
        <v>36</v>
      </c>
    </row>
    <row r="802" spans="1:19" x14ac:dyDescent="0.3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 t="str">
        <f t="shared" si="12"/>
        <v>0-7 days</v>
      </c>
      <c r="L802">
        <v>7</v>
      </c>
      <c r="M802">
        <v>2</v>
      </c>
      <c r="N802">
        <v>1</v>
      </c>
      <c r="O802" t="s">
        <v>54</v>
      </c>
      <c r="P802" t="s">
        <v>55</v>
      </c>
      <c r="Q802">
        <v>4.2</v>
      </c>
      <c r="R802">
        <v>17</v>
      </c>
      <c r="S802" t="s">
        <v>36</v>
      </c>
    </row>
    <row r="803" spans="1:19" x14ac:dyDescent="0.3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 t="str">
        <f t="shared" si="12"/>
        <v>15-30 days</v>
      </c>
      <c r="L803">
        <v>23</v>
      </c>
      <c r="M803">
        <v>1</v>
      </c>
      <c r="N803">
        <v>0</v>
      </c>
      <c r="O803" t="s">
        <v>25</v>
      </c>
      <c r="P803" t="s">
        <v>35</v>
      </c>
      <c r="Q803">
        <v>23.7</v>
      </c>
      <c r="R803">
        <v>29</v>
      </c>
      <c r="S803" t="s">
        <v>27</v>
      </c>
    </row>
    <row r="804" spans="1:19" x14ac:dyDescent="0.3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 t="str">
        <f t="shared" si="12"/>
        <v>15-30 days</v>
      </c>
      <c r="L804">
        <v>26</v>
      </c>
      <c r="M804">
        <v>2</v>
      </c>
      <c r="N804">
        <v>1</v>
      </c>
      <c r="O804" t="s">
        <v>25</v>
      </c>
      <c r="P804" t="s">
        <v>50</v>
      </c>
      <c r="Q804">
        <v>1.4</v>
      </c>
      <c r="R804">
        <v>28</v>
      </c>
      <c r="S804" t="s">
        <v>27</v>
      </c>
    </row>
    <row r="805" spans="1:19" x14ac:dyDescent="0.3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 t="str">
        <f t="shared" si="12"/>
        <v>31-60 days</v>
      </c>
      <c r="L805">
        <v>56</v>
      </c>
      <c r="M805">
        <v>3</v>
      </c>
      <c r="N805">
        <v>0</v>
      </c>
      <c r="O805" t="s">
        <v>25</v>
      </c>
      <c r="P805" t="s">
        <v>35</v>
      </c>
      <c r="Q805">
        <v>3.8</v>
      </c>
      <c r="R805">
        <v>35</v>
      </c>
      <c r="S805" t="s">
        <v>27</v>
      </c>
    </row>
    <row r="806" spans="1:19" x14ac:dyDescent="0.3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 t="str">
        <f t="shared" si="12"/>
        <v>15-30 days</v>
      </c>
      <c r="L806">
        <v>18</v>
      </c>
      <c r="M806">
        <v>5</v>
      </c>
      <c r="N806">
        <v>1</v>
      </c>
      <c r="O806" t="s">
        <v>25</v>
      </c>
      <c r="P806" t="s">
        <v>50</v>
      </c>
      <c r="Q806">
        <v>6.3</v>
      </c>
      <c r="R806">
        <v>32</v>
      </c>
      <c r="S806" t="s">
        <v>27</v>
      </c>
    </row>
    <row r="807" spans="1:19" x14ac:dyDescent="0.3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 t="str">
        <f t="shared" si="12"/>
        <v>8-14 days</v>
      </c>
      <c r="L807">
        <v>9</v>
      </c>
      <c r="M807">
        <v>3</v>
      </c>
      <c r="N807">
        <v>1</v>
      </c>
      <c r="O807" t="s">
        <v>54</v>
      </c>
      <c r="P807" t="s">
        <v>55</v>
      </c>
      <c r="Q807">
        <v>6.2</v>
      </c>
      <c r="R807">
        <v>21</v>
      </c>
      <c r="S807" t="s">
        <v>36</v>
      </c>
    </row>
    <row r="808" spans="1:19" x14ac:dyDescent="0.3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 t="str">
        <f t="shared" si="12"/>
        <v>15-30 days</v>
      </c>
      <c r="L808">
        <v>26</v>
      </c>
      <c r="M808">
        <v>4</v>
      </c>
      <c r="N808">
        <v>1</v>
      </c>
      <c r="O808" t="s">
        <v>25</v>
      </c>
      <c r="P808" t="s">
        <v>35</v>
      </c>
      <c r="Q808">
        <v>5.8</v>
      </c>
      <c r="R808">
        <v>10</v>
      </c>
      <c r="S808" t="s">
        <v>36</v>
      </c>
    </row>
    <row r="809" spans="1:19" x14ac:dyDescent="0.3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 t="str">
        <f t="shared" si="12"/>
        <v>31-60 days</v>
      </c>
      <c r="L809">
        <v>60</v>
      </c>
      <c r="M809">
        <v>4</v>
      </c>
      <c r="N809">
        <v>0</v>
      </c>
      <c r="O809" t="s">
        <v>25</v>
      </c>
      <c r="P809" t="s">
        <v>35</v>
      </c>
      <c r="Q809">
        <v>11.9</v>
      </c>
      <c r="R809">
        <v>34</v>
      </c>
      <c r="S809" t="s">
        <v>36</v>
      </c>
    </row>
    <row r="810" spans="1:19" x14ac:dyDescent="0.3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 t="str">
        <f t="shared" si="12"/>
        <v>15-30 days</v>
      </c>
      <c r="L810">
        <v>29</v>
      </c>
      <c r="M810">
        <v>3</v>
      </c>
      <c r="N810">
        <v>0</v>
      </c>
      <c r="O810" t="s">
        <v>25</v>
      </c>
      <c r="P810" t="s">
        <v>35</v>
      </c>
      <c r="Q810">
        <v>10</v>
      </c>
      <c r="R810">
        <v>37</v>
      </c>
      <c r="S810" t="s">
        <v>27</v>
      </c>
    </row>
    <row r="811" spans="1:19" x14ac:dyDescent="0.3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 t="str">
        <f t="shared" si="12"/>
        <v>15-30 days</v>
      </c>
      <c r="L811">
        <v>23</v>
      </c>
      <c r="M811">
        <v>3</v>
      </c>
      <c r="N811">
        <v>1</v>
      </c>
      <c r="O811" t="s">
        <v>25</v>
      </c>
      <c r="P811" t="s">
        <v>35</v>
      </c>
      <c r="Q811">
        <v>5</v>
      </c>
      <c r="R811">
        <v>51</v>
      </c>
      <c r="S811" t="s">
        <v>27</v>
      </c>
    </row>
    <row r="812" spans="1:19" x14ac:dyDescent="0.3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 t="str">
        <f t="shared" si="12"/>
        <v>31-60 days</v>
      </c>
      <c r="L812">
        <v>40</v>
      </c>
      <c r="M812">
        <v>8</v>
      </c>
      <c r="N812">
        <v>1</v>
      </c>
      <c r="O812" t="s">
        <v>25</v>
      </c>
      <c r="P812" t="s">
        <v>35</v>
      </c>
      <c r="Q812">
        <v>6</v>
      </c>
      <c r="R812">
        <v>35</v>
      </c>
      <c r="S812" t="s">
        <v>36</v>
      </c>
    </row>
    <row r="813" spans="1:19" x14ac:dyDescent="0.3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 t="str">
        <f t="shared" si="12"/>
        <v>31-60 days</v>
      </c>
      <c r="L813">
        <v>39</v>
      </c>
      <c r="M813">
        <v>2</v>
      </c>
      <c r="N813">
        <v>0</v>
      </c>
      <c r="O813" t="s">
        <v>25</v>
      </c>
      <c r="P813" t="s">
        <v>50</v>
      </c>
      <c r="Q813">
        <v>35</v>
      </c>
      <c r="R813">
        <v>17</v>
      </c>
      <c r="S813" t="s">
        <v>27</v>
      </c>
    </row>
    <row r="814" spans="1:19" x14ac:dyDescent="0.3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 t="str">
        <f t="shared" si="12"/>
        <v>15-30 days</v>
      </c>
      <c r="L814">
        <v>18</v>
      </c>
      <c r="M814">
        <v>5</v>
      </c>
      <c r="N814">
        <v>0</v>
      </c>
      <c r="O814" t="s">
        <v>54</v>
      </c>
      <c r="P814" t="s">
        <v>55</v>
      </c>
      <c r="Q814">
        <v>10.3</v>
      </c>
      <c r="R814">
        <v>18</v>
      </c>
      <c r="S814" t="s">
        <v>36</v>
      </c>
    </row>
    <row r="815" spans="1:19" x14ac:dyDescent="0.3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 t="str">
        <f t="shared" si="12"/>
        <v>31-60 days</v>
      </c>
      <c r="L815">
        <v>59</v>
      </c>
      <c r="M815">
        <v>2</v>
      </c>
      <c r="N815">
        <v>1</v>
      </c>
      <c r="O815" t="s">
        <v>54</v>
      </c>
      <c r="P815" t="s">
        <v>55</v>
      </c>
      <c r="Q815">
        <v>0.6</v>
      </c>
      <c r="R815">
        <v>2</v>
      </c>
      <c r="S815" t="s">
        <v>71</v>
      </c>
    </row>
    <row r="816" spans="1:19" x14ac:dyDescent="0.3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 t="str">
        <f t="shared" si="12"/>
        <v>31-60 days</v>
      </c>
      <c r="L816">
        <v>36</v>
      </c>
      <c r="M816">
        <v>3</v>
      </c>
      <c r="N816">
        <v>0</v>
      </c>
      <c r="O816" t="s">
        <v>25</v>
      </c>
      <c r="P816" t="s">
        <v>35</v>
      </c>
      <c r="Q816">
        <v>4.5</v>
      </c>
      <c r="R816">
        <v>15</v>
      </c>
      <c r="S816" t="s">
        <v>27</v>
      </c>
    </row>
    <row r="817" spans="1:19" x14ac:dyDescent="0.3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 t="str">
        <f t="shared" si="12"/>
        <v>0-7 days</v>
      </c>
      <c r="L817">
        <v>3</v>
      </c>
      <c r="M817">
        <v>6</v>
      </c>
      <c r="N817">
        <v>0</v>
      </c>
      <c r="O817" t="s">
        <v>25</v>
      </c>
      <c r="P817" t="s">
        <v>35</v>
      </c>
      <c r="Q817">
        <v>5.8</v>
      </c>
      <c r="R817">
        <v>10</v>
      </c>
      <c r="S817" t="s">
        <v>36</v>
      </c>
    </row>
    <row r="818" spans="1:19" x14ac:dyDescent="0.3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 t="str">
        <f t="shared" si="12"/>
        <v>15-30 days</v>
      </c>
      <c r="L818">
        <v>24</v>
      </c>
      <c r="M818">
        <v>4</v>
      </c>
      <c r="N818">
        <v>3</v>
      </c>
      <c r="O818" t="s">
        <v>54</v>
      </c>
      <c r="P818" t="s">
        <v>55</v>
      </c>
      <c r="Q818">
        <v>29.1</v>
      </c>
      <c r="R818">
        <v>30</v>
      </c>
      <c r="S818" t="s">
        <v>27</v>
      </c>
    </row>
    <row r="819" spans="1:19" x14ac:dyDescent="0.3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 t="str">
        <f t="shared" si="12"/>
        <v>31-60 days</v>
      </c>
      <c r="L819">
        <v>56</v>
      </c>
      <c r="M819">
        <v>3</v>
      </c>
      <c r="N819">
        <v>0</v>
      </c>
      <c r="O819" t="s">
        <v>25</v>
      </c>
      <c r="P819" t="s">
        <v>35</v>
      </c>
      <c r="Q819">
        <v>6.1</v>
      </c>
      <c r="R819">
        <v>35</v>
      </c>
      <c r="S819" t="s">
        <v>27</v>
      </c>
    </row>
    <row r="820" spans="1:19" x14ac:dyDescent="0.3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 t="str">
        <f t="shared" si="12"/>
        <v>15-30 days</v>
      </c>
      <c r="L820">
        <v>23</v>
      </c>
      <c r="M820">
        <v>2</v>
      </c>
      <c r="N820">
        <v>0</v>
      </c>
      <c r="O820" t="s">
        <v>25</v>
      </c>
      <c r="P820" t="s">
        <v>35</v>
      </c>
      <c r="Q820">
        <v>6.4</v>
      </c>
      <c r="R820">
        <v>49</v>
      </c>
      <c r="S820" t="s">
        <v>36</v>
      </c>
    </row>
    <row r="821" spans="1:19" x14ac:dyDescent="0.3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 t="str">
        <f t="shared" si="12"/>
        <v>31-60 days</v>
      </c>
      <c r="L821">
        <v>34</v>
      </c>
      <c r="M821">
        <v>1</v>
      </c>
      <c r="N821">
        <v>0</v>
      </c>
      <c r="O821" t="s">
        <v>25</v>
      </c>
      <c r="P821" t="s">
        <v>35</v>
      </c>
      <c r="Q821">
        <v>2.1</v>
      </c>
      <c r="R821">
        <v>58</v>
      </c>
      <c r="S821" t="s">
        <v>27</v>
      </c>
    </row>
    <row r="822" spans="1:19" x14ac:dyDescent="0.3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 t="str">
        <f t="shared" si="12"/>
        <v>31-60 days</v>
      </c>
      <c r="L822">
        <v>37</v>
      </c>
      <c r="M822">
        <v>0</v>
      </c>
      <c r="N822">
        <v>0</v>
      </c>
      <c r="O822" t="s">
        <v>25</v>
      </c>
      <c r="P822" t="s">
        <v>26</v>
      </c>
      <c r="Q822">
        <v>8.6999999999999993</v>
      </c>
      <c r="R822">
        <v>27</v>
      </c>
      <c r="S822" t="s">
        <v>27</v>
      </c>
    </row>
    <row r="823" spans="1:19" x14ac:dyDescent="0.3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 t="str">
        <f t="shared" si="12"/>
        <v>31-60 days</v>
      </c>
      <c r="L823">
        <v>42</v>
      </c>
      <c r="M823">
        <v>3</v>
      </c>
      <c r="N823">
        <v>0</v>
      </c>
      <c r="O823" t="s">
        <v>25</v>
      </c>
      <c r="P823" t="s">
        <v>35</v>
      </c>
      <c r="Q823">
        <v>13.9</v>
      </c>
      <c r="R823">
        <v>18</v>
      </c>
      <c r="S823" t="s">
        <v>27</v>
      </c>
    </row>
    <row r="824" spans="1:19" x14ac:dyDescent="0.3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 t="str">
        <f t="shared" si="12"/>
        <v>31-60 days</v>
      </c>
      <c r="L824">
        <v>53</v>
      </c>
      <c r="M824">
        <v>3</v>
      </c>
      <c r="N824">
        <v>0</v>
      </c>
      <c r="O824" t="s">
        <v>54</v>
      </c>
      <c r="P824" t="s">
        <v>55</v>
      </c>
      <c r="Q824">
        <v>8.3000000000000007</v>
      </c>
      <c r="R824">
        <v>20</v>
      </c>
      <c r="S824" t="s">
        <v>27</v>
      </c>
    </row>
    <row r="825" spans="1:19" x14ac:dyDescent="0.3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 t="str">
        <f t="shared" si="12"/>
        <v>8-14 days</v>
      </c>
      <c r="L825">
        <v>9</v>
      </c>
      <c r="M825">
        <v>2</v>
      </c>
      <c r="N825">
        <v>0</v>
      </c>
      <c r="O825" t="s">
        <v>25</v>
      </c>
      <c r="P825" t="s">
        <v>50</v>
      </c>
      <c r="Q825">
        <v>6</v>
      </c>
      <c r="R825">
        <v>16</v>
      </c>
      <c r="S825" t="s">
        <v>27</v>
      </c>
    </row>
    <row r="826" spans="1:19" x14ac:dyDescent="0.3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 t="str">
        <f t="shared" si="12"/>
        <v>31-60 days</v>
      </c>
      <c r="L826">
        <v>31</v>
      </c>
      <c r="M826">
        <v>6</v>
      </c>
      <c r="N826">
        <v>1</v>
      </c>
      <c r="O826" t="s">
        <v>25</v>
      </c>
      <c r="P826" t="s">
        <v>26</v>
      </c>
      <c r="Q826">
        <v>7.4</v>
      </c>
      <c r="R826">
        <v>50</v>
      </c>
      <c r="S826" t="s">
        <v>27</v>
      </c>
    </row>
    <row r="827" spans="1:19" x14ac:dyDescent="0.3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 t="str">
        <f t="shared" si="12"/>
        <v>31-60 days</v>
      </c>
      <c r="L827">
        <v>32</v>
      </c>
      <c r="M827">
        <v>4</v>
      </c>
      <c r="N827">
        <v>0</v>
      </c>
      <c r="O827" t="s">
        <v>25</v>
      </c>
      <c r="P827" t="s">
        <v>35</v>
      </c>
      <c r="Q827">
        <v>13.5</v>
      </c>
      <c r="R827">
        <v>2</v>
      </c>
      <c r="S827" t="s">
        <v>27</v>
      </c>
    </row>
    <row r="828" spans="1:19" x14ac:dyDescent="0.3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 t="str">
        <f t="shared" si="12"/>
        <v>8-14 days</v>
      </c>
      <c r="L828">
        <v>9</v>
      </c>
      <c r="M828">
        <v>2</v>
      </c>
      <c r="N828">
        <v>0</v>
      </c>
      <c r="O828" t="s">
        <v>54</v>
      </c>
      <c r="P828" t="s">
        <v>55</v>
      </c>
      <c r="Q828">
        <v>6.9</v>
      </c>
      <c r="R828">
        <v>42</v>
      </c>
      <c r="S828" t="s">
        <v>36</v>
      </c>
    </row>
    <row r="829" spans="1:19" x14ac:dyDescent="0.3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 t="str">
        <f t="shared" si="12"/>
        <v>31-60 days</v>
      </c>
      <c r="L829">
        <v>41</v>
      </c>
      <c r="M829">
        <v>4</v>
      </c>
      <c r="N829">
        <v>2</v>
      </c>
      <c r="O829" t="s">
        <v>25</v>
      </c>
      <c r="P829" t="s">
        <v>35</v>
      </c>
      <c r="Q829">
        <v>7</v>
      </c>
      <c r="R829">
        <v>14</v>
      </c>
      <c r="S829" t="s">
        <v>27</v>
      </c>
    </row>
    <row r="830" spans="1:19" x14ac:dyDescent="0.3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 t="str">
        <f t="shared" si="12"/>
        <v>0-7 days</v>
      </c>
      <c r="L830">
        <v>7</v>
      </c>
      <c r="M830">
        <v>0</v>
      </c>
      <c r="N830">
        <v>0</v>
      </c>
      <c r="O830" t="s">
        <v>25</v>
      </c>
      <c r="P830" t="s">
        <v>35</v>
      </c>
      <c r="Q830">
        <v>11.1</v>
      </c>
      <c r="R830">
        <v>20</v>
      </c>
      <c r="S830" t="s">
        <v>27</v>
      </c>
    </row>
    <row r="831" spans="1:19" x14ac:dyDescent="0.3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 t="str">
        <f t="shared" si="12"/>
        <v>15-30 days</v>
      </c>
      <c r="L831">
        <v>27</v>
      </c>
      <c r="M831">
        <v>1</v>
      </c>
      <c r="N831">
        <v>1</v>
      </c>
      <c r="O831" t="s">
        <v>25</v>
      </c>
      <c r="P831" t="s">
        <v>35</v>
      </c>
      <c r="Q831">
        <v>5.3</v>
      </c>
      <c r="R831">
        <v>2</v>
      </c>
      <c r="S831" t="s">
        <v>36</v>
      </c>
    </row>
    <row r="832" spans="1:19" x14ac:dyDescent="0.3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 t="str">
        <f t="shared" si="12"/>
        <v>15-30 days</v>
      </c>
      <c r="L832">
        <v>20</v>
      </c>
      <c r="M832">
        <v>2</v>
      </c>
      <c r="N832">
        <v>1</v>
      </c>
      <c r="O832" t="s">
        <v>54</v>
      </c>
      <c r="P832" t="s">
        <v>55</v>
      </c>
      <c r="Q832">
        <v>4.2</v>
      </c>
      <c r="R832">
        <v>36</v>
      </c>
      <c r="S832" t="s">
        <v>36</v>
      </c>
    </row>
    <row r="833" spans="1:19" x14ac:dyDescent="0.3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 t="str">
        <f t="shared" si="12"/>
        <v>8-14 days</v>
      </c>
      <c r="L833">
        <v>9</v>
      </c>
      <c r="M833">
        <v>5</v>
      </c>
      <c r="N833">
        <v>0</v>
      </c>
      <c r="O833" t="s">
        <v>25</v>
      </c>
      <c r="P833" t="s">
        <v>50</v>
      </c>
      <c r="Q833">
        <v>2.1</v>
      </c>
      <c r="R833">
        <v>33</v>
      </c>
      <c r="S833" t="s">
        <v>36</v>
      </c>
    </row>
    <row r="834" spans="1:19" x14ac:dyDescent="0.3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 t="str">
        <f t="shared" si="12"/>
        <v>31-60 days</v>
      </c>
      <c r="L834">
        <v>50</v>
      </c>
      <c r="M834">
        <v>3</v>
      </c>
      <c r="N834">
        <v>1</v>
      </c>
      <c r="O834" t="s">
        <v>54</v>
      </c>
      <c r="P834" t="s">
        <v>55</v>
      </c>
      <c r="Q834">
        <v>7.7</v>
      </c>
      <c r="R834">
        <v>12</v>
      </c>
      <c r="S834" t="s">
        <v>27</v>
      </c>
    </row>
    <row r="835" spans="1:19" x14ac:dyDescent="0.3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 t="str">
        <f t="shared" ref="K835:K898" si="13">IF(L835&lt;=7,"0-7 days",IF(L835&lt;=14,"8-14 days",IF(L835&lt;=30,"15-30 days","31-60 days")))</f>
        <v>8-14 days</v>
      </c>
      <c r="L835">
        <v>14</v>
      </c>
      <c r="M835">
        <v>2</v>
      </c>
      <c r="N835">
        <v>1</v>
      </c>
      <c r="O835" t="s">
        <v>25</v>
      </c>
      <c r="P835" t="s">
        <v>35</v>
      </c>
      <c r="Q835">
        <v>5.2</v>
      </c>
      <c r="R835">
        <v>36</v>
      </c>
      <c r="S835" t="s">
        <v>36</v>
      </c>
    </row>
    <row r="836" spans="1:19" x14ac:dyDescent="0.3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 t="str">
        <f t="shared" si="13"/>
        <v>15-30 days</v>
      </c>
      <c r="L836">
        <v>15</v>
      </c>
      <c r="M836">
        <v>0</v>
      </c>
      <c r="N836">
        <v>0</v>
      </c>
      <c r="O836" t="s">
        <v>25</v>
      </c>
      <c r="P836" t="s">
        <v>26</v>
      </c>
      <c r="Q836">
        <v>15</v>
      </c>
      <c r="R836">
        <v>34</v>
      </c>
      <c r="S836" t="s">
        <v>27</v>
      </c>
    </row>
    <row r="837" spans="1:19" x14ac:dyDescent="0.3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 t="str">
        <f t="shared" si="13"/>
        <v>31-60 days</v>
      </c>
      <c r="L837">
        <v>52</v>
      </c>
      <c r="M837">
        <v>2</v>
      </c>
      <c r="N837">
        <v>1</v>
      </c>
      <c r="O837" t="s">
        <v>25</v>
      </c>
      <c r="P837" t="s">
        <v>35</v>
      </c>
      <c r="Q837">
        <v>7</v>
      </c>
      <c r="R837">
        <v>18</v>
      </c>
      <c r="S837" t="s">
        <v>27</v>
      </c>
    </row>
    <row r="838" spans="1:19" x14ac:dyDescent="0.3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 t="str">
        <f t="shared" si="13"/>
        <v>31-60 days</v>
      </c>
      <c r="L838">
        <v>53</v>
      </c>
      <c r="M838">
        <v>3</v>
      </c>
      <c r="N838">
        <v>0</v>
      </c>
      <c r="O838" t="s">
        <v>25</v>
      </c>
      <c r="P838" t="s">
        <v>35</v>
      </c>
      <c r="Q838">
        <v>13.8</v>
      </c>
      <c r="R838">
        <v>2</v>
      </c>
      <c r="S838" t="s">
        <v>36</v>
      </c>
    </row>
    <row r="839" spans="1:19" x14ac:dyDescent="0.3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 t="str">
        <f t="shared" si="13"/>
        <v>0-7 days</v>
      </c>
      <c r="L839">
        <v>2</v>
      </c>
      <c r="M839">
        <v>4</v>
      </c>
      <c r="N839">
        <v>2</v>
      </c>
      <c r="O839" t="s">
        <v>54</v>
      </c>
      <c r="P839" t="s">
        <v>55</v>
      </c>
      <c r="Q839">
        <v>12.2</v>
      </c>
      <c r="R839">
        <v>22</v>
      </c>
      <c r="S839" t="s">
        <v>27</v>
      </c>
    </row>
    <row r="840" spans="1:19" x14ac:dyDescent="0.3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 t="str">
        <f t="shared" si="13"/>
        <v>15-30 days</v>
      </c>
      <c r="L840">
        <v>16</v>
      </c>
      <c r="M840">
        <v>2</v>
      </c>
      <c r="N840">
        <v>0</v>
      </c>
      <c r="O840" t="s">
        <v>25</v>
      </c>
      <c r="P840" t="s">
        <v>35</v>
      </c>
      <c r="Q840">
        <v>1.9</v>
      </c>
      <c r="R840">
        <v>35</v>
      </c>
      <c r="S840" t="s">
        <v>36</v>
      </c>
    </row>
    <row r="841" spans="1:19" x14ac:dyDescent="0.3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 t="str">
        <f t="shared" si="13"/>
        <v>31-60 days</v>
      </c>
      <c r="L841">
        <v>43</v>
      </c>
      <c r="M841">
        <v>7</v>
      </c>
      <c r="N841">
        <v>2</v>
      </c>
      <c r="O841" t="s">
        <v>54</v>
      </c>
      <c r="P841" t="s">
        <v>55</v>
      </c>
      <c r="Q841">
        <v>3.3</v>
      </c>
      <c r="R841">
        <v>14</v>
      </c>
      <c r="S841" t="s">
        <v>27</v>
      </c>
    </row>
    <row r="842" spans="1:19" x14ac:dyDescent="0.3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 t="str">
        <f t="shared" si="13"/>
        <v>31-60 days</v>
      </c>
      <c r="L842">
        <v>47</v>
      </c>
      <c r="M842">
        <v>3</v>
      </c>
      <c r="N842">
        <v>1</v>
      </c>
      <c r="O842" t="s">
        <v>54</v>
      </c>
      <c r="P842" t="s">
        <v>55</v>
      </c>
      <c r="Q842">
        <v>24.9</v>
      </c>
      <c r="R842">
        <v>36</v>
      </c>
      <c r="S842" t="s">
        <v>27</v>
      </c>
    </row>
    <row r="843" spans="1:19" x14ac:dyDescent="0.3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 t="str">
        <f t="shared" si="13"/>
        <v>31-60 days</v>
      </c>
      <c r="L843">
        <v>60</v>
      </c>
      <c r="M843">
        <v>1</v>
      </c>
      <c r="N843">
        <v>0</v>
      </c>
      <c r="O843" t="s">
        <v>25</v>
      </c>
      <c r="P843" t="s">
        <v>35</v>
      </c>
      <c r="Q843">
        <v>5.4</v>
      </c>
      <c r="R843">
        <v>15</v>
      </c>
      <c r="S843" t="s">
        <v>27</v>
      </c>
    </row>
    <row r="844" spans="1:19" x14ac:dyDescent="0.3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 t="str">
        <f t="shared" si="13"/>
        <v>31-60 days</v>
      </c>
      <c r="L844">
        <v>33</v>
      </c>
      <c r="M844">
        <v>5</v>
      </c>
      <c r="N844">
        <v>1</v>
      </c>
      <c r="O844" t="s">
        <v>25</v>
      </c>
      <c r="P844" t="s">
        <v>50</v>
      </c>
      <c r="Q844">
        <v>10.6</v>
      </c>
      <c r="R844">
        <v>23</v>
      </c>
      <c r="S844" t="s">
        <v>36</v>
      </c>
    </row>
    <row r="845" spans="1:19" x14ac:dyDescent="0.3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 t="str">
        <f t="shared" si="13"/>
        <v>0-7 days</v>
      </c>
      <c r="L845">
        <v>0</v>
      </c>
      <c r="M845">
        <v>5</v>
      </c>
      <c r="N845">
        <v>1</v>
      </c>
      <c r="O845" t="s">
        <v>54</v>
      </c>
      <c r="P845" t="s">
        <v>55</v>
      </c>
      <c r="Q845">
        <v>7.6</v>
      </c>
      <c r="R845">
        <v>16</v>
      </c>
      <c r="S845" t="s">
        <v>36</v>
      </c>
    </row>
    <row r="846" spans="1:19" x14ac:dyDescent="0.3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 t="str">
        <f t="shared" si="13"/>
        <v>31-60 days</v>
      </c>
      <c r="L846">
        <v>53</v>
      </c>
      <c r="M846">
        <v>7</v>
      </c>
      <c r="N846">
        <v>3</v>
      </c>
      <c r="O846" t="s">
        <v>25</v>
      </c>
      <c r="P846" t="s">
        <v>50</v>
      </c>
      <c r="Q846">
        <v>2</v>
      </c>
      <c r="R846">
        <v>26</v>
      </c>
      <c r="S846" t="s">
        <v>27</v>
      </c>
    </row>
    <row r="847" spans="1:19" x14ac:dyDescent="0.3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 t="str">
        <f t="shared" si="13"/>
        <v>8-14 days</v>
      </c>
      <c r="L847">
        <v>9</v>
      </c>
      <c r="M847">
        <v>2</v>
      </c>
      <c r="N847">
        <v>0</v>
      </c>
      <c r="O847" t="s">
        <v>25</v>
      </c>
      <c r="P847" t="s">
        <v>26</v>
      </c>
      <c r="Q847">
        <v>4.5</v>
      </c>
      <c r="R847">
        <v>33</v>
      </c>
      <c r="S847" t="s">
        <v>27</v>
      </c>
    </row>
    <row r="848" spans="1:19" x14ac:dyDescent="0.3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 t="str">
        <f t="shared" si="13"/>
        <v>0-7 days</v>
      </c>
      <c r="L848">
        <v>7</v>
      </c>
      <c r="M848">
        <v>0</v>
      </c>
      <c r="N848">
        <v>0</v>
      </c>
      <c r="O848" t="s">
        <v>54</v>
      </c>
      <c r="P848" t="s">
        <v>55</v>
      </c>
      <c r="Q848">
        <v>3.8</v>
      </c>
      <c r="R848">
        <v>42</v>
      </c>
      <c r="S848" t="s">
        <v>71</v>
      </c>
    </row>
    <row r="849" spans="1:19" x14ac:dyDescent="0.3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 t="str">
        <f t="shared" si="13"/>
        <v>31-60 days</v>
      </c>
      <c r="L849">
        <v>41</v>
      </c>
      <c r="M849">
        <v>3</v>
      </c>
      <c r="N849">
        <v>0</v>
      </c>
      <c r="O849" t="s">
        <v>25</v>
      </c>
      <c r="P849" t="s">
        <v>35</v>
      </c>
      <c r="Q849">
        <v>13.1</v>
      </c>
      <c r="R849">
        <v>26</v>
      </c>
      <c r="S849" t="s">
        <v>36</v>
      </c>
    </row>
    <row r="850" spans="1:19" x14ac:dyDescent="0.3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 t="str">
        <f t="shared" si="13"/>
        <v>31-60 days</v>
      </c>
      <c r="L850">
        <v>36</v>
      </c>
      <c r="M850">
        <v>2</v>
      </c>
      <c r="N850">
        <v>0</v>
      </c>
      <c r="O850" t="s">
        <v>54</v>
      </c>
      <c r="P850" t="s">
        <v>55</v>
      </c>
      <c r="Q850">
        <v>4.4000000000000004</v>
      </c>
      <c r="R850">
        <v>7</v>
      </c>
      <c r="S850" t="s">
        <v>36</v>
      </c>
    </row>
    <row r="851" spans="1:19" x14ac:dyDescent="0.3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 t="str">
        <f t="shared" si="13"/>
        <v>0-7 days</v>
      </c>
      <c r="L851">
        <v>3</v>
      </c>
      <c r="M851">
        <v>5</v>
      </c>
      <c r="N851">
        <v>0</v>
      </c>
      <c r="O851" t="s">
        <v>25</v>
      </c>
      <c r="P851" t="s">
        <v>26</v>
      </c>
      <c r="Q851">
        <v>11.3</v>
      </c>
      <c r="R851">
        <v>31</v>
      </c>
      <c r="S851" t="s">
        <v>36</v>
      </c>
    </row>
    <row r="852" spans="1:19" x14ac:dyDescent="0.3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 t="str">
        <f t="shared" si="13"/>
        <v>8-14 days</v>
      </c>
      <c r="L852">
        <v>10</v>
      </c>
      <c r="M852">
        <v>1</v>
      </c>
      <c r="N852">
        <v>0</v>
      </c>
      <c r="O852" t="s">
        <v>25</v>
      </c>
      <c r="P852" t="s">
        <v>26</v>
      </c>
      <c r="Q852">
        <v>2.9</v>
      </c>
      <c r="R852">
        <v>21</v>
      </c>
      <c r="S852" t="s">
        <v>27</v>
      </c>
    </row>
    <row r="853" spans="1:19" x14ac:dyDescent="0.3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 t="str">
        <f t="shared" si="13"/>
        <v>31-60 days</v>
      </c>
      <c r="L853">
        <v>35</v>
      </c>
      <c r="M853">
        <v>6</v>
      </c>
      <c r="N853">
        <v>1</v>
      </c>
      <c r="O853" t="s">
        <v>25</v>
      </c>
      <c r="P853" t="s">
        <v>26</v>
      </c>
      <c r="Q853">
        <v>0.9</v>
      </c>
      <c r="R853">
        <v>20</v>
      </c>
      <c r="S853" t="s">
        <v>36</v>
      </c>
    </row>
    <row r="854" spans="1:19" x14ac:dyDescent="0.3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 t="str">
        <f t="shared" si="13"/>
        <v>15-30 days</v>
      </c>
      <c r="L854">
        <v>15</v>
      </c>
      <c r="M854">
        <v>5</v>
      </c>
      <c r="N854">
        <v>0</v>
      </c>
      <c r="O854" t="s">
        <v>54</v>
      </c>
      <c r="P854" t="s">
        <v>55</v>
      </c>
      <c r="Q854">
        <v>8.8000000000000007</v>
      </c>
      <c r="R854">
        <v>25</v>
      </c>
      <c r="S854" t="s">
        <v>36</v>
      </c>
    </row>
    <row r="855" spans="1:19" x14ac:dyDescent="0.3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 t="str">
        <f t="shared" si="13"/>
        <v>31-60 days</v>
      </c>
      <c r="L855">
        <v>41</v>
      </c>
      <c r="M855">
        <v>5</v>
      </c>
      <c r="N855">
        <v>0</v>
      </c>
      <c r="O855" t="s">
        <v>54</v>
      </c>
      <c r="P855" t="s">
        <v>55</v>
      </c>
      <c r="Q855">
        <v>10.9</v>
      </c>
      <c r="R855">
        <v>30</v>
      </c>
      <c r="S855" t="s">
        <v>36</v>
      </c>
    </row>
    <row r="856" spans="1:19" x14ac:dyDescent="0.3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 t="str">
        <f t="shared" si="13"/>
        <v>15-30 days</v>
      </c>
      <c r="L856">
        <v>25</v>
      </c>
      <c r="M856">
        <v>4</v>
      </c>
      <c r="N856">
        <v>0</v>
      </c>
      <c r="O856" t="s">
        <v>25</v>
      </c>
      <c r="P856" t="s">
        <v>26</v>
      </c>
      <c r="Q856">
        <v>6.2</v>
      </c>
      <c r="R856">
        <v>19</v>
      </c>
      <c r="S856" t="s">
        <v>36</v>
      </c>
    </row>
    <row r="857" spans="1:19" x14ac:dyDescent="0.3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 t="str">
        <f t="shared" si="13"/>
        <v>31-60 days</v>
      </c>
      <c r="L857">
        <v>35</v>
      </c>
      <c r="M857">
        <v>4</v>
      </c>
      <c r="N857">
        <v>2</v>
      </c>
      <c r="O857" t="s">
        <v>25</v>
      </c>
      <c r="P857" t="s">
        <v>26</v>
      </c>
      <c r="Q857">
        <v>8.6</v>
      </c>
      <c r="R857">
        <v>30</v>
      </c>
      <c r="S857" t="s">
        <v>36</v>
      </c>
    </row>
    <row r="858" spans="1:19" x14ac:dyDescent="0.3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 t="str">
        <f t="shared" si="13"/>
        <v>15-30 days</v>
      </c>
      <c r="L858">
        <v>28</v>
      </c>
      <c r="M858">
        <v>1</v>
      </c>
      <c r="N858">
        <v>0</v>
      </c>
      <c r="O858" t="s">
        <v>25</v>
      </c>
      <c r="P858" t="s">
        <v>35</v>
      </c>
      <c r="Q858">
        <v>2.5</v>
      </c>
      <c r="R858">
        <v>28</v>
      </c>
      <c r="S858" t="s">
        <v>36</v>
      </c>
    </row>
    <row r="859" spans="1:19" x14ac:dyDescent="0.3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 t="str">
        <f t="shared" si="13"/>
        <v>15-30 days</v>
      </c>
      <c r="L859">
        <v>22</v>
      </c>
      <c r="M859">
        <v>2</v>
      </c>
      <c r="N859">
        <v>0</v>
      </c>
      <c r="O859" t="s">
        <v>25</v>
      </c>
      <c r="P859" t="s">
        <v>26</v>
      </c>
      <c r="Q859">
        <v>6.6</v>
      </c>
      <c r="R859">
        <v>30</v>
      </c>
      <c r="S859" t="s">
        <v>36</v>
      </c>
    </row>
    <row r="860" spans="1:19" x14ac:dyDescent="0.3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 t="str">
        <f t="shared" si="13"/>
        <v>15-30 days</v>
      </c>
      <c r="L860">
        <v>20</v>
      </c>
      <c r="M860">
        <v>5</v>
      </c>
      <c r="N860">
        <v>2</v>
      </c>
      <c r="O860" t="s">
        <v>25</v>
      </c>
      <c r="P860" t="s">
        <v>26</v>
      </c>
      <c r="Q860">
        <v>15</v>
      </c>
      <c r="R860">
        <v>34</v>
      </c>
      <c r="S860" t="s">
        <v>27</v>
      </c>
    </row>
    <row r="861" spans="1:19" x14ac:dyDescent="0.3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 t="str">
        <f t="shared" si="13"/>
        <v>31-60 days</v>
      </c>
      <c r="L861">
        <v>42</v>
      </c>
      <c r="M861">
        <v>4</v>
      </c>
      <c r="N861">
        <v>2</v>
      </c>
      <c r="O861" t="s">
        <v>25</v>
      </c>
      <c r="P861" t="s">
        <v>26</v>
      </c>
      <c r="Q861">
        <v>25.5</v>
      </c>
      <c r="R861">
        <v>2</v>
      </c>
      <c r="S861" t="s">
        <v>36</v>
      </c>
    </row>
    <row r="862" spans="1:19" x14ac:dyDescent="0.3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 t="str">
        <f t="shared" si="13"/>
        <v>31-60 days</v>
      </c>
      <c r="L862">
        <v>31</v>
      </c>
      <c r="M862">
        <v>3</v>
      </c>
      <c r="N862">
        <v>1</v>
      </c>
      <c r="O862" t="s">
        <v>25</v>
      </c>
      <c r="P862" t="s">
        <v>26</v>
      </c>
      <c r="Q862">
        <v>7.8</v>
      </c>
      <c r="R862">
        <v>20</v>
      </c>
      <c r="S862" t="s">
        <v>27</v>
      </c>
    </row>
    <row r="863" spans="1:19" x14ac:dyDescent="0.3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 t="str">
        <f t="shared" si="13"/>
        <v>31-60 days</v>
      </c>
      <c r="L863">
        <v>36</v>
      </c>
      <c r="M863">
        <v>3</v>
      </c>
      <c r="N863">
        <v>0</v>
      </c>
      <c r="O863" t="s">
        <v>25</v>
      </c>
      <c r="P863" t="s">
        <v>26</v>
      </c>
      <c r="Q863">
        <v>10.199999999999999</v>
      </c>
      <c r="R863">
        <v>22</v>
      </c>
      <c r="S863" t="s">
        <v>27</v>
      </c>
    </row>
    <row r="864" spans="1:19" x14ac:dyDescent="0.3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 t="str">
        <f t="shared" si="13"/>
        <v>31-60 days</v>
      </c>
      <c r="L864">
        <v>35</v>
      </c>
      <c r="M864">
        <v>2</v>
      </c>
      <c r="N864">
        <v>0</v>
      </c>
      <c r="O864" t="s">
        <v>54</v>
      </c>
      <c r="P864" t="s">
        <v>55</v>
      </c>
      <c r="Q864">
        <v>15.3</v>
      </c>
      <c r="R864">
        <v>21</v>
      </c>
      <c r="S864" t="s">
        <v>36</v>
      </c>
    </row>
    <row r="865" spans="1:19" x14ac:dyDescent="0.3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 t="str">
        <f t="shared" si="13"/>
        <v>8-14 days</v>
      </c>
      <c r="L865">
        <v>12</v>
      </c>
      <c r="M865">
        <v>4</v>
      </c>
      <c r="N865">
        <v>0</v>
      </c>
      <c r="O865" t="s">
        <v>25</v>
      </c>
      <c r="P865" t="s">
        <v>35</v>
      </c>
      <c r="Q865">
        <v>9</v>
      </c>
      <c r="R865">
        <v>14</v>
      </c>
      <c r="S865" t="s">
        <v>36</v>
      </c>
    </row>
    <row r="866" spans="1:19" x14ac:dyDescent="0.3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 t="str">
        <f t="shared" si="13"/>
        <v>31-60 days</v>
      </c>
      <c r="L866">
        <v>55</v>
      </c>
      <c r="M866">
        <v>3</v>
      </c>
      <c r="N866">
        <v>1</v>
      </c>
      <c r="O866" t="s">
        <v>25</v>
      </c>
      <c r="P866" t="s">
        <v>50</v>
      </c>
      <c r="Q866">
        <v>10.7</v>
      </c>
      <c r="R866">
        <v>17</v>
      </c>
      <c r="S866" t="s">
        <v>27</v>
      </c>
    </row>
    <row r="867" spans="1:19" x14ac:dyDescent="0.3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 t="str">
        <f t="shared" si="13"/>
        <v>31-60 days</v>
      </c>
      <c r="L867">
        <v>34</v>
      </c>
      <c r="M867">
        <v>6</v>
      </c>
      <c r="N867">
        <v>0</v>
      </c>
      <c r="O867" t="s">
        <v>25</v>
      </c>
      <c r="P867" t="s">
        <v>26</v>
      </c>
      <c r="Q867">
        <v>20.6</v>
      </c>
      <c r="R867">
        <v>30</v>
      </c>
      <c r="S867" t="s">
        <v>36</v>
      </c>
    </row>
    <row r="868" spans="1:19" x14ac:dyDescent="0.3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 t="str">
        <f t="shared" si="13"/>
        <v>31-60 days</v>
      </c>
      <c r="L868">
        <v>43</v>
      </c>
      <c r="M868">
        <v>2</v>
      </c>
      <c r="N868">
        <v>0</v>
      </c>
      <c r="O868" t="s">
        <v>25</v>
      </c>
      <c r="P868" t="s">
        <v>50</v>
      </c>
      <c r="Q868">
        <v>10.3</v>
      </c>
      <c r="R868">
        <v>29</v>
      </c>
      <c r="S868" t="s">
        <v>71</v>
      </c>
    </row>
    <row r="869" spans="1:19" x14ac:dyDescent="0.3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 t="str">
        <f t="shared" si="13"/>
        <v>31-60 days</v>
      </c>
      <c r="L869">
        <v>53</v>
      </c>
      <c r="M869">
        <v>4</v>
      </c>
      <c r="N869">
        <v>0</v>
      </c>
      <c r="O869" t="s">
        <v>54</v>
      </c>
      <c r="P869" t="s">
        <v>55</v>
      </c>
      <c r="Q869">
        <v>6.4</v>
      </c>
      <c r="R869">
        <v>24</v>
      </c>
      <c r="S869" t="s">
        <v>27</v>
      </c>
    </row>
    <row r="870" spans="1:19" x14ac:dyDescent="0.3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 t="str">
        <f t="shared" si="13"/>
        <v>31-60 days</v>
      </c>
      <c r="L870">
        <v>56</v>
      </c>
      <c r="M870">
        <v>1</v>
      </c>
      <c r="N870">
        <v>0</v>
      </c>
      <c r="O870" t="s">
        <v>25</v>
      </c>
      <c r="P870" t="s">
        <v>35</v>
      </c>
      <c r="Q870">
        <v>20.399999999999999</v>
      </c>
      <c r="R870">
        <v>13</v>
      </c>
      <c r="S870" t="s">
        <v>27</v>
      </c>
    </row>
    <row r="871" spans="1:19" x14ac:dyDescent="0.3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 t="str">
        <f t="shared" si="13"/>
        <v>31-60 days</v>
      </c>
      <c r="L871">
        <v>40</v>
      </c>
      <c r="M871">
        <v>5</v>
      </c>
      <c r="N871">
        <v>0</v>
      </c>
      <c r="O871" t="s">
        <v>54</v>
      </c>
      <c r="P871" t="s">
        <v>55</v>
      </c>
      <c r="Q871">
        <v>9.6999999999999993</v>
      </c>
      <c r="R871">
        <v>33</v>
      </c>
      <c r="S871" t="s">
        <v>27</v>
      </c>
    </row>
    <row r="872" spans="1:19" x14ac:dyDescent="0.3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 t="str">
        <f t="shared" si="13"/>
        <v>31-60 days</v>
      </c>
      <c r="L872">
        <v>48</v>
      </c>
      <c r="M872">
        <v>1</v>
      </c>
      <c r="N872">
        <v>0</v>
      </c>
      <c r="O872" t="s">
        <v>25</v>
      </c>
      <c r="P872" t="s">
        <v>35</v>
      </c>
      <c r="Q872">
        <v>3.2</v>
      </c>
      <c r="R872">
        <v>33</v>
      </c>
      <c r="S872" t="s">
        <v>36</v>
      </c>
    </row>
    <row r="873" spans="1:19" x14ac:dyDescent="0.3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 t="str">
        <f t="shared" si="13"/>
        <v>15-30 days</v>
      </c>
      <c r="L873">
        <v>28</v>
      </c>
      <c r="M873">
        <v>3</v>
      </c>
      <c r="N873">
        <v>0</v>
      </c>
      <c r="O873" t="s">
        <v>25</v>
      </c>
      <c r="P873" t="s">
        <v>35</v>
      </c>
      <c r="Q873">
        <v>6.9</v>
      </c>
      <c r="R873">
        <v>36</v>
      </c>
      <c r="S873" t="s">
        <v>36</v>
      </c>
    </row>
    <row r="874" spans="1:19" x14ac:dyDescent="0.3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 t="str">
        <f t="shared" si="13"/>
        <v>31-60 days</v>
      </c>
      <c r="L874">
        <v>45</v>
      </c>
      <c r="M874">
        <v>4</v>
      </c>
      <c r="N874">
        <v>1</v>
      </c>
      <c r="O874" t="s">
        <v>25</v>
      </c>
      <c r="P874" t="s">
        <v>50</v>
      </c>
      <c r="Q874">
        <v>27.4</v>
      </c>
      <c r="R874">
        <v>15</v>
      </c>
      <c r="S874" t="s">
        <v>27</v>
      </c>
    </row>
    <row r="875" spans="1:19" x14ac:dyDescent="0.3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 t="str">
        <f t="shared" si="13"/>
        <v>15-30 days</v>
      </c>
      <c r="L875">
        <v>19</v>
      </c>
      <c r="M875">
        <v>2</v>
      </c>
      <c r="N875">
        <v>0</v>
      </c>
      <c r="O875" t="s">
        <v>25</v>
      </c>
      <c r="P875" t="s">
        <v>35</v>
      </c>
      <c r="Q875">
        <v>16</v>
      </c>
      <c r="R875">
        <v>64</v>
      </c>
      <c r="S875" t="s">
        <v>27</v>
      </c>
    </row>
    <row r="876" spans="1:19" x14ac:dyDescent="0.3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 t="str">
        <f t="shared" si="13"/>
        <v>31-60 days</v>
      </c>
      <c r="L876">
        <v>43</v>
      </c>
      <c r="M876">
        <v>2</v>
      </c>
      <c r="N876">
        <v>0</v>
      </c>
      <c r="O876" t="s">
        <v>25</v>
      </c>
      <c r="P876" t="s">
        <v>35</v>
      </c>
      <c r="Q876">
        <v>5.5</v>
      </c>
      <c r="R876">
        <v>26</v>
      </c>
      <c r="S876" t="s">
        <v>36</v>
      </c>
    </row>
    <row r="877" spans="1:19" x14ac:dyDescent="0.3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 t="str">
        <f t="shared" si="13"/>
        <v>0-7 days</v>
      </c>
      <c r="L877">
        <v>5</v>
      </c>
      <c r="M877">
        <v>4</v>
      </c>
      <c r="N877">
        <v>1</v>
      </c>
      <c r="O877" t="s">
        <v>25</v>
      </c>
      <c r="P877" t="s">
        <v>26</v>
      </c>
      <c r="Q877">
        <v>17.399999999999999</v>
      </c>
      <c r="R877">
        <v>16</v>
      </c>
      <c r="S877" t="s">
        <v>36</v>
      </c>
    </row>
    <row r="878" spans="1:19" x14ac:dyDescent="0.3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 t="str">
        <f t="shared" si="13"/>
        <v>31-60 days</v>
      </c>
      <c r="L878">
        <v>55</v>
      </c>
      <c r="M878">
        <v>5</v>
      </c>
      <c r="N878">
        <v>1</v>
      </c>
      <c r="O878" t="s">
        <v>25</v>
      </c>
      <c r="P878" t="s">
        <v>50</v>
      </c>
      <c r="Q878">
        <v>6.9</v>
      </c>
      <c r="R878">
        <v>50</v>
      </c>
      <c r="S878" t="s">
        <v>27</v>
      </c>
    </row>
    <row r="879" spans="1:19" x14ac:dyDescent="0.3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 t="str">
        <f t="shared" si="13"/>
        <v>8-14 days</v>
      </c>
      <c r="L879">
        <v>14</v>
      </c>
      <c r="M879">
        <v>2</v>
      </c>
      <c r="N879">
        <v>0</v>
      </c>
      <c r="O879" t="s">
        <v>54</v>
      </c>
      <c r="P879" t="s">
        <v>55</v>
      </c>
      <c r="Q879">
        <v>4.5</v>
      </c>
      <c r="R879">
        <v>32</v>
      </c>
      <c r="S879" t="s">
        <v>27</v>
      </c>
    </row>
    <row r="880" spans="1:19" x14ac:dyDescent="0.3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 t="str">
        <f t="shared" si="13"/>
        <v>31-60 days</v>
      </c>
      <c r="L880">
        <v>40</v>
      </c>
      <c r="M880">
        <v>2</v>
      </c>
      <c r="N880">
        <v>0</v>
      </c>
      <c r="O880" t="s">
        <v>25</v>
      </c>
      <c r="P880" t="s">
        <v>35</v>
      </c>
      <c r="Q880">
        <v>15.2</v>
      </c>
      <c r="R880">
        <v>26</v>
      </c>
      <c r="S880" t="s">
        <v>36</v>
      </c>
    </row>
    <row r="881" spans="1:19" x14ac:dyDescent="0.3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 t="str">
        <f t="shared" si="13"/>
        <v>0-7 days</v>
      </c>
      <c r="L881">
        <v>0</v>
      </c>
      <c r="M881">
        <v>4</v>
      </c>
      <c r="N881">
        <v>0</v>
      </c>
      <c r="O881" t="s">
        <v>25</v>
      </c>
      <c r="P881" t="s">
        <v>26</v>
      </c>
      <c r="Q881">
        <v>3.3</v>
      </c>
      <c r="R881">
        <v>28</v>
      </c>
      <c r="S881" t="s">
        <v>36</v>
      </c>
    </row>
    <row r="882" spans="1:19" x14ac:dyDescent="0.3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 t="str">
        <f t="shared" si="13"/>
        <v>8-14 days</v>
      </c>
      <c r="L882">
        <v>9</v>
      </c>
      <c r="M882">
        <v>4</v>
      </c>
      <c r="N882">
        <v>0</v>
      </c>
      <c r="O882" t="s">
        <v>25</v>
      </c>
      <c r="P882" t="s">
        <v>35</v>
      </c>
      <c r="Q882">
        <v>4.5999999999999996</v>
      </c>
      <c r="R882">
        <v>38</v>
      </c>
      <c r="S882" t="s">
        <v>36</v>
      </c>
    </row>
    <row r="883" spans="1:19" x14ac:dyDescent="0.3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 t="str">
        <f t="shared" si="13"/>
        <v>31-60 days</v>
      </c>
      <c r="L883">
        <v>60</v>
      </c>
      <c r="M883">
        <v>1</v>
      </c>
      <c r="N883">
        <v>0</v>
      </c>
      <c r="O883" t="s">
        <v>25</v>
      </c>
      <c r="P883" t="s">
        <v>26</v>
      </c>
      <c r="Q883">
        <v>8.9</v>
      </c>
      <c r="R883">
        <v>27</v>
      </c>
      <c r="S883" t="s">
        <v>36</v>
      </c>
    </row>
    <row r="884" spans="1:19" x14ac:dyDescent="0.3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 t="str">
        <f t="shared" si="13"/>
        <v>31-60 days</v>
      </c>
      <c r="L884">
        <v>50</v>
      </c>
      <c r="M884">
        <v>6</v>
      </c>
      <c r="N884">
        <v>4</v>
      </c>
      <c r="O884" t="s">
        <v>54</v>
      </c>
      <c r="P884" t="s">
        <v>55</v>
      </c>
      <c r="Q884">
        <v>10</v>
      </c>
      <c r="R884">
        <v>5</v>
      </c>
      <c r="S884" t="s">
        <v>27</v>
      </c>
    </row>
    <row r="885" spans="1:19" x14ac:dyDescent="0.3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 t="str">
        <f t="shared" si="13"/>
        <v>8-14 days</v>
      </c>
      <c r="L885">
        <v>13</v>
      </c>
      <c r="M885">
        <v>3</v>
      </c>
      <c r="N885">
        <v>0</v>
      </c>
      <c r="O885" t="s">
        <v>54</v>
      </c>
      <c r="P885" t="s">
        <v>55</v>
      </c>
      <c r="Q885">
        <v>13.7</v>
      </c>
      <c r="R885">
        <v>24</v>
      </c>
      <c r="S885" t="s">
        <v>36</v>
      </c>
    </row>
    <row r="886" spans="1:19" x14ac:dyDescent="0.3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 t="str">
        <f t="shared" si="13"/>
        <v>0-7 days</v>
      </c>
      <c r="L886">
        <v>7</v>
      </c>
      <c r="M886">
        <v>2</v>
      </c>
      <c r="N886">
        <v>0</v>
      </c>
      <c r="O886" t="s">
        <v>25</v>
      </c>
      <c r="P886" t="s">
        <v>35</v>
      </c>
      <c r="Q886">
        <v>3.9</v>
      </c>
      <c r="R886">
        <v>34</v>
      </c>
      <c r="S886" t="s">
        <v>36</v>
      </c>
    </row>
    <row r="887" spans="1:19" x14ac:dyDescent="0.3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 t="str">
        <f t="shared" si="13"/>
        <v>31-60 days</v>
      </c>
      <c r="L887">
        <v>49</v>
      </c>
      <c r="M887">
        <v>9</v>
      </c>
      <c r="N887">
        <v>0</v>
      </c>
      <c r="O887" t="s">
        <v>54</v>
      </c>
      <c r="P887" t="s">
        <v>55</v>
      </c>
      <c r="Q887">
        <v>9</v>
      </c>
      <c r="R887">
        <v>23</v>
      </c>
      <c r="S887" t="s">
        <v>36</v>
      </c>
    </row>
    <row r="888" spans="1:19" x14ac:dyDescent="0.3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 t="str">
        <f t="shared" si="13"/>
        <v>31-60 days</v>
      </c>
      <c r="L888">
        <v>60</v>
      </c>
      <c r="M888">
        <v>5</v>
      </c>
      <c r="N888">
        <v>1</v>
      </c>
      <c r="O888" t="s">
        <v>25</v>
      </c>
      <c r="P888" t="s">
        <v>35</v>
      </c>
      <c r="Q888">
        <v>1.2</v>
      </c>
      <c r="R888">
        <v>13</v>
      </c>
      <c r="S888" t="s">
        <v>36</v>
      </c>
    </row>
    <row r="889" spans="1:19" x14ac:dyDescent="0.3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 t="str">
        <f t="shared" si="13"/>
        <v>8-14 days</v>
      </c>
      <c r="L889">
        <v>10</v>
      </c>
      <c r="M889">
        <v>4</v>
      </c>
      <c r="N889">
        <v>0</v>
      </c>
      <c r="O889" t="s">
        <v>54</v>
      </c>
      <c r="P889" t="s">
        <v>55</v>
      </c>
      <c r="Q889">
        <v>1.4</v>
      </c>
      <c r="S889" t="s">
        <v>36</v>
      </c>
    </row>
    <row r="890" spans="1:19" x14ac:dyDescent="0.3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 t="str">
        <f t="shared" si="13"/>
        <v>31-60 days</v>
      </c>
      <c r="L890">
        <v>40</v>
      </c>
      <c r="M890">
        <v>1</v>
      </c>
      <c r="N890">
        <v>0</v>
      </c>
      <c r="O890" t="s">
        <v>25</v>
      </c>
      <c r="P890" t="s">
        <v>35</v>
      </c>
      <c r="Q890">
        <v>4.8</v>
      </c>
      <c r="R890">
        <v>34</v>
      </c>
      <c r="S890" t="s">
        <v>27</v>
      </c>
    </row>
    <row r="891" spans="1:19" x14ac:dyDescent="0.3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 t="str">
        <f t="shared" si="13"/>
        <v>15-30 days</v>
      </c>
      <c r="L891">
        <v>17</v>
      </c>
      <c r="M891">
        <v>2</v>
      </c>
      <c r="N891">
        <v>0</v>
      </c>
      <c r="O891" t="s">
        <v>25</v>
      </c>
      <c r="P891" t="s">
        <v>35</v>
      </c>
      <c r="Q891">
        <v>13.7</v>
      </c>
      <c r="R891">
        <v>38</v>
      </c>
      <c r="S891" t="s">
        <v>36</v>
      </c>
    </row>
    <row r="892" spans="1:19" x14ac:dyDescent="0.3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 t="str">
        <f t="shared" si="13"/>
        <v>31-60 days</v>
      </c>
      <c r="L892">
        <v>45</v>
      </c>
      <c r="M892">
        <v>4</v>
      </c>
      <c r="N892">
        <v>0</v>
      </c>
      <c r="O892" t="s">
        <v>25</v>
      </c>
      <c r="P892" t="s">
        <v>50</v>
      </c>
      <c r="Q892">
        <v>11.6</v>
      </c>
      <c r="R892">
        <v>12</v>
      </c>
      <c r="S892" t="s">
        <v>27</v>
      </c>
    </row>
    <row r="893" spans="1:19" x14ac:dyDescent="0.3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 t="str">
        <f t="shared" si="13"/>
        <v>15-30 days</v>
      </c>
      <c r="L893">
        <v>25</v>
      </c>
      <c r="M893">
        <v>5</v>
      </c>
      <c r="N893">
        <v>1</v>
      </c>
      <c r="O893" t="s">
        <v>25</v>
      </c>
      <c r="P893" t="s">
        <v>35</v>
      </c>
      <c r="Q893">
        <v>6.9</v>
      </c>
      <c r="R893">
        <v>11</v>
      </c>
      <c r="S893" t="s">
        <v>36</v>
      </c>
    </row>
    <row r="894" spans="1:19" x14ac:dyDescent="0.3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 t="str">
        <f t="shared" si="13"/>
        <v>0-7 days</v>
      </c>
      <c r="L894">
        <v>7</v>
      </c>
      <c r="M894">
        <v>5</v>
      </c>
      <c r="N894">
        <v>1</v>
      </c>
      <c r="O894" t="s">
        <v>25</v>
      </c>
      <c r="P894" t="s">
        <v>35</v>
      </c>
      <c r="Q894">
        <v>1.8</v>
      </c>
      <c r="R894">
        <v>23</v>
      </c>
      <c r="S894" t="s">
        <v>36</v>
      </c>
    </row>
    <row r="895" spans="1:19" x14ac:dyDescent="0.3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 t="str">
        <f t="shared" si="13"/>
        <v>15-30 days</v>
      </c>
      <c r="L895">
        <v>19</v>
      </c>
      <c r="M895">
        <v>3</v>
      </c>
      <c r="N895">
        <v>0</v>
      </c>
      <c r="O895" t="s">
        <v>25</v>
      </c>
      <c r="P895" t="s">
        <v>35</v>
      </c>
      <c r="Q895">
        <v>9.9</v>
      </c>
      <c r="R895">
        <v>16</v>
      </c>
      <c r="S895" t="s">
        <v>36</v>
      </c>
    </row>
    <row r="896" spans="1:19" x14ac:dyDescent="0.3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 t="str">
        <f t="shared" si="13"/>
        <v>31-60 days</v>
      </c>
      <c r="L896">
        <v>32</v>
      </c>
      <c r="M896">
        <v>0</v>
      </c>
      <c r="N896">
        <v>0</v>
      </c>
      <c r="O896" t="s">
        <v>25</v>
      </c>
      <c r="P896" t="s">
        <v>26</v>
      </c>
      <c r="Q896">
        <v>39.6</v>
      </c>
      <c r="R896">
        <v>18</v>
      </c>
      <c r="S896" t="s">
        <v>27</v>
      </c>
    </row>
    <row r="897" spans="1:19" x14ac:dyDescent="0.3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 t="str">
        <f t="shared" si="13"/>
        <v>31-60 days</v>
      </c>
      <c r="L897">
        <v>48</v>
      </c>
      <c r="M897">
        <v>1</v>
      </c>
      <c r="N897">
        <v>1</v>
      </c>
      <c r="O897" t="s">
        <v>25</v>
      </c>
      <c r="P897" t="s">
        <v>35</v>
      </c>
      <c r="Q897">
        <v>8.1</v>
      </c>
      <c r="R897">
        <v>21</v>
      </c>
      <c r="S897" t="s">
        <v>27</v>
      </c>
    </row>
    <row r="898" spans="1:19" x14ac:dyDescent="0.3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 t="str">
        <f t="shared" si="13"/>
        <v>0-7 days</v>
      </c>
      <c r="L898">
        <v>1</v>
      </c>
      <c r="M898">
        <v>2</v>
      </c>
      <c r="N898">
        <v>0</v>
      </c>
      <c r="O898" t="s">
        <v>25</v>
      </c>
      <c r="P898" t="s">
        <v>35</v>
      </c>
      <c r="Q898">
        <v>3.3</v>
      </c>
      <c r="R898">
        <v>32</v>
      </c>
      <c r="S898" t="s">
        <v>36</v>
      </c>
    </row>
    <row r="899" spans="1:19" x14ac:dyDescent="0.3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 t="str">
        <f t="shared" ref="K899:K962" si="14">IF(L899&lt;=7,"0-7 days",IF(L899&lt;=14,"8-14 days",IF(L899&lt;=30,"15-30 days","31-60 days")))</f>
        <v>31-60 days</v>
      </c>
      <c r="L899">
        <v>58</v>
      </c>
      <c r="M899">
        <v>1</v>
      </c>
      <c r="N899">
        <v>0</v>
      </c>
      <c r="O899" t="s">
        <v>54</v>
      </c>
      <c r="P899" t="s">
        <v>55</v>
      </c>
      <c r="Q899">
        <v>7.7</v>
      </c>
      <c r="R899">
        <v>15</v>
      </c>
      <c r="S899" t="s">
        <v>27</v>
      </c>
    </row>
    <row r="900" spans="1:19" x14ac:dyDescent="0.3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 t="str">
        <f t="shared" si="14"/>
        <v>31-60 days</v>
      </c>
      <c r="L900">
        <v>39</v>
      </c>
      <c r="M900">
        <v>4</v>
      </c>
      <c r="N900">
        <v>0</v>
      </c>
      <c r="O900" t="s">
        <v>54</v>
      </c>
      <c r="P900" t="s">
        <v>55</v>
      </c>
      <c r="Q900">
        <v>2.2000000000000002</v>
      </c>
      <c r="R900">
        <v>11</v>
      </c>
      <c r="S900" t="s">
        <v>27</v>
      </c>
    </row>
    <row r="901" spans="1:19" x14ac:dyDescent="0.3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 t="str">
        <f t="shared" si="14"/>
        <v>31-60 days</v>
      </c>
      <c r="L901">
        <v>53</v>
      </c>
      <c r="M901">
        <v>0</v>
      </c>
      <c r="N901">
        <v>0</v>
      </c>
      <c r="O901" t="s">
        <v>25</v>
      </c>
      <c r="P901" t="s">
        <v>50</v>
      </c>
      <c r="Q901">
        <v>5.4</v>
      </c>
      <c r="R901">
        <v>16</v>
      </c>
      <c r="S901" t="s">
        <v>27</v>
      </c>
    </row>
    <row r="902" spans="1:19" x14ac:dyDescent="0.3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 t="str">
        <f t="shared" si="14"/>
        <v>31-60 days</v>
      </c>
      <c r="L902">
        <v>56</v>
      </c>
      <c r="M902">
        <v>2</v>
      </c>
      <c r="N902">
        <v>1</v>
      </c>
      <c r="O902" t="s">
        <v>25</v>
      </c>
      <c r="P902" t="s">
        <v>35</v>
      </c>
      <c r="Q902">
        <v>13</v>
      </c>
      <c r="R902">
        <v>7</v>
      </c>
      <c r="S902" t="s">
        <v>27</v>
      </c>
    </row>
    <row r="903" spans="1:19" x14ac:dyDescent="0.3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 t="str">
        <f t="shared" si="14"/>
        <v>8-14 days</v>
      </c>
      <c r="L903">
        <v>9</v>
      </c>
      <c r="M903">
        <v>2</v>
      </c>
      <c r="N903">
        <v>0</v>
      </c>
      <c r="O903" t="s">
        <v>25</v>
      </c>
      <c r="P903" t="s">
        <v>35</v>
      </c>
      <c r="Q903">
        <v>19.399999999999999</v>
      </c>
      <c r="R903">
        <v>25</v>
      </c>
      <c r="S903" t="s">
        <v>36</v>
      </c>
    </row>
    <row r="904" spans="1:19" x14ac:dyDescent="0.3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 t="str">
        <f t="shared" si="14"/>
        <v>0-7 days</v>
      </c>
      <c r="L904">
        <v>5</v>
      </c>
      <c r="M904">
        <v>4</v>
      </c>
      <c r="N904">
        <v>0</v>
      </c>
      <c r="O904" t="s">
        <v>54</v>
      </c>
      <c r="P904" t="s">
        <v>55</v>
      </c>
      <c r="Q904">
        <v>6.5</v>
      </c>
      <c r="R904">
        <v>25</v>
      </c>
      <c r="S904" t="s">
        <v>27</v>
      </c>
    </row>
    <row r="905" spans="1:19" x14ac:dyDescent="0.3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 t="str">
        <f t="shared" si="14"/>
        <v>31-60 days</v>
      </c>
      <c r="L905">
        <v>47</v>
      </c>
      <c r="M905">
        <v>4</v>
      </c>
      <c r="N905">
        <v>0</v>
      </c>
      <c r="O905" t="s">
        <v>54</v>
      </c>
      <c r="P905" t="s">
        <v>55</v>
      </c>
      <c r="Q905">
        <v>2.8</v>
      </c>
      <c r="R905">
        <v>35</v>
      </c>
      <c r="S905" t="s">
        <v>36</v>
      </c>
    </row>
    <row r="906" spans="1:19" x14ac:dyDescent="0.3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 t="str">
        <f t="shared" si="14"/>
        <v>8-14 days</v>
      </c>
      <c r="L906">
        <v>11</v>
      </c>
      <c r="M906">
        <v>2</v>
      </c>
      <c r="N906">
        <v>0</v>
      </c>
      <c r="O906" t="s">
        <v>54</v>
      </c>
      <c r="P906" t="s">
        <v>55</v>
      </c>
      <c r="Q906">
        <v>13.6</v>
      </c>
      <c r="R906">
        <v>12</v>
      </c>
      <c r="S906" t="s">
        <v>36</v>
      </c>
    </row>
    <row r="907" spans="1:19" x14ac:dyDescent="0.3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 t="str">
        <f t="shared" si="14"/>
        <v>8-14 days</v>
      </c>
      <c r="L907">
        <v>9</v>
      </c>
      <c r="M907">
        <v>0</v>
      </c>
      <c r="N907">
        <v>0</v>
      </c>
      <c r="O907" t="s">
        <v>25</v>
      </c>
      <c r="P907" t="s">
        <v>35</v>
      </c>
      <c r="Q907">
        <v>9.6</v>
      </c>
      <c r="R907">
        <v>25</v>
      </c>
      <c r="S907" t="s">
        <v>36</v>
      </c>
    </row>
    <row r="908" spans="1:19" x14ac:dyDescent="0.3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 t="str">
        <f t="shared" si="14"/>
        <v>15-30 days</v>
      </c>
      <c r="L908">
        <v>28</v>
      </c>
      <c r="M908">
        <v>4</v>
      </c>
      <c r="N908">
        <v>1</v>
      </c>
      <c r="O908" t="s">
        <v>54</v>
      </c>
      <c r="P908" t="s">
        <v>55</v>
      </c>
      <c r="Q908">
        <v>7.6</v>
      </c>
      <c r="S908" t="s">
        <v>36</v>
      </c>
    </row>
    <row r="909" spans="1:19" x14ac:dyDescent="0.3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 t="str">
        <f t="shared" si="14"/>
        <v>31-60 days</v>
      </c>
      <c r="L909">
        <v>55</v>
      </c>
      <c r="M909">
        <v>3</v>
      </c>
      <c r="N909">
        <v>0</v>
      </c>
      <c r="O909" t="s">
        <v>25</v>
      </c>
      <c r="P909" t="s">
        <v>35</v>
      </c>
      <c r="Q909">
        <v>8.6</v>
      </c>
      <c r="R909">
        <v>7</v>
      </c>
      <c r="S909" t="s">
        <v>36</v>
      </c>
    </row>
    <row r="910" spans="1:19" x14ac:dyDescent="0.3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 t="str">
        <f t="shared" si="14"/>
        <v>31-60 days</v>
      </c>
      <c r="L910">
        <v>48</v>
      </c>
      <c r="M910">
        <v>3</v>
      </c>
      <c r="N910">
        <v>0</v>
      </c>
      <c r="O910" t="s">
        <v>25</v>
      </c>
      <c r="P910" t="s">
        <v>50</v>
      </c>
      <c r="Q910">
        <v>6.7</v>
      </c>
      <c r="R910">
        <v>26</v>
      </c>
      <c r="S910" t="s">
        <v>36</v>
      </c>
    </row>
    <row r="911" spans="1:19" x14ac:dyDescent="0.3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 t="str">
        <f t="shared" si="14"/>
        <v>31-60 days</v>
      </c>
      <c r="L911">
        <v>31</v>
      </c>
      <c r="M911">
        <v>3</v>
      </c>
      <c r="N911">
        <v>1</v>
      </c>
      <c r="O911" t="s">
        <v>25</v>
      </c>
      <c r="P911" t="s">
        <v>35</v>
      </c>
      <c r="Q911">
        <v>8.1</v>
      </c>
      <c r="R911">
        <v>27</v>
      </c>
      <c r="S911" t="s">
        <v>27</v>
      </c>
    </row>
    <row r="912" spans="1:19" x14ac:dyDescent="0.3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 t="str">
        <f t="shared" si="14"/>
        <v>8-14 days</v>
      </c>
      <c r="L912">
        <v>11</v>
      </c>
      <c r="M912">
        <v>3</v>
      </c>
      <c r="N912">
        <v>0</v>
      </c>
      <c r="O912" t="s">
        <v>25</v>
      </c>
      <c r="P912" t="s">
        <v>35</v>
      </c>
      <c r="Q912">
        <v>9.1999999999999993</v>
      </c>
      <c r="R912">
        <v>23</v>
      </c>
      <c r="S912" t="s">
        <v>27</v>
      </c>
    </row>
    <row r="913" spans="1:19" x14ac:dyDescent="0.3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 t="str">
        <f t="shared" si="14"/>
        <v>15-30 days</v>
      </c>
      <c r="L913">
        <v>20</v>
      </c>
      <c r="M913">
        <v>2</v>
      </c>
      <c r="N913">
        <v>1</v>
      </c>
      <c r="O913" t="s">
        <v>25</v>
      </c>
      <c r="P913" t="s">
        <v>35</v>
      </c>
      <c r="Q913">
        <v>9.8000000000000007</v>
      </c>
      <c r="R913">
        <v>10</v>
      </c>
      <c r="S913" t="s">
        <v>36</v>
      </c>
    </row>
    <row r="914" spans="1:19" x14ac:dyDescent="0.3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 t="str">
        <f t="shared" si="14"/>
        <v>31-60 days</v>
      </c>
      <c r="L914">
        <v>41</v>
      </c>
      <c r="M914">
        <v>3</v>
      </c>
      <c r="N914">
        <v>0</v>
      </c>
      <c r="O914" t="s">
        <v>25</v>
      </c>
      <c r="P914" t="s">
        <v>35</v>
      </c>
      <c r="Q914">
        <v>8.5</v>
      </c>
      <c r="R914">
        <v>23</v>
      </c>
      <c r="S914" t="s">
        <v>27</v>
      </c>
    </row>
    <row r="915" spans="1:19" x14ac:dyDescent="0.3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 t="str">
        <f t="shared" si="14"/>
        <v>8-14 days</v>
      </c>
      <c r="L915">
        <v>9</v>
      </c>
      <c r="M915">
        <v>2</v>
      </c>
      <c r="N915">
        <v>1</v>
      </c>
      <c r="O915" t="s">
        <v>25</v>
      </c>
      <c r="P915" t="s">
        <v>35</v>
      </c>
      <c r="Q915">
        <v>4.2</v>
      </c>
      <c r="R915">
        <v>2</v>
      </c>
      <c r="S915" t="s">
        <v>36</v>
      </c>
    </row>
    <row r="916" spans="1:19" x14ac:dyDescent="0.3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 t="str">
        <f t="shared" si="14"/>
        <v>31-60 days</v>
      </c>
      <c r="L916">
        <v>31</v>
      </c>
      <c r="M916">
        <v>2</v>
      </c>
      <c r="N916">
        <v>0</v>
      </c>
      <c r="O916" t="s">
        <v>54</v>
      </c>
      <c r="P916" t="s">
        <v>55</v>
      </c>
      <c r="Q916">
        <v>24.6</v>
      </c>
      <c r="R916">
        <v>28</v>
      </c>
      <c r="S916" t="s">
        <v>27</v>
      </c>
    </row>
    <row r="917" spans="1:19" x14ac:dyDescent="0.3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 t="str">
        <f t="shared" si="14"/>
        <v>0-7 days</v>
      </c>
      <c r="L917">
        <v>0</v>
      </c>
      <c r="M917">
        <v>2</v>
      </c>
      <c r="N917">
        <v>0</v>
      </c>
      <c r="O917" t="s">
        <v>54</v>
      </c>
      <c r="P917" t="s">
        <v>55</v>
      </c>
      <c r="Q917">
        <v>7.8</v>
      </c>
      <c r="R917">
        <v>32</v>
      </c>
      <c r="S917" t="s">
        <v>36</v>
      </c>
    </row>
    <row r="918" spans="1:19" x14ac:dyDescent="0.3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 t="str">
        <f t="shared" si="14"/>
        <v>15-30 days</v>
      </c>
      <c r="L918">
        <v>19</v>
      </c>
      <c r="M918">
        <v>4</v>
      </c>
      <c r="N918">
        <v>2</v>
      </c>
      <c r="O918" t="s">
        <v>25</v>
      </c>
      <c r="P918" t="s">
        <v>35</v>
      </c>
      <c r="Q918">
        <v>1.7</v>
      </c>
      <c r="R918">
        <v>22</v>
      </c>
      <c r="S918" t="s">
        <v>27</v>
      </c>
    </row>
    <row r="919" spans="1:19" x14ac:dyDescent="0.3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 t="str">
        <f t="shared" si="14"/>
        <v>15-30 days</v>
      </c>
      <c r="L919">
        <v>15</v>
      </c>
      <c r="M919">
        <v>1</v>
      </c>
      <c r="N919">
        <v>0</v>
      </c>
      <c r="O919" t="s">
        <v>25</v>
      </c>
      <c r="P919" t="s">
        <v>35</v>
      </c>
      <c r="Q919">
        <v>7</v>
      </c>
      <c r="R919">
        <v>38</v>
      </c>
      <c r="S919" t="s">
        <v>27</v>
      </c>
    </row>
    <row r="920" spans="1:19" x14ac:dyDescent="0.3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 t="str">
        <f t="shared" si="14"/>
        <v>31-60 days</v>
      </c>
      <c r="L920">
        <v>41</v>
      </c>
      <c r="M920">
        <v>0</v>
      </c>
      <c r="N920">
        <v>0</v>
      </c>
      <c r="O920" t="s">
        <v>25</v>
      </c>
      <c r="P920" t="s">
        <v>26</v>
      </c>
      <c r="Q920">
        <v>7.3</v>
      </c>
      <c r="R920">
        <v>16</v>
      </c>
      <c r="S920" t="s">
        <v>36</v>
      </c>
    </row>
    <row r="921" spans="1:19" x14ac:dyDescent="0.3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 t="str">
        <f t="shared" si="14"/>
        <v>31-60 days</v>
      </c>
      <c r="L921">
        <v>55</v>
      </c>
      <c r="M921">
        <v>3</v>
      </c>
      <c r="N921">
        <v>2</v>
      </c>
      <c r="O921" t="s">
        <v>54</v>
      </c>
      <c r="P921" t="s">
        <v>55</v>
      </c>
      <c r="Q921">
        <v>4.5999999999999996</v>
      </c>
      <c r="R921">
        <v>16</v>
      </c>
      <c r="S921" t="s">
        <v>27</v>
      </c>
    </row>
    <row r="922" spans="1:19" x14ac:dyDescent="0.3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 t="str">
        <f t="shared" si="14"/>
        <v>8-14 days</v>
      </c>
      <c r="L922">
        <v>8</v>
      </c>
      <c r="M922">
        <v>3</v>
      </c>
      <c r="N922">
        <v>0</v>
      </c>
      <c r="O922" t="s">
        <v>25</v>
      </c>
      <c r="P922" t="s">
        <v>26</v>
      </c>
      <c r="Q922">
        <v>3.5</v>
      </c>
      <c r="R922">
        <v>21</v>
      </c>
      <c r="S922" t="s">
        <v>36</v>
      </c>
    </row>
    <row r="923" spans="1:19" x14ac:dyDescent="0.3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 t="str">
        <f t="shared" si="14"/>
        <v>31-60 days</v>
      </c>
      <c r="L923">
        <v>48</v>
      </c>
      <c r="M923">
        <v>2</v>
      </c>
      <c r="N923">
        <v>1</v>
      </c>
      <c r="O923" t="s">
        <v>25</v>
      </c>
      <c r="P923" t="s">
        <v>35</v>
      </c>
      <c r="Q923">
        <v>9.1</v>
      </c>
      <c r="R923">
        <v>49</v>
      </c>
      <c r="S923" t="s">
        <v>36</v>
      </c>
    </row>
    <row r="924" spans="1:19" x14ac:dyDescent="0.3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 t="str">
        <f t="shared" si="14"/>
        <v>31-60 days</v>
      </c>
      <c r="L924">
        <v>40</v>
      </c>
      <c r="M924">
        <v>3</v>
      </c>
      <c r="N924">
        <v>0</v>
      </c>
      <c r="O924" t="s">
        <v>25</v>
      </c>
      <c r="P924" t="s">
        <v>35</v>
      </c>
      <c r="Q924">
        <v>9.1</v>
      </c>
      <c r="R924">
        <v>21</v>
      </c>
      <c r="S924" t="s">
        <v>36</v>
      </c>
    </row>
    <row r="925" spans="1:19" x14ac:dyDescent="0.3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 t="str">
        <f t="shared" si="14"/>
        <v>31-60 days</v>
      </c>
      <c r="L925">
        <v>59</v>
      </c>
      <c r="M925">
        <v>5</v>
      </c>
      <c r="N925">
        <v>2</v>
      </c>
      <c r="O925" t="s">
        <v>25</v>
      </c>
      <c r="P925" t="s">
        <v>35</v>
      </c>
      <c r="Q925">
        <v>3.2</v>
      </c>
      <c r="R925">
        <v>48</v>
      </c>
      <c r="S925" t="s">
        <v>27</v>
      </c>
    </row>
    <row r="926" spans="1:19" x14ac:dyDescent="0.3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 t="str">
        <f t="shared" si="14"/>
        <v>31-60 days</v>
      </c>
      <c r="L926">
        <v>55</v>
      </c>
      <c r="M926">
        <v>4</v>
      </c>
      <c r="N926">
        <v>2</v>
      </c>
      <c r="O926" t="s">
        <v>25</v>
      </c>
      <c r="P926" t="s">
        <v>26</v>
      </c>
      <c r="R926">
        <v>24</v>
      </c>
      <c r="S926" t="s">
        <v>27</v>
      </c>
    </row>
    <row r="927" spans="1:19" x14ac:dyDescent="0.3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 t="str">
        <f t="shared" si="14"/>
        <v>0-7 days</v>
      </c>
      <c r="L927">
        <v>6</v>
      </c>
      <c r="M927">
        <v>1</v>
      </c>
      <c r="N927">
        <v>0</v>
      </c>
      <c r="O927" t="s">
        <v>54</v>
      </c>
      <c r="P927" t="s">
        <v>55</v>
      </c>
      <c r="Q927">
        <v>10.8</v>
      </c>
      <c r="R927">
        <v>15</v>
      </c>
      <c r="S927" t="s">
        <v>36</v>
      </c>
    </row>
    <row r="928" spans="1:19" x14ac:dyDescent="0.3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 t="str">
        <f t="shared" si="14"/>
        <v>31-60 days</v>
      </c>
      <c r="L928">
        <v>45</v>
      </c>
      <c r="M928">
        <v>4</v>
      </c>
      <c r="N928">
        <v>0</v>
      </c>
      <c r="O928" t="s">
        <v>54</v>
      </c>
      <c r="P928" t="s">
        <v>55</v>
      </c>
      <c r="Q928">
        <v>2.9</v>
      </c>
      <c r="R928">
        <v>45</v>
      </c>
      <c r="S928" t="s">
        <v>27</v>
      </c>
    </row>
    <row r="929" spans="1:19" x14ac:dyDescent="0.3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 t="str">
        <f t="shared" si="14"/>
        <v>31-60 days</v>
      </c>
      <c r="L929">
        <v>36</v>
      </c>
      <c r="M929">
        <v>2</v>
      </c>
      <c r="N929">
        <v>0</v>
      </c>
      <c r="O929" t="s">
        <v>25</v>
      </c>
      <c r="P929" t="s">
        <v>35</v>
      </c>
      <c r="Q929">
        <v>6.8</v>
      </c>
      <c r="R929">
        <v>26</v>
      </c>
      <c r="S929" t="s">
        <v>36</v>
      </c>
    </row>
    <row r="930" spans="1:19" x14ac:dyDescent="0.3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 t="str">
        <f t="shared" si="14"/>
        <v>0-7 days</v>
      </c>
      <c r="L930">
        <v>6</v>
      </c>
      <c r="M930">
        <v>3</v>
      </c>
      <c r="N930">
        <v>0</v>
      </c>
      <c r="O930" t="s">
        <v>25</v>
      </c>
      <c r="P930" t="s">
        <v>35</v>
      </c>
      <c r="Q930">
        <v>24.4</v>
      </c>
      <c r="R930">
        <v>21</v>
      </c>
      <c r="S930" t="s">
        <v>36</v>
      </c>
    </row>
    <row r="931" spans="1:19" x14ac:dyDescent="0.3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 t="str">
        <f t="shared" si="14"/>
        <v>15-30 days</v>
      </c>
      <c r="L931">
        <v>15</v>
      </c>
      <c r="M931">
        <v>0</v>
      </c>
      <c r="N931">
        <v>0</v>
      </c>
      <c r="O931" t="s">
        <v>25</v>
      </c>
      <c r="P931" t="s">
        <v>26</v>
      </c>
      <c r="Q931">
        <v>12.4</v>
      </c>
      <c r="R931">
        <v>33</v>
      </c>
      <c r="S931" t="s">
        <v>36</v>
      </c>
    </row>
    <row r="932" spans="1:19" x14ac:dyDescent="0.3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 t="str">
        <f t="shared" si="14"/>
        <v>31-60 days</v>
      </c>
      <c r="L932">
        <v>56</v>
      </c>
      <c r="M932">
        <v>2</v>
      </c>
      <c r="N932">
        <v>0</v>
      </c>
      <c r="O932" t="s">
        <v>25</v>
      </c>
      <c r="P932" t="s">
        <v>50</v>
      </c>
      <c r="Q932">
        <v>12.5</v>
      </c>
      <c r="R932">
        <v>38</v>
      </c>
      <c r="S932" t="s">
        <v>36</v>
      </c>
    </row>
    <row r="933" spans="1:19" x14ac:dyDescent="0.3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 t="str">
        <f t="shared" si="14"/>
        <v>31-60 days</v>
      </c>
      <c r="L933">
        <v>33</v>
      </c>
      <c r="M933">
        <v>1</v>
      </c>
      <c r="N933">
        <v>0</v>
      </c>
      <c r="O933" t="s">
        <v>25</v>
      </c>
      <c r="P933" t="s">
        <v>26</v>
      </c>
      <c r="Q933">
        <v>12.6</v>
      </c>
      <c r="S933" t="s">
        <v>27</v>
      </c>
    </row>
    <row r="934" spans="1:19" x14ac:dyDescent="0.3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 t="str">
        <f t="shared" si="14"/>
        <v>15-30 days</v>
      </c>
      <c r="L934">
        <v>20</v>
      </c>
      <c r="M934">
        <v>3</v>
      </c>
      <c r="N934">
        <v>2</v>
      </c>
      <c r="O934" t="s">
        <v>25</v>
      </c>
      <c r="P934" t="s">
        <v>50</v>
      </c>
      <c r="Q934">
        <v>16.899999999999999</v>
      </c>
      <c r="R934">
        <v>34</v>
      </c>
      <c r="S934" t="s">
        <v>27</v>
      </c>
    </row>
    <row r="935" spans="1:19" x14ac:dyDescent="0.3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 t="str">
        <f t="shared" si="14"/>
        <v>15-30 days</v>
      </c>
      <c r="L935">
        <v>19</v>
      </c>
      <c r="M935">
        <v>3</v>
      </c>
      <c r="N935">
        <v>1</v>
      </c>
      <c r="O935" t="s">
        <v>25</v>
      </c>
      <c r="P935" t="s">
        <v>35</v>
      </c>
      <c r="Q935">
        <v>0.9</v>
      </c>
      <c r="R935">
        <v>22</v>
      </c>
      <c r="S935" t="s">
        <v>36</v>
      </c>
    </row>
    <row r="936" spans="1:19" x14ac:dyDescent="0.3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 t="str">
        <f t="shared" si="14"/>
        <v>31-60 days</v>
      </c>
      <c r="L936">
        <v>51</v>
      </c>
      <c r="M936">
        <v>3</v>
      </c>
      <c r="N936">
        <v>0</v>
      </c>
      <c r="O936" t="s">
        <v>25</v>
      </c>
      <c r="P936" t="s">
        <v>26</v>
      </c>
      <c r="Q936">
        <v>4.7</v>
      </c>
      <c r="R936">
        <v>13</v>
      </c>
      <c r="S936" t="s">
        <v>27</v>
      </c>
    </row>
    <row r="937" spans="1:19" x14ac:dyDescent="0.3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 t="str">
        <f t="shared" si="14"/>
        <v>15-30 days</v>
      </c>
      <c r="L937">
        <v>17</v>
      </c>
      <c r="M937">
        <v>2</v>
      </c>
      <c r="N937">
        <v>0</v>
      </c>
      <c r="O937" t="s">
        <v>25</v>
      </c>
      <c r="P937" t="s">
        <v>35</v>
      </c>
      <c r="Q937">
        <v>2</v>
      </c>
      <c r="R937">
        <v>16</v>
      </c>
      <c r="S937" t="s">
        <v>36</v>
      </c>
    </row>
    <row r="938" spans="1:19" x14ac:dyDescent="0.3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 t="str">
        <f t="shared" si="14"/>
        <v>8-14 days</v>
      </c>
      <c r="L938">
        <v>9</v>
      </c>
      <c r="M938">
        <v>5</v>
      </c>
      <c r="N938">
        <v>2</v>
      </c>
      <c r="O938" t="s">
        <v>25</v>
      </c>
      <c r="P938" t="s">
        <v>26</v>
      </c>
      <c r="Q938">
        <v>6.7</v>
      </c>
      <c r="R938">
        <v>11</v>
      </c>
      <c r="S938" t="s">
        <v>27</v>
      </c>
    </row>
    <row r="939" spans="1:19" x14ac:dyDescent="0.3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 t="str">
        <f t="shared" si="14"/>
        <v>31-60 days</v>
      </c>
      <c r="L939">
        <v>35</v>
      </c>
      <c r="M939">
        <v>7</v>
      </c>
      <c r="N939">
        <v>1</v>
      </c>
      <c r="O939" t="s">
        <v>25</v>
      </c>
      <c r="P939" t="s">
        <v>35</v>
      </c>
      <c r="Q939">
        <v>5.6</v>
      </c>
      <c r="R939">
        <v>25</v>
      </c>
      <c r="S939" t="s">
        <v>36</v>
      </c>
    </row>
    <row r="940" spans="1:19" x14ac:dyDescent="0.3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 t="str">
        <f t="shared" si="14"/>
        <v>31-60 days</v>
      </c>
      <c r="L940">
        <v>60</v>
      </c>
      <c r="M940">
        <v>5</v>
      </c>
      <c r="N940">
        <v>3</v>
      </c>
      <c r="O940" t="s">
        <v>25</v>
      </c>
      <c r="P940" t="s">
        <v>50</v>
      </c>
      <c r="Q940">
        <v>6</v>
      </c>
      <c r="R940">
        <v>25</v>
      </c>
      <c r="S940" t="s">
        <v>27</v>
      </c>
    </row>
    <row r="941" spans="1:19" x14ac:dyDescent="0.3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 t="str">
        <f t="shared" si="14"/>
        <v>8-14 days</v>
      </c>
      <c r="L941">
        <v>11</v>
      </c>
      <c r="M941">
        <v>2</v>
      </c>
      <c r="N941">
        <v>0</v>
      </c>
      <c r="O941" t="s">
        <v>25</v>
      </c>
      <c r="P941" t="s">
        <v>35</v>
      </c>
      <c r="Q941">
        <v>13.1</v>
      </c>
      <c r="R941">
        <v>37</v>
      </c>
      <c r="S941" t="s">
        <v>27</v>
      </c>
    </row>
    <row r="942" spans="1:19" x14ac:dyDescent="0.3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 t="str">
        <f t="shared" si="14"/>
        <v>15-30 days</v>
      </c>
      <c r="L942">
        <v>15</v>
      </c>
      <c r="M942">
        <v>2</v>
      </c>
      <c r="N942">
        <v>0</v>
      </c>
      <c r="O942" t="s">
        <v>25</v>
      </c>
      <c r="P942" t="s">
        <v>35</v>
      </c>
      <c r="Q942">
        <v>4.8</v>
      </c>
      <c r="R942">
        <v>34</v>
      </c>
      <c r="S942" t="s">
        <v>36</v>
      </c>
    </row>
    <row r="943" spans="1:19" x14ac:dyDescent="0.3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 t="str">
        <f t="shared" si="14"/>
        <v>15-30 days</v>
      </c>
      <c r="L943">
        <v>28</v>
      </c>
      <c r="M943">
        <v>5</v>
      </c>
      <c r="N943">
        <v>1</v>
      </c>
      <c r="O943" t="s">
        <v>25</v>
      </c>
      <c r="P943" t="s">
        <v>26</v>
      </c>
      <c r="Q943">
        <v>25.1</v>
      </c>
      <c r="R943">
        <v>20</v>
      </c>
      <c r="S943" t="s">
        <v>27</v>
      </c>
    </row>
    <row r="944" spans="1:19" x14ac:dyDescent="0.3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 t="str">
        <f t="shared" si="14"/>
        <v>8-14 days</v>
      </c>
      <c r="L944">
        <v>12</v>
      </c>
      <c r="M944">
        <v>5</v>
      </c>
      <c r="N944">
        <v>0</v>
      </c>
      <c r="O944" t="s">
        <v>25</v>
      </c>
      <c r="P944" t="s">
        <v>26</v>
      </c>
      <c r="Q944">
        <v>1.5</v>
      </c>
      <c r="R944">
        <v>22</v>
      </c>
      <c r="S944" t="s">
        <v>71</v>
      </c>
    </row>
    <row r="945" spans="1:19" x14ac:dyDescent="0.3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 t="str">
        <f t="shared" si="14"/>
        <v>31-60 days</v>
      </c>
      <c r="L945">
        <v>39</v>
      </c>
      <c r="M945">
        <v>3</v>
      </c>
      <c r="N945">
        <v>0</v>
      </c>
      <c r="O945" t="s">
        <v>54</v>
      </c>
      <c r="P945" t="s">
        <v>55</v>
      </c>
      <c r="Q945">
        <v>18</v>
      </c>
      <c r="R945">
        <v>17</v>
      </c>
      <c r="S945" t="s">
        <v>27</v>
      </c>
    </row>
    <row r="946" spans="1:19" x14ac:dyDescent="0.3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 t="str">
        <f t="shared" si="14"/>
        <v>15-30 days</v>
      </c>
      <c r="L946">
        <v>15</v>
      </c>
      <c r="M946">
        <v>4</v>
      </c>
      <c r="N946">
        <v>1</v>
      </c>
      <c r="O946" t="s">
        <v>54</v>
      </c>
      <c r="P946" t="s">
        <v>55</v>
      </c>
      <c r="Q946">
        <v>2.4</v>
      </c>
      <c r="R946">
        <v>25</v>
      </c>
      <c r="S946" t="s">
        <v>36</v>
      </c>
    </row>
    <row r="947" spans="1:19" x14ac:dyDescent="0.3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 t="str">
        <f t="shared" si="14"/>
        <v>0-7 days</v>
      </c>
      <c r="L947">
        <v>7</v>
      </c>
      <c r="M947">
        <v>4</v>
      </c>
      <c r="N947">
        <v>0</v>
      </c>
      <c r="O947" t="s">
        <v>54</v>
      </c>
      <c r="P947" t="s">
        <v>55</v>
      </c>
      <c r="Q947">
        <v>12.7</v>
      </c>
      <c r="S947" t="s">
        <v>36</v>
      </c>
    </row>
    <row r="948" spans="1:19" x14ac:dyDescent="0.3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 t="str">
        <f t="shared" si="14"/>
        <v>15-30 days</v>
      </c>
      <c r="L948">
        <v>15</v>
      </c>
      <c r="M948">
        <v>3</v>
      </c>
      <c r="N948">
        <v>0</v>
      </c>
      <c r="O948" t="s">
        <v>54</v>
      </c>
      <c r="P948" t="s">
        <v>55</v>
      </c>
      <c r="Q948">
        <v>12.3</v>
      </c>
      <c r="R948">
        <v>25</v>
      </c>
      <c r="S948" t="s">
        <v>36</v>
      </c>
    </row>
    <row r="949" spans="1:19" x14ac:dyDescent="0.3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 t="str">
        <f t="shared" si="14"/>
        <v>31-60 days</v>
      </c>
      <c r="L949">
        <v>56</v>
      </c>
      <c r="M949">
        <v>3</v>
      </c>
      <c r="N949">
        <v>0</v>
      </c>
      <c r="O949" t="s">
        <v>54</v>
      </c>
      <c r="P949" t="s">
        <v>55</v>
      </c>
      <c r="Q949">
        <v>6.8</v>
      </c>
      <c r="R949">
        <v>40</v>
      </c>
      <c r="S949" t="s">
        <v>36</v>
      </c>
    </row>
    <row r="950" spans="1:19" x14ac:dyDescent="0.3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 t="str">
        <f t="shared" si="14"/>
        <v>31-60 days</v>
      </c>
      <c r="L950">
        <v>57</v>
      </c>
      <c r="M950">
        <v>3</v>
      </c>
      <c r="N950">
        <v>0</v>
      </c>
      <c r="O950" t="s">
        <v>54</v>
      </c>
      <c r="P950" t="s">
        <v>55</v>
      </c>
      <c r="Q950">
        <v>13.6</v>
      </c>
      <c r="R950">
        <v>41</v>
      </c>
      <c r="S950" t="s">
        <v>36</v>
      </c>
    </row>
    <row r="951" spans="1:19" x14ac:dyDescent="0.3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 t="str">
        <f t="shared" si="14"/>
        <v>15-30 days</v>
      </c>
      <c r="L951">
        <v>30</v>
      </c>
      <c r="M951">
        <v>2</v>
      </c>
      <c r="N951">
        <v>0</v>
      </c>
      <c r="O951" t="s">
        <v>25</v>
      </c>
      <c r="P951" t="s">
        <v>35</v>
      </c>
      <c r="Q951">
        <v>4.4000000000000004</v>
      </c>
      <c r="R951">
        <v>17</v>
      </c>
      <c r="S951" t="s">
        <v>36</v>
      </c>
    </row>
    <row r="952" spans="1:19" x14ac:dyDescent="0.3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 t="str">
        <f t="shared" si="14"/>
        <v>15-30 days</v>
      </c>
      <c r="L952">
        <v>24</v>
      </c>
      <c r="M952">
        <v>2</v>
      </c>
      <c r="N952">
        <v>0</v>
      </c>
      <c r="O952" t="s">
        <v>54</v>
      </c>
      <c r="P952" t="s">
        <v>55</v>
      </c>
      <c r="Q952">
        <v>3.8</v>
      </c>
      <c r="R952">
        <v>33</v>
      </c>
      <c r="S952" t="s">
        <v>36</v>
      </c>
    </row>
    <row r="953" spans="1:19" x14ac:dyDescent="0.3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 t="str">
        <f t="shared" si="14"/>
        <v>31-60 days</v>
      </c>
      <c r="L953">
        <v>49</v>
      </c>
      <c r="M953">
        <v>4</v>
      </c>
      <c r="N953">
        <v>2</v>
      </c>
      <c r="O953" t="s">
        <v>25</v>
      </c>
      <c r="P953" t="s">
        <v>26</v>
      </c>
      <c r="Q953">
        <v>12.9</v>
      </c>
      <c r="R953">
        <v>31</v>
      </c>
      <c r="S953" t="s">
        <v>27</v>
      </c>
    </row>
    <row r="954" spans="1:19" x14ac:dyDescent="0.3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 t="str">
        <f t="shared" si="14"/>
        <v>8-14 days</v>
      </c>
      <c r="L954">
        <v>11</v>
      </c>
      <c r="M954">
        <v>4</v>
      </c>
      <c r="N954">
        <v>0</v>
      </c>
      <c r="O954" t="s">
        <v>54</v>
      </c>
      <c r="P954" t="s">
        <v>55</v>
      </c>
      <c r="Q954">
        <v>5.6</v>
      </c>
      <c r="R954">
        <v>18</v>
      </c>
      <c r="S954" t="s">
        <v>36</v>
      </c>
    </row>
    <row r="955" spans="1:19" x14ac:dyDescent="0.3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 t="str">
        <f t="shared" si="14"/>
        <v>31-60 days</v>
      </c>
      <c r="L955">
        <v>39</v>
      </c>
      <c r="M955">
        <v>4</v>
      </c>
      <c r="N955">
        <v>0</v>
      </c>
      <c r="O955" t="s">
        <v>25</v>
      </c>
      <c r="P955" t="s">
        <v>26</v>
      </c>
      <c r="Q955">
        <v>23.3</v>
      </c>
      <c r="R955">
        <v>40</v>
      </c>
      <c r="S955" t="s">
        <v>36</v>
      </c>
    </row>
    <row r="956" spans="1:19" x14ac:dyDescent="0.3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 t="str">
        <f t="shared" si="14"/>
        <v>31-60 days</v>
      </c>
      <c r="L956">
        <v>41</v>
      </c>
      <c r="M956">
        <v>2</v>
      </c>
      <c r="N956">
        <v>1</v>
      </c>
      <c r="O956" t="s">
        <v>25</v>
      </c>
      <c r="P956" t="s">
        <v>50</v>
      </c>
      <c r="Q956">
        <v>12.9</v>
      </c>
      <c r="R956">
        <v>8</v>
      </c>
      <c r="S956" t="s">
        <v>27</v>
      </c>
    </row>
    <row r="957" spans="1:19" x14ac:dyDescent="0.3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 t="str">
        <f t="shared" si="14"/>
        <v>31-60 days</v>
      </c>
      <c r="L957">
        <v>43</v>
      </c>
      <c r="M957">
        <v>1</v>
      </c>
      <c r="N957">
        <v>0</v>
      </c>
      <c r="O957" t="s">
        <v>25</v>
      </c>
      <c r="P957" t="s">
        <v>50</v>
      </c>
      <c r="Q957">
        <v>10.4</v>
      </c>
      <c r="R957">
        <v>36</v>
      </c>
      <c r="S957" t="s">
        <v>27</v>
      </c>
    </row>
    <row r="958" spans="1:19" x14ac:dyDescent="0.3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 t="str">
        <f t="shared" si="14"/>
        <v>8-14 days</v>
      </c>
      <c r="L958">
        <v>13</v>
      </c>
      <c r="M958">
        <v>3</v>
      </c>
      <c r="N958">
        <v>0</v>
      </c>
      <c r="O958" t="s">
        <v>54</v>
      </c>
      <c r="P958" t="s">
        <v>55</v>
      </c>
      <c r="Q958">
        <v>6</v>
      </c>
      <c r="R958">
        <v>23</v>
      </c>
      <c r="S958" t="s">
        <v>36</v>
      </c>
    </row>
    <row r="959" spans="1:19" x14ac:dyDescent="0.3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 t="str">
        <f t="shared" si="14"/>
        <v>31-60 days</v>
      </c>
      <c r="L959">
        <v>43</v>
      </c>
      <c r="M959">
        <v>1</v>
      </c>
      <c r="N959">
        <v>1</v>
      </c>
      <c r="O959" t="s">
        <v>25</v>
      </c>
      <c r="P959" t="s">
        <v>26</v>
      </c>
      <c r="Q959">
        <v>3.2</v>
      </c>
      <c r="R959">
        <v>12</v>
      </c>
      <c r="S959" t="s">
        <v>27</v>
      </c>
    </row>
    <row r="960" spans="1:19" x14ac:dyDescent="0.3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 t="str">
        <f t="shared" si="14"/>
        <v>31-60 days</v>
      </c>
      <c r="L960">
        <v>37</v>
      </c>
      <c r="M960">
        <v>5</v>
      </c>
      <c r="N960">
        <v>2</v>
      </c>
      <c r="O960" t="s">
        <v>54</v>
      </c>
      <c r="P960" t="s">
        <v>55</v>
      </c>
      <c r="Q960">
        <v>16</v>
      </c>
      <c r="R960">
        <v>22</v>
      </c>
      <c r="S960" t="s">
        <v>27</v>
      </c>
    </row>
    <row r="961" spans="1:19" x14ac:dyDescent="0.3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 t="str">
        <f t="shared" si="14"/>
        <v>31-60 days</v>
      </c>
      <c r="L961">
        <v>53</v>
      </c>
      <c r="M961">
        <v>5</v>
      </c>
      <c r="N961">
        <v>1</v>
      </c>
      <c r="O961" t="s">
        <v>25</v>
      </c>
      <c r="P961" t="s">
        <v>35</v>
      </c>
      <c r="Q961">
        <v>15.8</v>
      </c>
      <c r="R961">
        <v>45</v>
      </c>
      <c r="S961" t="s">
        <v>27</v>
      </c>
    </row>
    <row r="962" spans="1:19" x14ac:dyDescent="0.3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 t="str">
        <f t="shared" si="14"/>
        <v>8-14 days</v>
      </c>
      <c r="L962">
        <v>10</v>
      </c>
      <c r="M962">
        <v>6</v>
      </c>
      <c r="N962">
        <v>1</v>
      </c>
      <c r="O962" t="s">
        <v>25</v>
      </c>
      <c r="P962" t="s">
        <v>35</v>
      </c>
      <c r="Q962">
        <v>4.8</v>
      </c>
      <c r="R962">
        <v>52</v>
      </c>
      <c r="S962" t="s">
        <v>36</v>
      </c>
    </row>
    <row r="963" spans="1:19" x14ac:dyDescent="0.3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 t="str">
        <f t="shared" ref="K963:K1026" si="15">IF(L963&lt;=7,"0-7 days",IF(L963&lt;=14,"8-14 days",IF(L963&lt;=30,"15-30 days","31-60 days")))</f>
        <v>31-60 days</v>
      </c>
      <c r="L963">
        <v>37</v>
      </c>
      <c r="M963">
        <v>2</v>
      </c>
      <c r="N963">
        <v>0</v>
      </c>
      <c r="O963" t="s">
        <v>54</v>
      </c>
      <c r="P963" t="s">
        <v>55</v>
      </c>
      <c r="Q963">
        <v>2.8</v>
      </c>
      <c r="R963">
        <v>15</v>
      </c>
      <c r="S963" t="s">
        <v>27</v>
      </c>
    </row>
    <row r="964" spans="1:19" x14ac:dyDescent="0.3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 t="str">
        <f t="shared" si="15"/>
        <v>31-60 days</v>
      </c>
      <c r="L964">
        <v>50</v>
      </c>
      <c r="M964">
        <v>1</v>
      </c>
      <c r="N964">
        <v>1</v>
      </c>
      <c r="O964" t="s">
        <v>25</v>
      </c>
      <c r="P964" t="s">
        <v>35</v>
      </c>
      <c r="Q964">
        <v>8.6999999999999993</v>
      </c>
      <c r="R964">
        <v>24</v>
      </c>
      <c r="S964" t="s">
        <v>27</v>
      </c>
    </row>
    <row r="965" spans="1:19" x14ac:dyDescent="0.3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 t="str">
        <f t="shared" si="15"/>
        <v>15-30 days</v>
      </c>
      <c r="L965">
        <v>16</v>
      </c>
      <c r="M965">
        <v>3</v>
      </c>
      <c r="N965">
        <v>0</v>
      </c>
      <c r="O965" t="s">
        <v>25</v>
      </c>
      <c r="P965" t="s">
        <v>26</v>
      </c>
      <c r="Q965">
        <v>8.3000000000000007</v>
      </c>
      <c r="R965">
        <v>22</v>
      </c>
      <c r="S965" t="s">
        <v>27</v>
      </c>
    </row>
    <row r="966" spans="1:19" x14ac:dyDescent="0.3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 t="str">
        <f t="shared" si="15"/>
        <v>31-60 days</v>
      </c>
      <c r="L966">
        <v>45</v>
      </c>
      <c r="M966">
        <v>3</v>
      </c>
      <c r="N966">
        <v>1</v>
      </c>
      <c r="O966" t="s">
        <v>54</v>
      </c>
      <c r="P966" t="s">
        <v>55</v>
      </c>
      <c r="Q966">
        <v>14.3</v>
      </c>
      <c r="R966">
        <v>24</v>
      </c>
      <c r="S966" t="s">
        <v>27</v>
      </c>
    </row>
    <row r="967" spans="1:19" x14ac:dyDescent="0.3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 t="str">
        <f t="shared" si="15"/>
        <v>0-7 days</v>
      </c>
      <c r="L967">
        <v>6</v>
      </c>
      <c r="M967">
        <v>2</v>
      </c>
      <c r="N967">
        <v>0</v>
      </c>
      <c r="O967" t="s">
        <v>25</v>
      </c>
      <c r="P967" t="s">
        <v>26</v>
      </c>
      <c r="Q967">
        <v>6.8</v>
      </c>
      <c r="R967">
        <v>42</v>
      </c>
      <c r="S967" t="s">
        <v>36</v>
      </c>
    </row>
    <row r="968" spans="1:19" x14ac:dyDescent="0.3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 t="str">
        <f t="shared" si="15"/>
        <v>31-60 days</v>
      </c>
      <c r="L968">
        <v>43</v>
      </c>
      <c r="M968">
        <v>5</v>
      </c>
      <c r="N968">
        <v>1</v>
      </c>
      <c r="O968" t="s">
        <v>25</v>
      </c>
      <c r="P968" t="s">
        <v>35</v>
      </c>
      <c r="Q968">
        <v>21.5</v>
      </c>
      <c r="R968">
        <v>20</v>
      </c>
      <c r="S968" t="s">
        <v>27</v>
      </c>
    </row>
    <row r="969" spans="1:19" x14ac:dyDescent="0.3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 t="str">
        <f t="shared" si="15"/>
        <v>31-60 days</v>
      </c>
      <c r="L969">
        <v>36</v>
      </c>
      <c r="M969">
        <v>0</v>
      </c>
      <c r="N969">
        <v>0</v>
      </c>
      <c r="O969" t="s">
        <v>25</v>
      </c>
      <c r="P969" t="s">
        <v>35</v>
      </c>
      <c r="Q969">
        <v>11.5</v>
      </c>
      <c r="R969">
        <v>15</v>
      </c>
      <c r="S969" t="s">
        <v>27</v>
      </c>
    </row>
    <row r="970" spans="1:19" x14ac:dyDescent="0.3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 t="str">
        <f t="shared" si="15"/>
        <v>8-14 days</v>
      </c>
      <c r="L970">
        <v>11</v>
      </c>
      <c r="M970">
        <v>1</v>
      </c>
      <c r="N970">
        <v>0</v>
      </c>
      <c r="O970" t="s">
        <v>25</v>
      </c>
      <c r="P970" t="s">
        <v>26</v>
      </c>
      <c r="Q970">
        <v>23.8</v>
      </c>
      <c r="R970">
        <v>19</v>
      </c>
      <c r="S970" t="s">
        <v>27</v>
      </c>
    </row>
    <row r="971" spans="1:19" x14ac:dyDescent="0.3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 t="str">
        <f t="shared" si="15"/>
        <v>0-7 days</v>
      </c>
      <c r="L971">
        <v>4</v>
      </c>
      <c r="M971">
        <v>0</v>
      </c>
      <c r="N971">
        <v>0</v>
      </c>
      <c r="O971" t="s">
        <v>54</v>
      </c>
      <c r="P971" t="s">
        <v>55</v>
      </c>
      <c r="Q971">
        <v>2.7</v>
      </c>
      <c r="R971">
        <v>22</v>
      </c>
      <c r="S971" t="s">
        <v>36</v>
      </c>
    </row>
    <row r="972" spans="1:19" x14ac:dyDescent="0.3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 t="str">
        <f t="shared" si="15"/>
        <v>31-60 days</v>
      </c>
      <c r="L972">
        <v>45</v>
      </c>
      <c r="M972">
        <v>3</v>
      </c>
      <c r="N972">
        <v>1</v>
      </c>
      <c r="O972" t="s">
        <v>25</v>
      </c>
      <c r="P972" t="s">
        <v>35</v>
      </c>
      <c r="Q972">
        <v>9.3000000000000007</v>
      </c>
      <c r="R972">
        <v>32</v>
      </c>
      <c r="S972" t="s">
        <v>36</v>
      </c>
    </row>
    <row r="973" spans="1:19" x14ac:dyDescent="0.3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 t="str">
        <f t="shared" si="15"/>
        <v>8-14 days</v>
      </c>
      <c r="L973">
        <v>14</v>
      </c>
      <c r="M973">
        <v>4</v>
      </c>
      <c r="N973">
        <v>1</v>
      </c>
      <c r="O973" t="s">
        <v>25</v>
      </c>
      <c r="P973" t="s">
        <v>35</v>
      </c>
      <c r="Q973">
        <v>20.399999999999999</v>
      </c>
      <c r="R973">
        <v>25</v>
      </c>
      <c r="S973" t="s">
        <v>36</v>
      </c>
    </row>
    <row r="974" spans="1:19" x14ac:dyDescent="0.3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 t="str">
        <f t="shared" si="15"/>
        <v>15-30 days</v>
      </c>
      <c r="L974">
        <v>30</v>
      </c>
      <c r="M974">
        <v>1</v>
      </c>
      <c r="N974">
        <v>0</v>
      </c>
      <c r="O974" t="s">
        <v>54</v>
      </c>
      <c r="P974" t="s">
        <v>55</v>
      </c>
      <c r="R974">
        <v>31</v>
      </c>
      <c r="S974" t="s">
        <v>27</v>
      </c>
    </row>
    <row r="975" spans="1:19" x14ac:dyDescent="0.3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 t="str">
        <f t="shared" si="15"/>
        <v>0-7 days</v>
      </c>
      <c r="L975">
        <v>3</v>
      </c>
      <c r="M975">
        <v>4</v>
      </c>
      <c r="N975">
        <v>3</v>
      </c>
      <c r="O975" t="s">
        <v>25</v>
      </c>
      <c r="P975" t="s">
        <v>35</v>
      </c>
      <c r="Q975">
        <v>15.1</v>
      </c>
      <c r="R975">
        <v>36</v>
      </c>
      <c r="S975" t="s">
        <v>36</v>
      </c>
    </row>
    <row r="976" spans="1:19" x14ac:dyDescent="0.3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 t="str">
        <f t="shared" si="15"/>
        <v>31-60 days</v>
      </c>
      <c r="L976">
        <v>58</v>
      </c>
      <c r="M976">
        <v>3</v>
      </c>
      <c r="N976">
        <v>0</v>
      </c>
      <c r="O976" t="s">
        <v>25</v>
      </c>
      <c r="P976" t="s">
        <v>50</v>
      </c>
      <c r="Q976">
        <v>1.9</v>
      </c>
      <c r="R976">
        <v>21</v>
      </c>
      <c r="S976" t="s">
        <v>27</v>
      </c>
    </row>
    <row r="977" spans="1:19" x14ac:dyDescent="0.3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 t="str">
        <f t="shared" si="15"/>
        <v>31-60 days</v>
      </c>
      <c r="L977">
        <v>33</v>
      </c>
      <c r="M977">
        <v>2</v>
      </c>
      <c r="N977">
        <v>1</v>
      </c>
      <c r="O977" t="s">
        <v>25</v>
      </c>
      <c r="P977" t="s">
        <v>35</v>
      </c>
      <c r="Q977">
        <v>3.2</v>
      </c>
      <c r="R977">
        <v>23</v>
      </c>
      <c r="S977" t="s">
        <v>36</v>
      </c>
    </row>
    <row r="978" spans="1:19" x14ac:dyDescent="0.3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 t="str">
        <f t="shared" si="15"/>
        <v>31-60 days</v>
      </c>
      <c r="L978">
        <v>56</v>
      </c>
      <c r="M978">
        <v>1</v>
      </c>
      <c r="N978">
        <v>0</v>
      </c>
      <c r="O978" t="s">
        <v>25</v>
      </c>
      <c r="P978" t="s">
        <v>35</v>
      </c>
      <c r="Q978">
        <v>2.9</v>
      </c>
      <c r="R978">
        <v>29</v>
      </c>
      <c r="S978" t="s">
        <v>27</v>
      </c>
    </row>
    <row r="979" spans="1:19" x14ac:dyDescent="0.3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 t="str">
        <f t="shared" si="15"/>
        <v>8-14 days</v>
      </c>
      <c r="L979">
        <v>9</v>
      </c>
      <c r="M979">
        <v>7</v>
      </c>
      <c r="N979">
        <v>0</v>
      </c>
      <c r="O979" t="s">
        <v>25</v>
      </c>
      <c r="P979" t="s">
        <v>50</v>
      </c>
      <c r="Q979">
        <v>3.4</v>
      </c>
      <c r="R979">
        <v>17</v>
      </c>
      <c r="S979" t="s">
        <v>36</v>
      </c>
    </row>
    <row r="980" spans="1:19" x14ac:dyDescent="0.3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 t="str">
        <f t="shared" si="15"/>
        <v>8-14 days</v>
      </c>
      <c r="L980">
        <v>12</v>
      </c>
      <c r="M980">
        <v>6</v>
      </c>
      <c r="N980">
        <v>0</v>
      </c>
      <c r="O980" t="s">
        <v>25</v>
      </c>
      <c r="P980" t="s">
        <v>35</v>
      </c>
      <c r="Q980">
        <v>13.8</v>
      </c>
      <c r="R980">
        <v>24</v>
      </c>
      <c r="S980" t="s">
        <v>27</v>
      </c>
    </row>
    <row r="981" spans="1:19" x14ac:dyDescent="0.3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 t="str">
        <f t="shared" si="15"/>
        <v>31-60 days</v>
      </c>
      <c r="L981">
        <v>37</v>
      </c>
      <c r="M981">
        <v>4</v>
      </c>
      <c r="N981">
        <v>1</v>
      </c>
      <c r="O981" t="s">
        <v>25</v>
      </c>
      <c r="P981" t="s">
        <v>35</v>
      </c>
      <c r="Q981">
        <v>6.7</v>
      </c>
      <c r="R981">
        <v>36</v>
      </c>
      <c r="S981" t="s">
        <v>36</v>
      </c>
    </row>
    <row r="982" spans="1:19" x14ac:dyDescent="0.3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 t="str">
        <f t="shared" si="15"/>
        <v>31-60 days</v>
      </c>
      <c r="L982">
        <v>36</v>
      </c>
      <c r="M982">
        <v>1</v>
      </c>
      <c r="N982">
        <v>0</v>
      </c>
      <c r="O982" t="s">
        <v>54</v>
      </c>
      <c r="P982" t="s">
        <v>55</v>
      </c>
      <c r="Q982">
        <v>7.9</v>
      </c>
      <c r="R982">
        <v>25</v>
      </c>
      <c r="S982" t="s">
        <v>27</v>
      </c>
    </row>
    <row r="983" spans="1:19" x14ac:dyDescent="0.3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 t="str">
        <f t="shared" si="15"/>
        <v>31-60 days</v>
      </c>
      <c r="L983">
        <v>48</v>
      </c>
      <c r="M983">
        <v>1</v>
      </c>
      <c r="N983">
        <v>0</v>
      </c>
      <c r="O983" t="s">
        <v>25</v>
      </c>
      <c r="P983" t="s">
        <v>26</v>
      </c>
      <c r="Q983">
        <v>4.4000000000000004</v>
      </c>
      <c r="R983">
        <v>38</v>
      </c>
      <c r="S983" t="s">
        <v>27</v>
      </c>
    </row>
    <row r="984" spans="1:19" x14ac:dyDescent="0.3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 t="str">
        <f t="shared" si="15"/>
        <v>31-60 days</v>
      </c>
      <c r="L984">
        <v>56</v>
      </c>
      <c r="M984">
        <v>2</v>
      </c>
      <c r="N984">
        <v>0</v>
      </c>
      <c r="O984" t="s">
        <v>25</v>
      </c>
      <c r="P984" t="s">
        <v>35</v>
      </c>
      <c r="Q984">
        <v>8.4</v>
      </c>
      <c r="R984">
        <v>14</v>
      </c>
      <c r="S984" t="s">
        <v>27</v>
      </c>
    </row>
    <row r="985" spans="1:19" x14ac:dyDescent="0.3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 t="str">
        <f t="shared" si="15"/>
        <v>31-60 days</v>
      </c>
      <c r="L985">
        <v>50</v>
      </c>
      <c r="M985">
        <v>4</v>
      </c>
      <c r="N985">
        <v>1</v>
      </c>
      <c r="O985" t="s">
        <v>25</v>
      </c>
      <c r="P985" t="s">
        <v>35</v>
      </c>
      <c r="Q985">
        <v>19.8</v>
      </c>
      <c r="R985">
        <v>28</v>
      </c>
      <c r="S985" t="s">
        <v>36</v>
      </c>
    </row>
    <row r="986" spans="1:19" x14ac:dyDescent="0.3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 t="str">
        <f t="shared" si="15"/>
        <v>8-14 days</v>
      </c>
      <c r="L986">
        <v>8</v>
      </c>
      <c r="M986">
        <v>3</v>
      </c>
      <c r="N986">
        <v>0</v>
      </c>
      <c r="O986" t="s">
        <v>54</v>
      </c>
      <c r="P986" t="s">
        <v>55</v>
      </c>
      <c r="Q986">
        <v>3.1</v>
      </c>
      <c r="R986">
        <v>30</v>
      </c>
      <c r="S986" t="s">
        <v>36</v>
      </c>
    </row>
    <row r="987" spans="1:19" x14ac:dyDescent="0.3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 t="str">
        <f t="shared" si="15"/>
        <v>15-30 days</v>
      </c>
      <c r="L987">
        <v>18</v>
      </c>
      <c r="M987">
        <v>3</v>
      </c>
      <c r="N987">
        <v>0</v>
      </c>
      <c r="O987" t="s">
        <v>25</v>
      </c>
      <c r="P987" t="s">
        <v>26</v>
      </c>
      <c r="Q987">
        <v>45</v>
      </c>
      <c r="R987">
        <v>27</v>
      </c>
      <c r="S987" t="s">
        <v>27</v>
      </c>
    </row>
    <row r="988" spans="1:19" x14ac:dyDescent="0.3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 t="str">
        <f t="shared" si="15"/>
        <v>31-60 days</v>
      </c>
      <c r="L988">
        <v>55</v>
      </c>
      <c r="M988">
        <v>0</v>
      </c>
      <c r="N988">
        <v>0</v>
      </c>
      <c r="O988" t="s">
        <v>54</v>
      </c>
      <c r="P988" t="s">
        <v>55</v>
      </c>
      <c r="Q988">
        <v>7.2</v>
      </c>
      <c r="R988">
        <v>21</v>
      </c>
      <c r="S988" t="s">
        <v>27</v>
      </c>
    </row>
    <row r="989" spans="1:19" x14ac:dyDescent="0.3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 t="str">
        <f t="shared" si="15"/>
        <v>31-60 days</v>
      </c>
      <c r="L989">
        <v>33</v>
      </c>
      <c r="M989">
        <v>2</v>
      </c>
      <c r="N989">
        <v>0</v>
      </c>
      <c r="O989" t="s">
        <v>25</v>
      </c>
      <c r="P989" t="s">
        <v>35</v>
      </c>
      <c r="Q989">
        <v>4.2</v>
      </c>
      <c r="R989">
        <v>8</v>
      </c>
      <c r="S989" t="s">
        <v>36</v>
      </c>
    </row>
    <row r="990" spans="1:19" x14ac:dyDescent="0.3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 t="str">
        <f t="shared" si="15"/>
        <v>31-60 days</v>
      </c>
      <c r="L990">
        <v>52</v>
      </c>
      <c r="M990">
        <v>5</v>
      </c>
      <c r="N990">
        <v>2</v>
      </c>
      <c r="O990" t="s">
        <v>25</v>
      </c>
      <c r="P990" t="s">
        <v>26</v>
      </c>
      <c r="Q990">
        <v>2.8</v>
      </c>
      <c r="R990">
        <v>36</v>
      </c>
      <c r="S990" t="s">
        <v>27</v>
      </c>
    </row>
    <row r="991" spans="1:19" x14ac:dyDescent="0.3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 t="str">
        <f t="shared" si="15"/>
        <v>31-60 days</v>
      </c>
      <c r="L991">
        <v>34</v>
      </c>
      <c r="M991">
        <v>4</v>
      </c>
      <c r="N991">
        <v>0</v>
      </c>
      <c r="O991" t="s">
        <v>54</v>
      </c>
      <c r="P991" t="s">
        <v>55</v>
      </c>
      <c r="Q991">
        <v>10.7</v>
      </c>
      <c r="R991">
        <v>8</v>
      </c>
      <c r="S991" t="s">
        <v>27</v>
      </c>
    </row>
    <row r="992" spans="1:19" x14ac:dyDescent="0.3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 t="str">
        <f t="shared" si="15"/>
        <v>0-7 days</v>
      </c>
      <c r="L992">
        <v>3</v>
      </c>
      <c r="M992">
        <v>11</v>
      </c>
      <c r="N992">
        <v>3</v>
      </c>
      <c r="O992" t="s">
        <v>25</v>
      </c>
      <c r="P992" t="s">
        <v>35</v>
      </c>
      <c r="Q992">
        <v>9.6999999999999993</v>
      </c>
      <c r="R992">
        <v>9</v>
      </c>
      <c r="S992" t="s">
        <v>27</v>
      </c>
    </row>
    <row r="993" spans="1:19" x14ac:dyDescent="0.3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 t="str">
        <f t="shared" si="15"/>
        <v>15-30 days</v>
      </c>
      <c r="L993">
        <v>28</v>
      </c>
      <c r="M993">
        <v>7</v>
      </c>
      <c r="N993">
        <v>3</v>
      </c>
      <c r="O993" t="s">
        <v>25</v>
      </c>
      <c r="P993" t="s">
        <v>50</v>
      </c>
      <c r="R993">
        <v>30</v>
      </c>
      <c r="S993" t="s">
        <v>27</v>
      </c>
    </row>
    <row r="994" spans="1:19" x14ac:dyDescent="0.3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 t="str">
        <f t="shared" si="15"/>
        <v>31-60 days</v>
      </c>
      <c r="L994">
        <v>50</v>
      </c>
      <c r="M994">
        <v>6</v>
      </c>
      <c r="N994">
        <v>1</v>
      </c>
      <c r="O994" t="s">
        <v>25</v>
      </c>
      <c r="P994" t="s">
        <v>35</v>
      </c>
      <c r="Q994">
        <v>17.600000000000001</v>
      </c>
      <c r="R994">
        <v>20</v>
      </c>
      <c r="S994" t="s">
        <v>36</v>
      </c>
    </row>
    <row r="995" spans="1:19" x14ac:dyDescent="0.3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 t="str">
        <f t="shared" si="15"/>
        <v>31-60 days</v>
      </c>
      <c r="L995">
        <v>39</v>
      </c>
      <c r="M995">
        <v>4</v>
      </c>
      <c r="N995">
        <v>1</v>
      </c>
      <c r="O995" t="s">
        <v>54</v>
      </c>
      <c r="P995" t="s">
        <v>55</v>
      </c>
      <c r="Q995">
        <v>11.9</v>
      </c>
      <c r="R995">
        <v>26</v>
      </c>
      <c r="S995" t="s">
        <v>27</v>
      </c>
    </row>
    <row r="996" spans="1:19" x14ac:dyDescent="0.3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 t="str">
        <f t="shared" si="15"/>
        <v>8-14 days</v>
      </c>
      <c r="L996">
        <v>8</v>
      </c>
      <c r="M996">
        <v>4</v>
      </c>
      <c r="N996">
        <v>2</v>
      </c>
      <c r="O996" t="s">
        <v>25</v>
      </c>
      <c r="P996" t="s">
        <v>50</v>
      </c>
      <c r="Q996">
        <v>17</v>
      </c>
      <c r="R996">
        <v>10</v>
      </c>
      <c r="S996" t="s">
        <v>36</v>
      </c>
    </row>
    <row r="997" spans="1:19" x14ac:dyDescent="0.3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 t="str">
        <f t="shared" si="15"/>
        <v>8-14 days</v>
      </c>
      <c r="L997">
        <v>12</v>
      </c>
      <c r="M997">
        <v>3</v>
      </c>
      <c r="N997">
        <v>0</v>
      </c>
      <c r="O997" t="s">
        <v>25</v>
      </c>
      <c r="P997" t="s">
        <v>35</v>
      </c>
      <c r="Q997">
        <v>18.7</v>
      </c>
      <c r="R997">
        <v>27</v>
      </c>
      <c r="S997" t="s">
        <v>36</v>
      </c>
    </row>
    <row r="998" spans="1:19" x14ac:dyDescent="0.3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 t="str">
        <f t="shared" si="15"/>
        <v>31-60 days</v>
      </c>
      <c r="L998">
        <v>52</v>
      </c>
      <c r="M998">
        <v>4</v>
      </c>
      <c r="N998">
        <v>1</v>
      </c>
      <c r="O998" t="s">
        <v>25</v>
      </c>
      <c r="P998" t="s">
        <v>26</v>
      </c>
      <c r="Q998">
        <v>2.8</v>
      </c>
      <c r="R998">
        <v>33</v>
      </c>
      <c r="S998" t="s">
        <v>27</v>
      </c>
    </row>
    <row r="999" spans="1:19" x14ac:dyDescent="0.3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 t="str">
        <f t="shared" si="15"/>
        <v>31-60 days</v>
      </c>
      <c r="L999">
        <v>59</v>
      </c>
      <c r="M999">
        <v>6</v>
      </c>
      <c r="N999">
        <v>1</v>
      </c>
      <c r="O999" t="s">
        <v>54</v>
      </c>
      <c r="P999" t="s">
        <v>55</v>
      </c>
      <c r="Q999">
        <v>18.600000000000001</v>
      </c>
      <c r="R999">
        <v>7</v>
      </c>
      <c r="S999" t="s">
        <v>27</v>
      </c>
    </row>
    <row r="1000" spans="1:19" x14ac:dyDescent="0.3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 t="str">
        <f t="shared" si="15"/>
        <v>31-60 days</v>
      </c>
      <c r="L1000">
        <v>45</v>
      </c>
      <c r="M1000">
        <v>0</v>
      </c>
      <c r="N1000">
        <v>0</v>
      </c>
      <c r="O1000" t="s">
        <v>54</v>
      </c>
      <c r="P1000" t="s">
        <v>55</v>
      </c>
      <c r="Q1000">
        <v>13.1</v>
      </c>
      <c r="R1000">
        <v>27</v>
      </c>
      <c r="S1000" t="s">
        <v>36</v>
      </c>
    </row>
    <row r="1001" spans="1:19" x14ac:dyDescent="0.3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 t="str">
        <f t="shared" si="15"/>
        <v>0-7 days</v>
      </c>
      <c r="L1001">
        <v>5</v>
      </c>
      <c r="M1001">
        <v>2</v>
      </c>
      <c r="N1001">
        <v>1</v>
      </c>
      <c r="O1001" t="s">
        <v>25</v>
      </c>
      <c r="P1001" t="s">
        <v>35</v>
      </c>
      <c r="Q1001">
        <v>11.7</v>
      </c>
      <c r="R1001">
        <v>34</v>
      </c>
      <c r="S1001" t="s">
        <v>36</v>
      </c>
    </row>
    <row r="1002" spans="1:19" x14ac:dyDescent="0.3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 t="str">
        <f t="shared" si="15"/>
        <v>31-60 days</v>
      </c>
      <c r="L1002">
        <v>37</v>
      </c>
      <c r="M1002">
        <v>3</v>
      </c>
      <c r="N1002">
        <v>0</v>
      </c>
      <c r="O1002" t="s">
        <v>25</v>
      </c>
      <c r="P1002" t="s">
        <v>50</v>
      </c>
      <c r="Q1002">
        <v>7</v>
      </c>
      <c r="R1002">
        <v>9</v>
      </c>
      <c r="S1002" t="s">
        <v>36</v>
      </c>
    </row>
    <row r="1003" spans="1:19" x14ac:dyDescent="0.3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 t="str">
        <f t="shared" si="15"/>
        <v>31-60 days</v>
      </c>
      <c r="L1003">
        <v>50</v>
      </c>
      <c r="M1003">
        <v>4</v>
      </c>
      <c r="N1003">
        <v>0</v>
      </c>
      <c r="O1003" t="s">
        <v>25</v>
      </c>
      <c r="P1003" t="s">
        <v>26</v>
      </c>
      <c r="Q1003">
        <v>17.899999999999999</v>
      </c>
      <c r="R1003">
        <v>26</v>
      </c>
      <c r="S1003" t="s">
        <v>27</v>
      </c>
    </row>
    <row r="1004" spans="1:19" x14ac:dyDescent="0.3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 t="str">
        <f t="shared" si="15"/>
        <v>31-60 days</v>
      </c>
      <c r="L1004">
        <v>39</v>
      </c>
      <c r="M1004">
        <v>4</v>
      </c>
      <c r="N1004">
        <v>0</v>
      </c>
      <c r="O1004" t="s">
        <v>54</v>
      </c>
      <c r="P1004" t="s">
        <v>55</v>
      </c>
      <c r="Q1004">
        <v>19.7</v>
      </c>
      <c r="R1004">
        <v>25</v>
      </c>
      <c r="S1004" t="s">
        <v>36</v>
      </c>
    </row>
    <row r="1005" spans="1:19" x14ac:dyDescent="0.3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 t="str">
        <f t="shared" si="15"/>
        <v>31-60 days</v>
      </c>
      <c r="L1005">
        <v>36</v>
      </c>
      <c r="M1005">
        <v>3</v>
      </c>
      <c r="N1005">
        <v>1</v>
      </c>
      <c r="O1005" t="s">
        <v>25</v>
      </c>
      <c r="P1005" t="s">
        <v>50</v>
      </c>
      <c r="Q1005">
        <v>11.1</v>
      </c>
      <c r="R1005">
        <v>28</v>
      </c>
      <c r="S1005" t="s">
        <v>27</v>
      </c>
    </row>
    <row r="1006" spans="1:19" x14ac:dyDescent="0.3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 t="str">
        <f t="shared" si="15"/>
        <v>15-30 days</v>
      </c>
      <c r="L1006">
        <v>28</v>
      </c>
      <c r="M1006">
        <v>4</v>
      </c>
      <c r="N1006">
        <v>0</v>
      </c>
      <c r="O1006" t="s">
        <v>25</v>
      </c>
      <c r="P1006" t="s">
        <v>35</v>
      </c>
      <c r="Q1006">
        <v>11.8</v>
      </c>
      <c r="R1006">
        <v>21</v>
      </c>
      <c r="S1006" t="s">
        <v>36</v>
      </c>
    </row>
    <row r="1007" spans="1:19" x14ac:dyDescent="0.3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 t="str">
        <f t="shared" si="15"/>
        <v>8-14 days</v>
      </c>
      <c r="L1007">
        <v>14</v>
      </c>
      <c r="M1007">
        <v>5</v>
      </c>
      <c r="N1007">
        <v>1</v>
      </c>
      <c r="O1007" t="s">
        <v>54</v>
      </c>
      <c r="P1007" t="s">
        <v>55</v>
      </c>
      <c r="Q1007">
        <v>29.2</v>
      </c>
      <c r="R1007">
        <v>8</v>
      </c>
      <c r="S1007" t="s">
        <v>36</v>
      </c>
    </row>
    <row r="1008" spans="1:19" x14ac:dyDescent="0.3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 t="str">
        <f t="shared" si="15"/>
        <v>15-30 days</v>
      </c>
      <c r="L1008">
        <v>17</v>
      </c>
      <c r="M1008">
        <v>3</v>
      </c>
      <c r="N1008">
        <v>0</v>
      </c>
      <c r="O1008" t="s">
        <v>54</v>
      </c>
      <c r="P1008" t="s">
        <v>55</v>
      </c>
      <c r="Q1008">
        <v>0.6</v>
      </c>
      <c r="R1008">
        <v>20</v>
      </c>
      <c r="S1008" t="s">
        <v>27</v>
      </c>
    </row>
    <row r="1009" spans="1:19" x14ac:dyDescent="0.3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 t="str">
        <f t="shared" si="15"/>
        <v>31-60 days</v>
      </c>
      <c r="L1009">
        <v>45</v>
      </c>
      <c r="M1009">
        <v>5</v>
      </c>
      <c r="N1009">
        <v>1</v>
      </c>
      <c r="O1009" t="s">
        <v>54</v>
      </c>
      <c r="P1009" t="s">
        <v>55</v>
      </c>
      <c r="Q1009">
        <v>21.1</v>
      </c>
      <c r="R1009">
        <v>18</v>
      </c>
      <c r="S1009" t="s">
        <v>27</v>
      </c>
    </row>
    <row r="1010" spans="1:19" x14ac:dyDescent="0.3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 t="str">
        <f t="shared" si="15"/>
        <v>0-7 days</v>
      </c>
      <c r="L1010">
        <v>4</v>
      </c>
      <c r="M1010">
        <v>5</v>
      </c>
      <c r="N1010">
        <v>1</v>
      </c>
      <c r="O1010" t="s">
        <v>25</v>
      </c>
      <c r="P1010" t="s">
        <v>35</v>
      </c>
      <c r="Q1010">
        <v>8.6999999999999993</v>
      </c>
      <c r="R1010">
        <v>23</v>
      </c>
      <c r="S1010" t="s">
        <v>36</v>
      </c>
    </row>
    <row r="1011" spans="1:19" x14ac:dyDescent="0.3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 t="str">
        <f t="shared" si="15"/>
        <v>0-7 days</v>
      </c>
      <c r="L1011">
        <v>5</v>
      </c>
      <c r="M1011">
        <v>0</v>
      </c>
      <c r="N1011">
        <v>0</v>
      </c>
      <c r="O1011" t="s">
        <v>25</v>
      </c>
      <c r="P1011" t="s">
        <v>26</v>
      </c>
      <c r="Q1011">
        <v>22.3</v>
      </c>
      <c r="R1011">
        <v>37</v>
      </c>
      <c r="S1011" t="s">
        <v>36</v>
      </c>
    </row>
    <row r="1012" spans="1:19" x14ac:dyDescent="0.3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 t="str">
        <f t="shared" si="15"/>
        <v>15-30 days</v>
      </c>
      <c r="L1012">
        <v>24</v>
      </c>
      <c r="M1012">
        <v>3</v>
      </c>
      <c r="N1012">
        <v>0</v>
      </c>
      <c r="O1012" t="s">
        <v>25</v>
      </c>
      <c r="P1012" t="s">
        <v>35</v>
      </c>
      <c r="Q1012">
        <v>4.3</v>
      </c>
      <c r="R1012">
        <v>8</v>
      </c>
      <c r="S1012" t="s">
        <v>27</v>
      </c>
    </row>
    <row r="1013" spans="1:19" x14ac:dyDescent="0.3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 t="str">
        <f t="shared" si="15"/>
        <v>31-60 days</v>
      </c>
      <c r="L1013">
        <v>47</v>
      </c>
      <c r="M1013">
        <v>0</v>
      </c>
      <c r="N1013">
        <v>0</v>
      </c>
      <c r="O1013" t="s">
        <v>25</v>
      </c>
      <c r="P1013" t="s">
        <v>50</v>
      </c>
      <c r="Q1013">
        <v>10.9</v>
      </c>
      <c r="R1013">
        <v>35</v>
      </c>
      <c r="S1013" t="s">
        <v>27</v>
      </c>
    </row>
    <row r="1014" spans="1:19" x14ac:dyDescent="0.3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 t="str">
        <f t="shared" si="15"/>
        <v>31-60 days</v>
      </c>
      <c r="L1014">
        <v>40</v>
      </c>
      <c r="M1014">
        <v>5</v>
      </c>
      <c r="N1014">
        <v>0</v>
      </c>
      <c r="O1014" t="s">
        <v>54</v>
      </c>
      <c r="P1014" t="s">
        <v>55</v>
      </c>
      <c r="Q1014">
        <v>10.8</v>
      </c>
      <c r="R1014">
        <v>43</v>
      </c>
      <c r="S1014" t="s">
        <v>36</v>
      </c>
    </row>
    <row r="1015" spans="1:19" x14ac:dyDescent="0.3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 t="str">
        <f t="shared" si="15"/>
        <v>31-60 days</v>
      </c>
      <c r="L1015">
        <v>35</v>
      </c>
      <c r="M1015">
        <v>6</v>
      </c>
      <c r="N1015">
        <v>1</v>
      </c>
      <c r="O1015" t="s">
        <v>25</v>
      </c>
      <c r="P1015" t="s">
        <v>26</v>
      </c>
      <c r="Q1015">
        <v>12.5</v>
      </c>
      <c r="R1015">
        <v>43</v>
      </c>
      <c r="S1015" t="s">
        <v>36</v>
      </c>
    </row>
    <row r="1016" spans="1:19" x14ac:dyDescent="0.3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 t="str">
        <f t="shared" si="15"/>
        <v>31-60 days</v>
      </c>
      <c r="L1016">
        <v>32</v>
      </c>
      <c r="M1016">
        <v>7</v>
      </c>
      <c r="N1016">
        <v>1</v>
      </c>
      <c r="O1016" t="s">
        <v>25</v>
      </c>
      <c r="P1016" t="s">
        <v>26</v>
      </c>
      <c r="Q1016">
        <v>7.3</v>
      </c>
      <c r="R1016">
        <v>44</v>
      </c>
      <c r="S1016" t="s">
        <v>27</v>
      </c>
    </row>
    <row r="1017" spans="1:19" x14ac:dyDescent="0.3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 t="str">
        <f t="shared" si="15"/>
        <v>0-7 days</v>
      </c>
      <c r="L1017">
        <v>6</v>
      </c>
      <c r="M1017">
        <v>3</v>
      </c>
      <c r="N1017">
        <v>0</v>
      </c>
      <c r="O1017" t="s">
        <v>54</v>
      </c>
      <c r="P1017" t="s">
        <v>55</v>
      </c>
      <c r="Q1017">
        <v>5.8</v>
      </c>
      <c r="R1017">
        <v>26</v>
      </c>
      <c r="S1017" t="s">
        <v>36</v>
      </c>
    </row>
    <row r="1018" spans="1:19" x14ac:dyDescent="0.3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 t="str">
        <f t="shared" si="15"/>
        <v>15-30 days</v>
      </c>
      <c r="L1018">
        <v>20</v>
      </c>
      <c r="M1018">
        <v>5</v>
      </c>
      <c r="N1018">
        <v>0</v>
      </c>
      <c r="O1018" t="s">
        <v>25</v>
      </c>
      <c r="P1018" t="s">
        <v>50</v>
      </c>
      <c r="Q1018">
        <v>12.5</v>
      </c>
      <c r="R1018">
        <v>25</v>
      </c>
      <c r="S1018" t="s">
        <v>36</v>
      </c>
    </row>
    <row r="1019" spans="1:19" x14ac:dyDescent="0.3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 t="str">
        <f t="shared" si="15"/>
        <v>0-7 days</v>
      </c>
      <c r="L1019">
        <v>4</v>
      </c>
      <c r="M1019">
        <v>2</v>
      </c>
      <c r="N1019">
        <v>0</v>
      </c>
      <c r="O1019" t="s">
        <v>25</v>
      </c>
      <c r="P1019" t="s">
        <v>26</v>
      </c>
      <c r="Q1019">
        <v>13.5</v>
      </c>
      <c r="R1019">
        <v>4</v>
      </c>
      <c r="S1019" t="s">
        <v>71</v>
      </c>
    </row>
    <row r="1020" spans="1:19" x14ac:dyDescent="0.3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 t="str">
        <f t="shared" si="15"/>
        <v>31-60 days</v>
      </c>
      <c r="L1020">
        <v>46</v>
      </c>
      <c r="M1020">
        <v>2</v>
      </c>
      <c r="N1020">
        <v>1</v>
      </c>
      <c r="O1020" t="s">
        <v>54</v>
      </c>
      <c r="P1020" t="s">
        <v>55</v>
      </c>
      <c r="Q1020">
        <v>8.1</v>
      </c>
      <c r="R1020">
        <v>22</v>
      </c>
      <c r="S1020" t="s">
        <v>36</v>
      </c>
    </row>
    <row r="1021" spans="1:19" x14ac:dyDescent="0.3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 t="str">
        <f t="shared" si="15"/>
        <v>31-60 days</v>
      </c>
      <c r="L1021">
        <v>45</v>
      </c>
      <c r="M1021">
        <v>4</v>
      </c>
      <c r="N1021">
        <v>1</v>
      </c>
      <c r="O1021" t="s">
        <v>25</v>
      </c>
      <c r="P1021" t="s">
        <v>26</v>
      </c>
      <c r="Q1021">
        <v>12.1</v>
      </c>
      <c r="R1021">
        <v>36</v>
      </c>
      <c r="S1021" t="s">
        <v>27</v>
      </c>
    </row>
    <row r="1022" spans="1:19" x14ac:dyDescent="0.3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 t="str">
        <f t="shared" si="15"/>
        <v>15-30 days</v>
      </c>
      <c r="L1022">
        <v>15</v>
      </c>
      <c r="M1022">
        <v>2</v>
      </c>
      <c r="N1022">
        <v>1</v>
      </c>
      <c r="O1022" t="s">
        <v>54</v>
      </c>
      <c r="P1022" t="s">
        <v>55</v>
      </c>
      <c r="Q1022">
        <v>24.8</v>
      </c>
      <c r="R1022">
        <v>8</v>
      </c>
      <c r="S1022" t="s">
        <v>36</v>
      </c>
    </row>
    <row r="1023" spans="1:19" x14ac:dyDescent="0.3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 t="str">
        <f t="shared" si="15"/>
        <v>15-30 days</v>
      </c>
      <c r="L1023">
        <v>17</v>
      </c>
      <c r="M1023">
        <v>6</v>
      </c>
      <c r="N1023">
        <v>1</v>
      </c>
      <c r="O1023" t="s">
        <v>54</v>
      </c>
      <c r="P1023" t="s">
        <v>55</v>
      </c>
      <c r="Q1023">
        <v>9.1999999999999993</v>
      </c>
      <c r="R1023">
        <v>15</v>
      </c>
      <c r="S1023" t="s">
        <v>36</v>
      </c>
    </row>
    <row r="1024" spans="1:19" x14ac:dyDescent="0.3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 t="str">
        <f t="shared" si="15"/>
        <v>15-30 days</v>
      </c>
      <c r="L1024">
        <v>19</v>
      </c>
      <c r="M1024">
        <v>2</v>
      </c>
      <c r="N1024">
        <v>1</v>
      </c>
      <c r="O1024" t="s">
        <v>54</v>
      </c>
      <c r="P1024" t="s">
        <v>55</v>
      </c>
      <c r="Q1024">
        <v>1.3</v>
      </c>
      <c r="R1024">
        <v>25</v>
      </c>
      <c r="S1024" t="s">
        <v>27</v>
      </c>
    </row>
    <row r="1025" spans="1:19" x14ac:dyDescent="0.3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 t="str">
        <f t="shared" si="15"/>
        <v>31-60 days</v>
      </c>
      <c r="L1025">
        <v>54</v>
      </c>
      <c r="M1025">
        <v>4</v>
      </c>
      <c r="N1025">
        <v>0</v>
      </c>
      <c r="O1025" t="s">
        <v>25</v>
      </c>
      <c r="P1025" t="s">
        <v>35</v>
      </c>
      <c r="Q1025">
        <v>11.3</v>
      </c>
      <c r="R1025">
        <v>6</v>
      </c>
      <c r="S1025" t="s">
        <v>27</v>
      </c>
    </row>
    <row r="1026" spans="1:19" x14ac:dyDescent="0.3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 t="str">
        <f t="shared" si="15"/>
        <v>15-30 days</v>
      </c>
      <c r="L1026">
        <v>29</v>
      </c>
      <c r="M1026">
        <v>3</v>
      </c>
      <c r="N1026">
        <v>1</v>
      </c>
      <c r="O1026" t="s">
        <v>25</v>
      </c>
      <c r="P1026" t="s">
        <v>35</v>
      </c>
      <c r="Q1026">
        <v>3.2</v>
      </c>
      <c r="R1026">
        <v>44</v>
      </c>
      <c r="S1026" t="s">
        <v>27</v>
      </c>
    </row>
    <row r="1027" spans="1:19" x14ac:dyDescent="0.3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 t="str">
        <f t="shared" ref="K1027:K1090" si="16">IF(L1027&lt;=7,"0-7 days",IF(L1027&lt;=14,"8-14 days",IF(L1027&lt;=30,"15-30 days","31-60 days")))</f>
        <v>31-60 days</v>
      </c>
      <c r="L1027">
        <v>46</v>
      </c>
      <c r="M1027">
        <v>6</v>
      </c>
      <c r="N1027">
        <v>1</v>
      </c>
      <c r="O1027" t="s">
        <v>25</v>
      </c>
      <c r="P1027" t="s">
        <v>26</v>
      </c>
      <c r="Q1027">
        <v>10.5</v>
      </c>
      <c r="R1027">
        <v>30</v>
      </c>
      <c r="S1027" t="s">
        <v>27</v>
      </c>
    </row>
    <row r="1028" spans="1:19" x14ac:dyDescent="0.3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 t="str">
        <f t="shared" si="16"/>
        <v>15-30 days</v>
      </c>
      <c r="L1028">
        <v>27</v>
      </c>
      <c r="M1028">
        <v>2</v>
      </c>
      <c r="N1028">
        <v>1</v>
      </c>
      <c r="O1028" t="s">
        <v>54</v>
      </c>
      <c r="P1028" t="s">
        <v>55</v>
      </c>
      <c r="Q1028">
        <v>15.8</v>
      </c>
      <c r="R1028">
        <v>28</v>
      </c>
      <c r="S1028" t="s">
        <v>36</v>
      </c>
    </row>
    <row r="1029" spans="1:19" x14ac:dyDescent="0.3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 t="str">
        <f t="shared" si="16"/>
        <v>31-60 days</v>
      </c>
      <c r="L1029">
        <v>42</v>
      </c>
      <c r="M1029">
        <v>1</v>
      </c>
      <c r="N1029">
        <v>1</v>
      </c>
      <c r="O1029" t="s">
        <v>25</v>
      </c>
      <c r="P1029" t="s">
        <v>50</v>
      </c>
      <c r="Q1029">
        <v>7.8</v>
      </c>
      <c r="R1029">
        <v>33</v>
      </c>
      <c r="S1029" t="s">
        <v>27</v>
      </c>
    </row>
    <row r="1030" spans="1:19" x14ac:dyDescent="0.3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 t="str">
        <f t="shared" si="16"/>
        <v>31-60 days</v>
      </c>
      <c r="L1030">
        <v>32</v>
      </c>
      <c r="M1030">
        <v>3</v>
      </c>
      <c r="N1030">
        <v>1</v>
      </c>
      <c r="O1030" t="s">
        <v>25</v>
      </c>
      <c r="P1030" t="s">
        <v>35</v>
      </c>
      <c r="Q1030">
        <v>14.6</v>
      </c>
      <c r="R1030">
        <v>20</v>
      </c>
      <c r="S1030" t="s">
        <v>36</v>
      </c>
    </row>
    <row r="1031" spans="1:19" x14ac:dyDescent="0.3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 t="str">
        <f t="shared" si="16"/>
        <v>15-30 days</v>
      </c>
      <c r="L1031">
        <v>16</v>
      </c>
      <c r="M1031">
        <v>1</v>
      </c>
      <c r="N1031">
        <v>0</v>
      </c>
      <c r="O1031" t="s">
        <v>54</v>
      </c>
      <c r="P1031" t="s">
        <v>55</v>
      </c>
      <c r="Q1031">
        <v>14.9</v>
      </c>
      <c r="R1031">
        <v>27</v>
      </c>
      <c r="S1031" t="s">
        <v>36</v>
      </c>
    </row>
    <row r="1032" spans="1:19" x14ac:dyDescent="0.3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 t="str">
        <f t="shared" si="16"/>
        <v>31-60 days</v>
      </c>
      <c r="L1032">
        <v>53</v>
      </c>
      <c r="M1032">
        <v>3</v>
      </c>
      <c r="N1032">
        <v>1</v>
      </c>
      <c r="O1032" t="s">
        <v>25</v>
      </c>
      <c r="P1032" t="s">
        <v>35</v>
      </c>
      <c r="Q1032">
        <v>18.8</v>
      </c>
      <c r="R1032">
        <v>13</v>
      </c>
      <c r="S1032" t="s">
        <v>27</v>
      </c>
    </row>
    <row r="1033" spans="1:19" x14ac:dyDescent="0.3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 t="str">
        <f t="shared" si="16"/>
        <v>31-60 days</v>
      </c>
      <c r="L1033">
        <v>43</v>
      </c>
      <c r="M1033">
        <v>5</v>
      </c>
      <c r="N1033">
        <v>1</v>
      </c>
      <c r="O1033" t="s">
        <v>25</v>
      </c>
      <c r="P1033" t="s">
        <v>50</v>
      </c>
      <c r="Q1033">
        <v>27.2</v>
      </c>
      <c r="R1033">
        <v>2</v>
      </c>
      <c r="S1033" t="s">
        <v>27</v>
      </c>
    </row>
    <row r="1034" spans="1:19" x14ac:dyDescent="0.3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 t="str">
        <f t="shared" si="16"/>
        <v>31-60 days</v>
      </c>
      <c r="L1034">
        <v>46</v>
      </c>
      <c r="M1034">
        <v>0</v>
      </c>
      <c r="N1034">
        <v>0</v>
      </c>
      <c r="O1034" t="s">
        <v>25</v>
      </c>
      <c r="P1034" t="s">
        <v>26</v>
      </c>
      <c r="Q1034">
        <v>22.4</v>
      </c>
      <c r="R1034">
        <v>24</v>
      </c>
      <c r="S1034" t="s">
        <v>27</v>
      </c>
    </row>
    <row r="1035" spans="1:19" x14ac:dyDescent="0.3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 t="str">
        <f t="shared" si="16"/>
        <v>31-60 days</v>
      </c>
      <c r="L1035">
        <v>57</v>
      </c>
      <c r="M1035">
        <v>3</v>
      </c>
      <c r="N1035">
        <v>0</v>
      </c>
      <c r="O1035" t="s">
        <v>25</v>
      </c>
      <c r="P1035" t="s">
        <v>50</v>
      </c>
      <c r="Q1035">
        <v>0.9</v>
      </c>
      <c r="R1035">
        <v>41</v>
      </c>
      <c r="S1035" t="s">
        <v>27</v>
      </c>
    </row>
    <row r="1036" spans="1:19" x14ac:dyDescent="0.3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 t="str">
        <f t="shared" si="16"/>
        <v>15-30 days</v>
      </c>
      <c r="L1036">
        <v>15</v>
      </c>
      <c r="M1036">
        <v>3</v>
      </c>
      <c r="N1036">
        <v>1</v>
      </c>
      <c r="O1036" t="s">
        <v>25</v>
      </c>
      <c r="P1036" t="s">
        <v>35</v>
      </c>
      <c r="Q1036">
        <v>5.7</v>
      </c>
      <c r="R1036">
        <v>42</v>
      </c>
      <c r="S1036" t="s">
        <v>36</v>
      </c>
    </row>
    <row r="1037" spans="1:19" x14ac:dyDescent="0.3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 t="str">
        <f t="shared" si="16"/>
        <v>0-7 days</v>
      </c>
      <c r="L1037">
        <v>5</v>
      </c>
      <c r="M1037">
        <v>5</v>
      </c>
      <c r="N1037">
        <v>0</v>
      </c>
      <c r="O1037" t="s">
        <v>25</v>
      </c>
      <c r="P1037" t="s">
        <v>26</v>
      </c>
      <c r="Q1037">
        <v>4.2</v>
      </c>
      <c r="R1037">
        <v>22</v>
      </c>
      <c r="S1037" t="s">
        <v>36</v>
      </c>
    </row>
    <row r="1038" spans="1:19" x14ac:dyDescent="0.3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 t="str">
        <f t="shared" si="16"/>
        <v>31-60 days</v>
      </c>
      <c r="L1038">
        <v>35</v>
      </c>
      <c r="M1038">
        <v>5</v>
      </c>
      <c r="N1038">
        <v>0</v>
      </c>
      <c r="O1038" t="s">
        <v>25</v>
      </c>
      <c r="P1038" t="s">
        <v>50</v>
      </c>
      <c r="Q1038">
        <v>13.2</v>
      </c>
      <c r="R1038">
        <v>21</v>
      </c>
      <c r="S1038" t="s">
        <v>36</v>
      </c>
    </row>
    <row r="1039" spans="1:19" x14ac:dyDescent="0.3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 t="str">
        <f t="shared" si="16"/>
        <v>15-30 days</v>
      </c>
      <c r="L1039">
        <v>19</v>
      </c>
      <c r="M1039">
        <v>0</v>
      </c>
      <c r="N1039">
        <v>0</v>
      </c>
      <c r="O1039" t="s">
        <v>25</v>
      </c>
      <c r="P1039" t="s">
        <v>35</v>
      </c>
      <c r="Q1039">
        <v>7.9</v>
      </c>
      <c r="R1039">
        <v>7</v>
      </c>
      <c r="S1039" t="s">
        <v>27</v>
      </c>
    </row>
    <row r="1040" spans="1:19" x14ac:dyDescent="0.3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 t="str">
        <f t="shared" si="16"/>
        <v>15-30 days</v>
      </c>
      <c r="L1040">
        <v>26</v>
      </c>
      <c r="M1040">
        <v>4</v>
      </c>
      <c r="N1040">
        <v>2</v>
      </c>
      <c r="O1040" t="s">
        <v>25</v>
      </c>
      <c r="P1040" t="s">
        <v>35</v>
      </c>
      <c r="Q1040">
        <v>4.7</v>
      </c>
      <c r="R1040">
        <v>36</v>
      </c>
      <c r="S1040" t="s">
        <v>36</v>
      </c>
    </row>
    <row r="1041" spans="1:19" x14ac:dyDescent="0.3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 t="str">
        <f t="shared" si="16"/>
        <v>8-14 days</v>
      </c>
      <c r="L1041">
        <v>14</v>
      </c>
      <c r="M1041">
        <v>2</v>
      </c>
      <c r="N1041">
        <v>0</v>
      </c>
      <c r="O1041" t="s">
        <v>25</v>
      </c>
      <c r="P1041" t="s">
        <v>26</v>
      </c>
      <c r="Q1041">
        <v>5.8</v>
      </c>
      <c r="R1041">
        <v>29</v>
      </c>
      <c r="S1041" t="s">
        <v>36</v>
      </c>
    </row>
    <row r="1042" spans="1:19" x14ac:dyDescent="0.3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 t="str">
        <f t="shared" si="16"/>
        <v>15-30 days</v>
      </c>
      <c r="L1042">
        <v>24</v>
      </c>
      <c r="M1042">
        <v>2</v>
      </c>
      <c r="N1042">
        <v>2</v>
      </c>
      <c r="O1042" t="s">
        <v>25</v>
      </c>
      <c r="P1042" t="s">
        <v>26</v>
      </c>
      <c r="Q1042">
        <v>6.4</v>
      </c>
      <c r="R1042">
        <v>22</v>
      </c>
      <c r="S1042" t="s">
        <v>36</v>
      </c>
    </row>
    <row r="1043" spans="1:19" x14ac:dyDescent="0.3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 t="str">
        <f t="shared" si="16"/>
        <v>15-30 days</v>
      </c>
      <c r="L1043">
        <v>23</v>
      </c>
      <c r="M1043">
        <v>8</v>
      </c>
      <c r="N1043">
        <v>3</v>
      </c>
      <c r="O1043" t="s">
        <v>54</v>
      </c>
      <c r="P1043" t="s">
        <v>55</v>
      </c>
      <c r="Q1043">
        <v>14.6</v>
      </c>
      <c r="R1043">
        <v>2</v>
      </c>
      <c r="S1043" t="s">
        <v>27</v>
      </c>
    </row>
    <row r="1044" spans="1:19" x14ac:dyDescent="0.3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 t="str">
        <f t="shared" si="16"/>
        <v>15-30 days</v>
      </c>
      <c r="L1044">
        <v>21</v>
      </c>
      <c r="M1044">
        <v>1</v>
      </c>
      <c r="N1044">
        <v>0</v>
      </c>
      <c r="O1044" t="s">
        <v>25</v>
      </c>
      <c r="P1044" t="s">
        <v>26</v>
      </c>
      <c r="Q1044">
        <v>2.2000000000000002</v>
      </c>
      <c r="R1044">
        <v>4</v>
      </c>
      <c r="S1044" t="s">
        <v>27</v>
      </c>
    </row>
    <row r="1045" spans="1:19" x14ac:dyDescent="0.3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 t="str">
        <f t="shared" si="16"/>
        <v>31-60 days</v>
      </c>
      <c r="L1045">
        <v>45</v>
      </c>
      <c r="M1045">
        <v>1</v>
      </c>
      <c r="N1045">
        <v>0</v>
      </c>
      <c r="O1045" t="s">
        <v>54</v>
      </c>
      <c r="P1045" t="s">
        <v>55</v>
      </c>
      <c r="Q1045">
        <v>4.7</v>
      </c>
      <c r="R1045">
        <v>25</v>
      </c>
      <c r="S1045" t="s">
        <v>71</v>
      </c>
    </row>
    <row r="1046" spans="1:19" x14ac:dyDescent="0.3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 t="str">
        <f t="shared" si="16"/>
        <v>31-60 days</v>
      </c>
      <c r="L1046">
        <v>36</v>
      </c>
      <c r="M1046">
        <v>2</v>
      </c>
      <c r="N1046">
        <v>1</v>
      </c>
      <c r="O1046" t="s">
        <v>54</v>
      </c>
      <c r="P1046" t="s">
        <v>55</v>
      </c>
      <c r="Q1046">
        <v>0.7</v>
      </c>
      <c r="S1046" t="s">
        <v>36</v>
      </c>
    </row>
    <row r="1047" spans="1:19" x14ac:dyDescent="0.3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 t="str">
        <f t="shared" si="16"/>
        <v>15-30 days</v>
      </c>
      <c r="L1047">
        <v>28</v>
      </c>
      <c r="M1047">
        <v>4</v>
      </c>
      <c r="N1047">
        <v>1</v>
      </c>
      <c r="O1047" t="s">
        <v>54</v>
      </c>
      <c r="P1047" t="s">
        <v>55</v>
      </c>
      <c r="Q1047">
        <v>14.5</v>
      </c>
      <c r="R1047">
        <v>30</v>
      </c>
      <c r="S1047" t="s">
        <v>36</v>
      </c>
    </row>
    <row r="1048" spans="1:19" x14ac:dyDescent="0.3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 t="str">
        <f t="shared" si="16"/>
        <v>0-7 days</v>
      </c>
      <c r="L1048">
        <v>6</v>
      </c>
      <c r="M1048">
        <v>5</v>
      </c>
      <c r="N1048">
        <v>0</v>
      </c>
      <c r="O1048" t="s">
        <v>25</v>
      </c>
      <c r="P1048" t="s">
        <v>35</v>
      </c>
      <c r="Q1048">
        <v>17.7</v>
      </c>
      <c r="R1048">
        <v>30</v>
      </c>
      <c r="S1048" t="s">
        <v>36</v>
      </c>
    </row>
    <row r="1049" spans="1:19" x14ac:dyDescent="0.3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 t="str">
        <f t="shared" si="16"/>
        <v>31-60 days</v>
      </c>
      <c r="L1049">
        <v>34</v>
      </c>
      <c r="M1049">
        <v>3</v>
      </c>
      <c r="N1049">
        <v>0</v>
      </c>
      <c r="O1049" t="s">
        <v>54</v>
      </c>
      <c r="P1049" t="s">
        <v>55</v>
      </c>
      <c r="Q1049">
        <v>12</v>
      </c>
      <c r="R1049">
        <v>10</v>
      </c>
      <c r="S1049" t="s">
        <v>36</v>
      </c>
    </row>
    <row r="1050" spans="1:19" x14ac:dyDescent="0.3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 t="str">
        <f t="shared" si="16"/>
        <v>8-14 days</v>
      </c>
      <c r="L1050">
        <v>10</v>
      </c>
      <c r="M1050">
        <v>3</v>
      </c>
      <c r="N1050">
        <v>0</v>
      </c>
      <c r="O1050" t="s">
        <v>25</v>
      </c>
      <c r="P1050" t="s">
        <v>50</v>
      </c>
      <c r="Q1050">
        <v>13.2</v>
      </c>
      <c r="R1050">
        <v>25</v>
      </c>
      <c r="S1050" t="s">
        <v>71</v>
      </c>
    </row>
    <row r="1051" spans="1:19" x14ac:dyDescent="0.3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 t="str">
        <f t="shared" si="16"/>
        <v>15-30 days</v>
      </c>
      <c r="L1051">
        <v>19</v>
      </c>
      <c r="M1051">
        <v>3</v>
      </c>
      <c r="N1051">
        <v>0</v>
      </c>
      <c r="O1051" t="s">
        <v>25</v>
      </c>
      <c r="P1051" t="s">
        <v>35</v>
      </c>
      <c r="Q1051">
        <v>10</v>
      </c>
      <c r="R1051">
        <v>14</v>
      </c>
      <c r="S1051" t="s">
        <v>27</v>
      </c>
    </row>
    <row r="1052" spans="1:19" x14ac:dyDescent="0.3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 t="str">
        <f t="shared" si="16"/>
        <v>15-30 days</v>
      </c>
      <c r="L1052">
        <v>25</v>
      </c>
      <c r="M1052">
        <v>6</v>
      </c>
      <c r="N1052">
        <v>0</v>
      </c>
      <c r="O1052" t="s">
        <v>25</v>
      </c>
      <c r="P1052" t="s">
        <v>35</v>
      </c>
      <c r="Q1052">
        <v>11.8</v>
      </c>
      <c r="R1052">
        <v>34</v>
      </c>
      <c r="S1052" t="s">
        <v>27</v>
      </c>
    </row>
    <row r="1053" spans="1:19" x14ac:dyDescent="0.3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 t="str">
        <f t="shared" si="16"/>
        <v>8-14 days</v>
      </c>
      <c r="L1053">
        <v>8</v>
      </c>
      <c r="M1053">
        <v>3</v>
      </c>
      <c r="N1053">
        <v>0</v>
      </c>
      <c r="O1053" t="s">
        <v>54</v>
      </c>
      <c r="P1053" t="s">
        <v>55</v>
      </c>
      <c r="Q1053">
        <v>1.6</v>
      </c>
      <c r="R1053">
        <v>60</v>
      </c>
      <c r="S1053" t="s">
        <v>36</v>
      </c>
    </row>
    <row r="1054" spans="1:19" x14ac:dyDescent="0.3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 t="str">
        <f t="shared" si="16"/>
        <v>15-30 days</v>
      </c>
      <c r="L1054">
        <v>23</v>
      </c>
      <c r="M1054">
        <v>2</v>
      </c>
      <c r="N1054">
        <v>0</v>
      </c>
      <c r="O1054" t="s">
        <v>54</v>
      </c>
      <c r="P1054" t="s">
        <v>55</v>
      </c>
      <c r="Q1054">
        <v>11.5</v>
      </c>
      <c r="R1054">
        <v>23</v>
      </c>
      <c r="S1054" t="s">
        <v>27</v>
      </c>
    </row>
    <row r="1055" spans="1:19" x14ac:dyDescent="0.3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 t="str">
        <f t="shared" si="16"/>
        <v>15-30 days</v>
      </c>
      <c r="L1055">
        <v>16</v>
      </c>
      <c r="M1055">
        <v>5</v>
      </c>
      <c r="N1055">
        <v>0</v>
      </c>
      <c r="O1055" t="s">
        <v>25</v>
      </c>
      <c r="P1055" t="s">
        <v>35</v>
      </c>
      <c r="Q1055">
        <v>4.4000000000000004</v>
      </c>
      <c r="R1055">
        <v>40</v>
      </c>
      <c r="S1055" t="s">
        <v>36</v>
      </c>
    </row>
    <row r="1056" spans="1:19" x14ac:dyDescent="0.3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 t="str">
        <f t="shared" si="16"/>
        <v>31-60 days</v>
      </c>
      <c r="L1056">
        <v>51</v>
      </c>
      <c r="M1056">
        <v>1</v>
      </c>
      <c r="N1056">
        <v>1</v>
      </c>
      <c r="O1056" t="s">
        <v>25</v>
      </c>
      <c r="P1056" t="s">
        <v>35</v>
      </c>
      <c r="Q1056">
        <v>13.3</v>
      </c>
      <c r="R1056">
        <v>35</v>
      </c>
      <c r="S1056" t="s">
        <v>36</v>
      </c>
    </row>
    <row r="1057" spans="1:19" x14ac:dyDescent="0.3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 t="str">
        <f t="shared" si="16"/>
        <v>31-60 days</v>
      </c>
      <c r="L1057">
        <v>52</v>
      </c>
      <c r="M1057">
        <v>4</v>
      </c>
      <c r="N1057">
        <v>0</v>
      </c>
      <c r="O1057" t="s">
        <v>25</v>
      </c>
      <c r="P1057" t="s">
        <v>35</v>
      </c>
      <c r="Q1057">
        <v>7.4</v>
      </c>
      <c r="R1057">
        <v>23</v>
      </c>
      <c r="S1057" t="s">
        <v>27</v>
      </c>
    </row>
    <row r="1058" spans="1:19" x14ac:dyDescent="0.3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 t="str">
        <f t="shared" si="16"/>
        <v>0-7 days</v>
      </c>
      <c r="L1058">
        <v>0</v>
      </c>
      <c r="M1058">
        <v>3</v>
      </c>
      <c r="N1058">
        <v>1</v>
      </c>
      <c r="O1058" t="s">
        <v>25</v>
      </c>
      <c r="P1058" t="s">
        <v>35</v>
      </c>
      <c r="Q1058">
        <v>20.7</v>
      </c>
      <c r="R1058">
        <v>30</v>
      </c>
      <c r="S1058" t="s">
        <v>36</v>
      </c>
    </row>
    <row r="1059" spans="1:19" x14ac:dyDescent="0.3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 t="str">
        <f t="shared" si="16"/>
        <v>31-60 days</v>
      </c>
      <c r="L1059">
        <v>36</v>
      </c>
      <c r="M1059">
        <v>4</v>
      </c>
      <c r="N1059">
        <v>1</v>
      </c>
      <c r="O1059" t="s">
        <v>25</v>
      </c>
      <c r="P1059" t="s">
        <v>50</v>
      </c>
      <c r="Q1059">
        <v>10.4</v>
      </c>
      <c r="R1059">
        <v>10</v>
      </c>
      <c r="S1059" t="s">
        <v>71</v>
      </c>
    </row>
    <row r="1060" spans="1:19" x14ac:dyDescent="0.3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 t="str">
        <f t="shared" si="16"/>
        <v>31-60 days</v>
      </c>
      <c r="L1060">
        <v>39</v>
      </c>
      <c r="M1060">
        <v>5</v>
      </c>
      <c r="N1060">
        <v>3</v>
      </c>
      <c r="O1060" t="s">
        <v>25</v>
      </c>
      <c r="P1060" t="s">
        <v>26</v>
      </c>
      <c r="Q1060">
        <v>4.0999999999999996</v>
      </c>
      <c r="R1060">
        <v>26</v>
      </c>
      <c r="S1060" t="s">
        <v>27</v>
      </c>
    </row>
    <row r="1061" spans="1:19" x14ac:dyDescent="0.3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 t="str">
        <f t="shared" si="16"/>
        <v>15-30 days</v>
      </c>
      <c r="L1061">
        <v>23</v>
      </c>
      <c r="M1061">
        <v>3</v>
      </c>
      <c r="N1061">
        <v>0</v>
      </c>
      <c r="O1061" t="s">
        <v>54</v>
      </c>
      <c r="P1061" t="s">
        <v>55</v>
      </c>
      <c r="Q1061">
        <v>3</v>
      </c>
      <c r="R1061">
        <v>21</v>
      </c>
      <c r="S1061" t="s">
        <v>36</v>
      </c>
    </row>
    <row r="1062" spans="1:19" x14ac:dyDescent="0.3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 t="str">
        <f t="shared" si="16"/>
        <v>15-30 days</v>
      </c>
      <c r="L1062">
        <v>28</v>
      </c>
      <c r="M1062">
        <v>2</v>
      </c>
      <c r="N1062">
        <v>0</v>
      </c>
      <c r="O1062" t="s">
        <v>25</v>
      </c>
      <c r="P1062" t="s">
        <v>50</v>
      </c>
      <c r="Q1062">
        <v>4.5</v>
      </c>
      <c r="R1062">
        <v>39</v>
      </c>
      <c r="S1062" t="s">
        <v>27</v>
      </c>
    </row>
    <row r="1063" spans="1:19" x14ac:dyDescent="0.3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 t="str">
        <f t="shared" si="16"/>
        <v>31-60 days</v>
      </c>
      <c r="L1063">
        <v>48</v>
      </c>
      <c r="M1063">
        <v>6</v>
      </c>
      <c r="N1063">
        <v>1</v>
      </c>
      <c r="O1063" t="s">
        <v>25</v>
      </c>
      <c r="P1063" t="s">
        <v>50</v>
      </c>
      <c r="Q1063">
        <v>8.5</v>
      </c>
      <c r="R1063">
        <v>17</v>
      </c>
      <c r="S1063" t="s">
        <v>27</v>
      </c>
    </row>
    <row r="1064" spans="1:19" x14ac:dyDescent="0.3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 t="str">
        <f t="shared" si="16"/>
        <v>15-30 days</v>
      </c>
      <c r="L1064">
        <v>23</v>
      </c>
      <c r="M1064">
        <v>4</v>
      </c>
      <c r="N1064">
        <v>1</v>
      </c>
      <c r="O1064" t="s">
        <v>25</v>
      </c>
      <c r="P1064" t="s">
        <v>50</v>
      </c>
      <c r="Q1064">
        <v>19.8</v>
      </c>
      <c r="R1064">
        <v>12</v>
      </c>
      <c r="S1064" t="s">
        <v>27</v>
      </c>
    </row>
    <row r="1065" spans="1:19" x14ac:dyDescent="0.3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 t="str">
        <f t="shared" si="16"/>
        <v>0-7 days</v>
      </c>
      <c r="L1065">
        <v>3</v>
      </c>
      <c r="M1065">
        <v>1</v>
      </c>
      <c r="N1065">
        <v>0</v>
      </c>
      <c r="O1065" t="s">
        <v>54</v>
      </c>
      <c r="P1065" t="s">
        <v>55</v>
      </c>
      <c r="Q1065">
        <v>6.2</v>
      </c>
      <c r="R1065">
        <v>13</v>
      </c>
      <c r="S1065" t="s">
        <v>36</v>
      </c>
    </row>
    <row r="1066" spans="1:19" x14ac:dyDescent="0.3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 t="str">
        <f t="shared" si="16"/>
        <v>15-30 days</v>
      </c>
      <c r="L1066">
        <v>22</v>
      </c>
      <c r="M1066">
        <v>3</v>
      </c>
      <c r="N1066">
        <v>0</v>
      </c>
      <c r="O1066" t="s">
        <v>54</v>
      </c>
      <c r="P1066" t="s">
        <v>55</v>
      </c>
      <c r="Q1066">
        <v>11.2</v>
      </c>
      <c r="R1066">
        <v>33</v>
      </c>
      <c r="S1066" t="s">
        <v>36</v>
      </c>
    </row>
    <row r="1067" spans="1:19" x14ac:dyDescent="0.3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 t="str">
        <f t="shared" si="16"/>
        <v>15-30 days</v>
      </c>
      <c r="L1067">
        <v>15</v>
      </c>
      <c r="M1067">
        <v>2</v>
      </c>
      <c r="N1067">
        <v>0</v>
      </c>
      <c r="O1067" t="s">
        <v>54</v>
      </c>
      <c r="P1067" t="s">
        <v>55</v>
      </c>
      <c r="Q1067">
        <v>2.8</v>
      </c>
      <c r="R1067">
        <v>22</v>
      </c>
      <c r="S1067" t="s">
        <v>71</v>
      </c>
    </row>
    <row r="1068" spans="1:19" x14ac:dyDescent="0.3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 t="str">
        <f t="shared" si="16"/>
        <v>15-30 days</v>
      </c>
      <c r="L1068">
        <v>23</v>
      </c>
      <c r="M1068">
        <v>4</v>
      </c>
      <c r="N1068">
        <v>0</v>
      </c>
      <c r="O1068" t="s">
        <v>25</v>
      </c>
      <c r="P1068" t="s">
        <v>26</v>
      </c>
      <c r="Q1068">
        <v>13.1</v>
      </c>
      <c r="R1068">
        <v>5</v>
      </c>
      <c r="S1068" t="s">
        <v>27</v>
      </c>
    </row>
    <row r="1069" spans="1:19" x14ac:dyDescent="0.3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 t="str">
        <f t="shared" si="16"/>
        <v>8-14 days</v>
      </c>
      <c r="L1069">
        <v>14</v>
      </c>
      <c r="M1069">
        <v>4</v>
      </c>
      <c r="N1069">
        <v>1</v>
      </c>
      <c r="O1069" t="s">
        <v>25</v>
      </c>
      <c r="P1069" t="s">
        <v>50</v>
      </c>
      <c r="Q1069">
        <v>7.7</v>
      </c>
      <c r="R1069">
        <v>35</v>
      </c>
      <c r="S1069" t="s">
        <v>27</v>
      </c>
    </row>
    <row r="1070" spans="1:19" x14ac:dyDescent="0.3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 t="str">
        <f t="shared" si="16"/>
        <v>8-14 days</v>
      </c>
      <c r="L1070">
        <v>9</v>
      </c>
      <c r="M1070">
        <v>4</v>
      </c>
      <c r="N1070">
        <v>0</v>
      </c>
      <c r="O1070" t="s">
        <v>25</v>
      </c>
      <c r="P1070" t="s">
        <v>35</v>
      </c>
      <c r="Q1070">
        <v>11.1</v>
      </c>
      <c r="R1070">
        <v>7</v>
      </c>
      <c r="S1070" t="s">
        <v>27</v>
      </c>
    </row>
    <row r="1071" spans="1:19" x14ac:dyDescent="0.3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 t="str">
        <f t="shared" si="16"/>
        <v>31-60 days</v>
      </c>
      <c r="L1071">
        <v>60</v>
      </c>
      <c r="M1071">
        <v>2</v>
      </c>
      <c r="N1071">
        <v>0</v>
      </c>
      <c r="O1071" t="s">
        <v>25</v>
      </c>
      <c r="P1071" t="s">
        <v>26</v>
      </c>
      <c r="Q1071">
        <v>21.9</v>
      </c>
      <c r="R1071">
        <v>18</v>
      </c>
      <c r="S1071" t="s">
        <v>36</v>
      </c>
    </row>
    <row r="1072" spans="1:19" x14ac:dyDescent="0.3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 t="str">
        <f t="shared" si="16"/>
        <v>0-7 days</v>
      </c>
      <c r="L1072">
        <v>7</v>
      </c>
      <c r="M1072">
        <v>3</v>
      </c>
      <c r="N1072">
        <v>1</v>
      </c>
      <c r="O1072" t="s">
        <v>25</v>
      </c>
      <c r="P1072" t="s">
        <v>35</v>
      </c>
      <c r="Q1072">
        <v>9.3000000000000007</v>
      </c>
      <c r="R1072">
        <v>22</v>
      </c>
      <c r="S1072" t="s">
        <v>36</v>
      </c>
    </row>
    <row r="1073" spans="1:19" x14ac:dyDescent="0.3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 t="str">
        <f t="shared" si="16"/>
        <v>31-60 days</v>
      </c>
      <c r="L1073">
        <v>43</v>
      </c>
      <c r="M1073">
        <v>2</v>
      </c>
      <c r="N1073">
        <v>0</v>
      </c>
      <c r="O1073" t="s">
        <v>25</v>
      </c>
      <c r="P1073" t="s">
        <v>50</v>
      </c>
      <c r="Q1073">
        <v>3.1</v>
      </c>
      <c r="R1073">
        <v>12</v>
      </c>
      <c r="S1073" t="s">
        <v>27</v>
      </c>
    </row>
    <row r="1074" spans="1:19" x14ac:dyDescent="0.3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 t="str">
        <f t="shared" si="16"/>
        <v>31-60 days</v>
      </c>
      <c r="L1074">
        <v>43</v>
      </c>
      <c r="M1074">
        <v>4</v>
      </c>
      <c r="N1074">
        <v>0</v>
      </c>
      <c r="O1074" t="s">
        <v>25</v>
      </c>
      <c r="P1074" t="s">
        <v>26</v>
      </c>
      <c r="Q1074">
        <v>9.8000000000000007</v>
      </c>
      <c r="R1074">
        <v>5</v>
      </c>
      <c r="S1074" t="s">
        <v>36</v>
      </c>
    </row>
    <row r="1075" spans="1:19" x14ac:dyDescent="0.3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 t="str">
        <f t="shared" si="16"/>
        <v>31-60 days</v>
      </c>
      <c r="L1075">
        <v>37</v>
      </c>
      <c r="M1075">
        <v>4</v>
      </c>
      <c r="N1075">
        <v>0</v>
      </c>
      <c r="O1075" t="s">
        <v>25</v>
      </c>
      <c r="P1075" t="s">
        <v>50</v>
      </c>
      <c r="Q1075">
        <v>9.5</v>
      </c>
      <c r="R1075">
        <v>33</v>
      </c>
      <c r="S1075" t="s">
        <v>27</v>
      </c>
    </row>
    <row r="1076" spans="1:19" x14ac:dyDescent="0.3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 t="str">
        <f t="shared" si="16"/>
        <v>31-60 days</v>
      </c>
      <c r="L1076">
        <v>55</v>
      </c>
      <c r="M1076">
        <v>5</v>
      </c>
      <c r="N1076">
        <v>2</v>
      </c>
      <c r="O1076" t="s">
        <v>25</v>
      </c>
      <c r="P1076" t="s">
        <v>35</v>
      </c>
      <c r="R1076">
        <v>31</v>
      </c>
      <c r="S1076" t="s">
        <v>27</v>
      </c>
    </row>
    <row r="1077" spans="1:19" x14ac:dyDescent="0.3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 t="str">
        <f t="shared" si="16"/>
        <v>0-7 days</v>
      </c>
      <c r="L1077">
        <v>0</v>
      </c>
      <c r="M1077">
        <v>4</v>
      </c>
      <c r="N1077">
        <v>1</v>
      </c>
      <c r="O1077" t="s">
        <v>25</v>
      </c>
      <c r="P1077" t="s">
        <v>35</v>
      </c>
      <c r="Q1077">
        <v>9.1999999999999993</v>
      </c>
      <c r="R1077">
        <v>25</v>
      </c>
      <c r="S1077" t="s">
        <v>36</v>
      </c>
    </row>
    <row r="1078" spans="1:19" x14ac:dyDescent="0.3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 t="str">
        <f t="shared" si="16"/>
        <v>15-30 days</v>
      </c>
      <c r="L1078">
        <v>18</v>
      </c>
      <c r="M1078">
        <v>2</v>
      </c>
      <c r="N1078">
        <v>0</v>
      </c>
      <c r="O1078" t="s">
        <v>25</v>
      </c>
      <c r="P1078" t="s">
        <v>26</v>
      </c>
      <c r="Q1078">
        <v>21.3</v>
      </c>
      <c r="R1078">
        <v>28</v>
      </c>
      <c r="S1078" t="s">
        <v>36</v>
      </c>
    </row>
    <row r="1079" spans="1:19" x14ac:dyDescent="0.3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 t="str">
        <f t="shared" si="16"/>
        <v>8-14 days</v>
      </c>
      <c r="L1079">
        <v>11</v>
      </c>
      <c r="M1079">
        <v>3</v>
      </c>
      <c r="N1079">
        <v>0</v>
      </c>
      <c r="O1079" t="s">
        <v>25</v>
      </c>
      <c r="P1079" t="s">
        <v>35</v>
      </c>
      <c r="Q1079">
        <v>15.1</v>
      </c>
      <c r="R1079">
        <v>5</v>
      </c>
      <c r="S1079" t="s">
        <v>36</v>
      </c>
    </row>
    <row r="1080" spans="1:19" x14ac:dyDescent="0.3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 t="str">
        <f t="shared" si="16"/>
        <v>31-60 days</v>
      </c>
      <c r="L1080">
        <v>35</v>
      </c>
      <c r="M1080">
        <v>1</v>
      </c>
      <c r="N1080">
        <v>1</v>
      </c>
      <c r="O1080" t="s">
        <v>54</v>
      </c>
      <c r="P1080" t="s">
        <v>55</v>
      </c>
      <c r="Q1080">
        <v>9.3000000000000007</v>
      </c>
      <c r="R1080">
        <v>30</v>
      </c>
      <c r="S1080" t="s">
        <v>36</v>
      </c>
    </row>
    <row r="1081" spans="1:19" x14ac:dyDescent="0.3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 t="str">
        <f t="shared" si="16"/>
        <v>31-60 days</v>
      </c>
      <c r="L1081">
        <v>38</v>
      </c>
      <c r="M1081">
        <v>3</v>
      </c>
      <c r="N1081">
        <v>0</v>
      </c>
      <c r="O1081" t="s">
        <v>25</v>
      </c>
      <c r="P1081" t="s">
        <v>35</v>
      </c>
      <c r="Q1081">
        <v>8.6</v>
      </c>
      <c r="R1081">
        <v>29</v>
      </c>
      <c r="S1081" t="s">
        <v>27</v>
      </c>
    </row>
    <row r="1082" spans="1:19" x14ac:dyDescent="0.3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 t="str">
        <f t="shared" si="16"/>
        <v>31-60 days</v>
      </c>
      <c r="L1082">
        <v>54</v>
      </c>
      <c r="M1082">
        <v>2</v>
      </c>
      <c r="N1082">
        <v>0</v>
      </c>
      <c r="O1082" t="s">
        <v>25</v>
      </c>
      <c r="P1082" t="s">
        <v>50</v>
      </c>
      <c r="Q1082">
        <v>3.7</v>
      </c>
      <c r="R1082">
        <v>29</v>
      </c>
      <c r="S1082" t="s">
        <v>27</v>
      </c>
    </row>
    <row r="1083" spans="1:19" x14ac:dyDescent="0.3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 t="str">
        <f t="shared" si="16"/>
        <v>15-30 days</v>
      </c>
      <c r="L1083">
        <v>23</v>
      </c>
      <c r="M1083">
        <v>1</v>
      </c>
      <c r="N1083">
        <v>1</v>
      </c>
      <c r="O1083" t="s">
        <v>25</v>
      </c>
      <c r="P1083" t="s">
        <v>35</v>
      </c>
      <c r="Q1083">
        <v>6.7</v>
      </c>
      <c r="R1083">
        <v>29</v>
      </c>
      <c r="S1083" t="s">
        <v>36</v>
      </c>
    </row>
    <row r="1084" spans="1:19" x14ac:dyDescent="0.3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 t="str">
        <f t="shared" si="16"/>
        <v>8-14 days</v>
      </c>
      <c r="L1084">
        <v>14</v>
      </c>
      <c r="M1084">
        <v>4</v>
      </c>
      <c r="N1084">
        <v>1</v>
      </c>
      <c r="O1084" t="s">
        <v>25</v>
      </c>
      <c r="P1084" t="s">
        <v>50</v>
      </c>
      <c r="Q1084">
        <v>2.2000000000000002</v>
      </c>
      <c r="R1084">
        <v>35</v>
      </c>
      <c r="S1084" t="s">
        <v>27</v>
      </c>
    </row>
    <row r="1085" spans="1:19" x14ac:dyDescent="0.3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 t="str">
        <f t="shared" si="16"/>
        <v>31-60 days</v>
      </c>
      <c r="L1085">
        <v>56</v>
      </c>
      <c r="M1085">
        <v>3</v>
      </c>
      <c r="N1085">
        <v>3</v>
      </c>
      <c r="O1085" t="s">
        <v>54</v>
      </c>
      <c r="P1085" t="s">
        <v>55</v>
      </c>
      <c r="Q1085">
        <v>7.8</v>
      </c>
      <c r="R1085">
        <v>23</v>
      </c>
      <c r="S1085" t="s">
        <v>36</v>
      </c>
    </row>
    <row r="1086" spans="1:19" x14ac:dyDescent="0.3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 t="str">
        <f t="shared" si="16"/>
        <v>31-60 days</v>
      </c>
      <c r="L1086">
        <v>41</v>
      </c>
      <c r="M1086">
        <v>3</v>
      </c>
      <c r="N1086">
        <v>1</v>
      </c>
      <c r="O1086" t="s">
        <v>25</v>
      </c>
      <c r="P1086" t="s">
        <v>50</v>
      </c>
      <c r="Q1086">
        <v>1.8</v>
      </c>
      <c r="R1086">
        <v>25</v>
      </c>
      <c r="S1086" t="s">
        <v>36</v>
      </c>
    </row>
    <row r="1087" spans="1:19" x14ac:dyDescent="0.3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 t="str">
        <f t="shared" si="16"/>
        <v>31-60 days</v>
      </c>
      <c r="L1087">
        <v>46</v>
      </c>
      <c r="M1087">
        <v>0</v>
      </c>
      <c r="N1087">
        <v>0</v>
      </c>
      <c r="O1087" t="s">
        <v>54</v>
      </c>
      <c r="P1087" t="s">
        <v>55</v>
      </c>
      <c r="Q1087">
        <v>9.5</v>
      </c>
      <c r="R1087">
        <v>9</v>
      </c>
      <c r="S1087" t="s">
        <v>27</v>
      </c>
    </row>
    <row r="1088" spans="1:19" x14ac:dyDescent="0.3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 t="str">
        <f t="shared" si="16"/>
        <v>15-30 days</v>
      </c>
      <c r="L1088">
        <v>27</v>
      </c>
      <c r="M1088">
        <v>2</v>
      </c>
      <c r="N1088">
        <v>0</v>
      </c>
      <c r="O1088" t="s">
        <v>25</v>
      </c>
      <c r="P1088" t="s">
        <v>26</v>
      </c>
      <c r="Q1088">
        <v>3.4</v>
      </c>
      <c r="R1088">
        <v>32</v>
      </c>
      <c r="S1088" t="s">
        <v>27</v>
      </c>
    </row>
    <row r="1089" spans="1:19" x14ac:dyDescent="0.3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 t="str">
        <f t="shared" si="16"/>
        <v>15-30 days</v>
      </c>
      <c r="L1089">
        <v>27</v>
      </c>
      <c r="M1089">
        <v>3</v>
      </c>
      <c r="N1089">
        <v>0</v>
      </c>
      <c r="O1089" t="s">
        <v>54</v>
      </c>
      <c r="P1089" t="s">
        <v>55</v>
      </c>
      <c r="Q1089">
        <v>11.4</v>
      </c>
      <c r="R1089">
        <v>17</v>
      </c>
      <c r="S1089" t="s">
        <v>36</v>
      </c>
    </row>
    <row r="1090" spans="1:19" x14ac:dyDescent="0.3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 t="str">
        <f t="shared" si="16"/>
        <v>15-30 days</v>
      </c>
      <c r="L1090">
        <v>23</v>
      </c>
      <c r="M1090">
        <v>2</v>
      </c>
      <c r="N1090">
        <v>1</v>
      </c>
      <c r="O1090" t="s">
        <v>54</v>
      </c>
      <c r="P1090" t="s">
        <v>55</v>
      </c>
      <c r="Q1090">
        <v>9</v>
      </c>
      <c r="R1090">
        <v>17</v>
      </c>
      <c r="S1090" t="s">
        <v>27</v>
      </c>
    </row>
    <row r="1091" spans="1:19" x14ac:dyDescent="0.3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 t="str">
        <f t="shared" ref="K1091:K1154" si="17">IF(L1091&lt;=7,"0-7 days",IF(L1091&lt;=14,"8-14 days",IF(L1091&lt;=30,"15-30 days","31-60 days")))</f>
        <v>31-60 days</v>
      </c>
      <c r="L1091">
        <v>45</v>
      </c>
      <c r="M1091">
        <v>0</v>
      </c>
      <c r="N1091">
        <v>0</v>
      </c>
      <c r="O1091" t="s">
        <v>25</v>
      </c>
      <c r="P1091" t="s">
        <v>35</v>
      </c>
      <c r="Q1091">
        <v>5.8</v>
      </c>
      <c r="R1091">
        <v>20</v>
      </c>
      <c r="S1091" t="s">
        <v>36</v>
      </c>
    </row>
    <row r="1092" spans="1:19" x14ac:dyDescent="0.3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 t="str">
        <f t="shared" si="17"/>
        <v>8-14 days</v>
      </c>
      <c r="L1092">
        <v>12</v>
      </c>
      <c r="M1092">
        <v>3</v>
      </c>
      <c r="N1092">
        <v>0</v>
      </c>
      <c r="O1092" t="s">
        <v>25</v>
      </c>
      <c r="P1092" t="s">
        <v>35</v>
      </c>
      <c r="Q1092">
        <v>2.7</v>
      </c>
      <c r="R1092">
        <v>12</v>
      </c>
      <c r="S1092" t="s">
        <v>36</v>
      </c>
    </row>
    <row r="1093" spans="1:19" x14ac:dyDescent="0.3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 t="str">
        <f t="shared" si="17"/>
        <v>31-60 days</v>
      </c>
      <c r="L1093">
        <v>59</v>
      </c>
      <c r="M1093">
        <v>2</v>
      </c>
      <c r="N1093">
        <v>0</v>
      </c>
      <c r="O1093" t="s">
        <v>25</v>
      </c>
      <c r="P1093" t="s">
        <v>26</v>
      </c>
      <c r="Q1093">
        <v>8.4</v>
      </c>
      <c r="R1093">
        <v>23</v>
      </c>
      <c r="S1093" t="s">
        <v>36</v>
      </c>
    </row>
    <row r="1094" spans="1:19" x14ac:dyDescent="0.3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 t="str">
        <f t="shared" si="17"/>
        <v>8-14 days</v>
      </c>
      <c r="L1094">
        <v>10</v>
      </c>
      <c r="M1094">
        <v>4</v>
      </c>
      <c r="N1094">
        <v>0</v>
      </c>
      <c r="O1094" t="s">
        <v>54</v>
      </c>
      <c r="P1094" t="s">
        <v>55</v>
      </c>
      <c r="Q1094">
        <v>8</v>
      </c>
      <c r="R1094">
        <v>33</v>
      </c>
      <c r="S1094" t="s">
        <v>36</v>
      </c>
    </row>
    <row r="1095" spans="1:19" x14ac:dyDescent="0.3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 t="str">
        <f t="shared" si="17"/>
        <v>15-30 days</v>
      </c>
      <c r="L1095">
        <v>28</v>
      </c>
      <c r="M1095">
        <v>4</v>
      </c>
      <c r="N1095">
        <v>0</v>
      </c>
      <c r="O1095" t="s">
        <v>25</v>
      </c>
      <c r="P1095" t="s">
        <v>35</v>
      </c>
      <c r="Q1095">
        <v>26.3</v>
      </c>
      <c r="R1095">
        <v>12</v>
      </c>
      <c r="S1095" t="s">
        <v>36</v>
      </c>
    </row>
    <row r="1096" spans="1:19" x14ac:dyDescent="0.3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 t="str">
        <f t="shared" si="17"/>
        <v>15-30 days</v>
      </c>
      <c r="L1096">
        <v>19</v>
      </c>
      <c r="M1096">
        <v>1</v>
      </c>
      <c r="N1096">
        <v>0</v>
      </c>
      <c r="O1096" t="s">
        <v>25</v>
      </c>
      <c r="P1096" t="s">
        <v>35</v>
      </c>
      <c r="Q1096">
        <v>6.4</v>
      </c>
      <c r="R1096">
        <v>24</v>
      </c>
      <c r="S1096" t="s">
        <v>36</v>
      </c>
    </row>
    <row r="1097" spans="1:19" x14ac:dyDescent="0.3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 t="str">
        <f t="shared" si="17"/>
        <v>31-60 days</v>
      </c>
      <c r="L1097">
        <v>39</v>
      </c>
      <c r="M1097">
        <v>0</v>
      </c>
      <c r="N1097">
        <v>0</v>
      </c>
      <c r="O1097" t="s">
        <v>25</v>
      </c>
      <c r="P1097" t="s">
        <v>35</v>
      </c>
      <c r="Q1097">
        <v>14</v>
      </c>
      <c r="R1097">
        <v>31</v>
      </c>
      <c r="S1097" t="s">
        <v>36</v>
      </c>
    </row>
    <row r="1098" spans="1:19" x14ac:dyDescent="0.3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 t="str">
        <f t="shared" si="17"/>
        <v>31-60 days</v>
      </c>
      <c r="L1098">
        <v>41</v>
      </c>
      <c r="M1098">
        <v>1</v>
      </c>
      <c r="N1098">
        <v>1</v>
      </c>
      <c r="O1098" t="s">
        <v>25</v>
      </c>
      <c r="P1098" t="s">
        <v>26</v>
      </c>
      <c r="Q1098">
        <v>5</v>
      </c>
      <c r="R1098">
        <v>2</v>
      </c>
      <c r="S1098" t="s">
        <v>27</v>
      </c>
    </row>
    <row r="1099" spans="1:19" x14ac:dyDescent="0.3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 t="str">
        <f t="shared" si="17"/>
        <v>31-60 days</v>
      </c>
      <c r="L1099">
        <v>56</v>
      </c>
      <c r="M1099">
        <v>3</v>
      </c>
      <c r="N1099">
        <v>1</v>
      </c>
      <c r="O1099" t="s">
        <v>54</v>
      </c>
      <c r="P1099" t="s">
        <v>55</v>
      </c>
      <c r="Q1099">
        <v>3.9</v>
      </c>
      <c r="R1099">
        <v>44</v>
      </c>
      <c r="S1099" t="s">
        <v>36</v>
      </c>
    </row>
    <row r="1100" spans="1:19" x14ac:dyDescent="0.3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 t="str">
        <f t="shared" si="17"/>
        <v>31-60 days</v>
      </c>
      <c r="L1100">
        <v>48</v>
      </c>
      <c r="M1100">
        <v>4</v>
      </c>
      <c r="N1100">
        <v>0</v>
      </c>
      <c r="O1100" t="s">
        <v>54</v>
      </c>
      <c r="P1100" t="s">
        <v>55</v>
      </c>
      <c r="Q1100">
        <v>12.1</v>
      </c>
      <c r="R1100">
        <v>19</v>
      </c>
      <c r="S1100" t="s">
        <v>27</v>
      </c>
    </row>
    <row r="1101" spans="1:19" x14ac:dyDescent="0.3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 t="str">
        <f t="shared" si="17"/>
        <v>15-30 days</v>
      </c>
      <c r="L1101">
        <v>15</v>
      </c>
      <c r="M1101">
        <v>3</v>
      </c>
      <c r="N1101">
        <v>0</v>
      </c>
      <c r="O1101" t="s">
        <v>25</v>
      </c>
      <c r="P1101" t="s">
        <v>26</v>
      </c>
      <c r="Q1101">
        <v>6.1</v>
      </c>
      <c r="R1101">
        <v>14</v>
      </c>
      <c r="S1101" t="s">
        <v>27</v>
      </c>
    </row>
    <row r="1102" spans="1:19" x14ac:dyDescent="0.3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 t="str">
        <f t="shared" si="17"/>
        <v>8-14 days</v>
      </c>
      <c r="L1102">
        <v>12</v>
      </c>
      <c r="M1102">
        <v>2</v>
      </c>
      <c r="N1102">
        <v>1</v>
      </c>
      <c r="O1102" t="s">
        <v>54</v>
      </c>
      <c r="P1102" t="s">
        <v>55</v>
      </c>
      <c r="Q1102">
        <v>8.3000000000000007</v>
      </c>
      <c r="R1102">
        <v>25</v>
      </c>
      <c r="S1102" t="s">
        <v>36</v>
      </c>
    </row>
    <row r="1103" spans="1:19" x14ac:dyDescent="0.3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 t="str">
        <f t="shared" si="17"/>
        <v>31-60 days</v>
      </c>
      <c r="L1103">
        <v>54</v>
      </c>
      <c r="M1103">
        <v>2</v>
      </c>
      <c r="N1103">
        <v>1</v>
      </c>
      <c r="O1103" t="s">
        <v>54</v>
      </c>
      <c r="P1103" t="s">
        <v>55</v>
      </c>
      <c r="Q1103">
        <v>0.9</v>
      </c>
      <c r="R1103">
        <v>17</v>
      </c>
      <c r="S1103" t="s">
        <v>27</v>
      </c>
    </row>
    <row r="1104" spans="1:19" x14ac:dyDescent="0.3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 t="str">
        <f t="shared" si="17"/>
        <v>15-30 days</v>
      </c>
      <c r="L1104">
        <v>29</v>
      </c>
      <c r="M1104">
        <v>2</v>
      </c>
      <c r="N1104">
        <v>0</v>
      </c>
      <c r="O1104" t="s">
        <v>54</v>
      </c>
      <c r="P1104" t="s">
        <v>55</v>
      </c>
      <c r="Q1104">
        <v>5.2</v>
      </c>
      <c r="R1104">
        <v>23</v>
      </c>
      <c r="S1104" t="s">
        <v>36</v>
      </c>
    </row>
    <row r="1105" spans="1:19" x14ac:dyDescent="0.3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 t="str">
        <f t="shared" si="17"/>
        <v>0-7 days</v>
      </c>
      <c r="L1105">
        <v>5</v>
      </c>
      <c r="M1105">
        <v>8</v>
      </c>
      <c r="N1105">
        <v>4</v>
      </c>
      <c r="O1105" t="s">
        <v>25</v>
      </c>
      <c r="P1105" t="s">
        <v>35</v>
      </c>
      <c r="Q1105">
        <v>5.7</v>
      </c>
      <c r="R1105">
        <v>16</v>
      </c>
      <c r="S1105" t="s">
        <v>36</v>
      </c>
    </row>
    <row r="1106" spans="1:19" x14ac:dyDescent="0.3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 t="str">
        <f t="shared" si="17"/>
        <v>31-60 days</v>
      </c>
      <c r="L1106">
        <v>50</v>
      </c>
      <c r="M1106">
        <v>3</v>
      </c>
      <c r="N1106">
        <v>0</v>
      </c>
      <c r="O1106" t="s">
        <v>54</v>
      </c>
      <c r="P1106" t="s">
        <v>55</v>
      </c>
      <c r="Q1106">
        <v>3.6</v>
      </c>
      <c r="R1106">
        <v>36</v>
      </c>
      <c r="S1106" t="s">
        <v>27</v>
      </c>
    </row>
    <row r="1107" spans="1:19" x14ac:dyDescent="0.3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 t="str">
        <f t="shared" si="17"/>
        <v>31-60 days</v>
      </c>
      <c r="L1107">
        <v>39</v>
      </c>
      <c r="M1107">
        <v>5</v>
      </c>
      <c r="N1107">
        <v>0</v>
      </c>
      <c r="O1107" t="s">
        <v>25</v>
      </c>
      <c r="P1107" t="s">
        <v>35</v>
      </c>
      <c r="Q1107">
        <v>6.6</v>
      </c>
      <c r="R1107">
        <v>54</v>
      </c>
      <c r="S1107" t="s">
        <v>27</v>
      </c>
    </row>
    <row r="1108" spans="1:19" x14ac:dyDescent="0.3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 t="str">
        <f t="shared" si="17"/>
        <v>0-7 days</v>
      </c>
      <c r="L1108">
        <v>1</v>
      </c>
      <c r="M1108">
        <v>2</v>
      </c>
      <c r="N1108">
        <v>0</v>
      </c>
      <c r="O1108" t="s">
        <v>25</v>
      </c>
      <c r="P1108" t="s">
        <v>50</v>
      </c>
      <c r="Q1108">
        <v>2</v>
      </c>
      <c r="R1108">
        <v>32</v>
      </c>
      <c r="S1108" t="s">
        <v>27</v>
      </c>
    </row>
    <row r="1109" spans="1:19" x14ac:dyDescent="0.3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 t="str">
        <f t="shared" si="17"/>
        <v>31-60 days</v>
      </c>
      <c r="L1109">
        <v>47</v>
      </c>
      <c r="M1109">
        <v>1</v>
      </c>
      <c r="N1109">
        <v>1</v>
      </c>
      <c r="O1109" t="s">
        <v>54</v>
      </c>
      <c r="P1109" t="s">
        <v>55</v>
      </c>
      <c r="Q1109">
        <v>9.5</v>
      </c>
      <c r="R1109">
        <v>26</v>
      </c>
      <c r="S1109" t="s">
        <v>27</v>
      </c>
    </row>
    <row r="1110" spans="1:19" x14ac:dyDescent="0.3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 t="str">
        <f t="shared" si="17"/>
        <v>31-60 days</v>
      </c>
      <c r="L1110">
        <v>37</v>
      </c>
      <c r="M1110">
        <v>4</v>
      </c>
      <c r="N1110">
        <v>1</v>
      </c>
      <c r="O1110" t="s">
        <v>25</v>
      </c>
      <c r="P1110" t="s">
        <v>35</v>
      </c>
      <c r="Q1110">
        <v>6.6</v>
      </c>
      <c r="R1110">
        <v>18</v>
      </c>
      <c r="S1110" t="s">
        <v>36</v>
      </c>
    </row>
    <row r="1111" spans="1:19" x14ac:dyDescent="0.3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 t="str">
        <f t="shared" si="17"/>
        <v>31-60 days</v>
      </c>
      <c r="L1111">
        <v>37</v>
      </c>
      <c r="M1111">
        <v>4</v>
      </c>
      <c r="N1111">
        <v>1</v>
      </c>
      <c r="O1111" t="s">
        <v>25</v>
      </c>
      <c r="P1111" t="s">
        <v>26</v>
      </c>
      <c r="Q1111">
        <v>6.3</v>
      </c>
      <c r="R1111">
        <v>36</v>
      </c>
      <c r="S1111" t="s">
        <v>27</v>
      </c>
    </row>
    <row r="1112" spans="1:19" x14ac:dyDescent="0.3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 t="str">
        <f t="shared" si="17"/>
        <v>31-60 days</v>
      </c>
      <c r="L1112">
        <v>52</v>
      </c>
      <c r="M1112">
        <v>5</v>
      </c>
      <c r="N1112">
        <v>1</v>
      </c>
      <c r="O1112" t="s">
        <v>54</v>
      </c>
      <c r="P1112" t="s">
        <v>55</v>
      </c>
      <c r="Q1112">
        <v>12.1</v>
      </c>
      <c r="S1112" t="s">
        <v>27</v>
      </c>
    </row>
    <row r="1113" spans="1:19" x14ac:dyDescent="0.3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 t="str">
        <f t="shared" si="17"/>
        <v>15-30 days</v>
      </c>
      <c r="L1113">
        <v>30</v>
      </c>
      <c r="M1113">
        <v>4</v>
      </c>
      <c r="N1113">
        <v>0</v>
      </c>
      <c r="O1113" t="s">
        <v>25</v>
      </c>
      <c r="P1113" t="s">
        <v>35</v>
      </c>
      <c r="Q1113">
        <v>3.7</v>
      </c>
      <c r="R1113">
        <v>28</v>
      </c>
      <c r="S1113" t="s">
        <v>27</v>
      </c>
    </row>
    <row r="1114" spans="1:19" x14ac:dyDescent="0.3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 t="str">
        <f t="shared" si="17"/>
        <v>15-30 days</v>
      </c>
      <c r="L1114">
        <v>28</v>
      </c>
      <c r="M1114">
        <v>1</v>
      </c>
      <c r="N1114">
        <v>0</v>
      </c>
      <c r="O1114" t="s">
        <v>25</v>
      </c>
      <c r="P1114" t="s">
        <v>35</v>
      </c>
      <c r="Q1114">
        <v>21.8</v>
      </c>
      <c r="R1114">
        <v>18</v>
      </c>
      <c r="S1114" t="s">
        <v>36</v>
      </c>
    </row>
    <row r="1115" spans="1:19" x14ac:dyDescent="0.3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 t="str">
        <f t="shared" si="17"/>
        <v>31-60 days</v>
      </c>
      <c r="L1115">
        <v>37</v>
      </c>
      <c r="M1115">
        <v>4</v>
      </c>
      <c r="N1115">
        <v>0</v>
      </c>
      <c r="O1115" t="s">
        <v>25</v>
      </c>
      <c r="P1115" t="s">
        <v>50</v>
      </c>
      <c r="Q1115">
        <v>3.6</v>
      </c>
      <c r="R1115">
        <v>10</v>
      </c>
      <c r="S1115" t="s">
        <v>36</v>
      </c>
    </row>
    <row r="1116" spans="1:19" x14ac:dyDescent="0.3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 t="str">
        <f t="shared" si="17"/>
        <v>8-14 days</v>
      </c>
      <c r="L1116">
        <v>12</v>
      </c>
      <c r="M1116">
        <v>5</v>
      </c>
      <c r="N1116">
        <v>2</v>
      </c>
      <c r="O1116" t="s">
        <v>54</v>
      </c>
      <c r="P1116" t="s">
        <v>55</v>
      </c>
      <c r="Q1116">
        <v>15.3</v>
      </c>
      <c r="R1116">
        <v>22</v>
      </c>
      <c r="S1116" t="s">
        <v>71</v>
      </c>
    </row>
    <row r="1117" spans="1:19" x14ac:dyDescent="0.3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 t="str">
        <f t="shared" si="17"/>
        <v>8-14 days</v>
      </c>
      <c r="L1117">
        <v>9</v>
      </c>
      <c r="M1117">
        <v>1</v>
      </c>
      <c r="N1117">
        <v>0</v>
      </c>
      <c r="O1117" t="s">
        <v>25</v>
      </c>
      <c r="P1117" t="s">
        <v>35</v>
      </c>
      <c r="Q1117">
        <v>19.7</v>
      </c>
      <c r="R1117">
        <v>13</v>
      </c>
      <c r="S1117" t="s">
        <v>36</v>
      </c>
    </row>
    <row r="1118" spans="1:19" x14ac:dyDescent="0.3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 t="str">
        <f t="shared" si="17"/>
        <v>31-60 days</v>
      </c>
      <c r="L1118">
        <v>51</v>
      </c>
      <c r="M1118">
        <v>5</v>
      </c>
      <c r="N1118">
        <v>1</v>
      </c>
      <c r="O1118" t="s">
        <v>25</v>
      </c>
      <c r="P1118" t="s">
        <v>35</v>
      </c>
      <c r="Q1118">
        <v>1.5</v>
      </c>
      <c r="R1118">
        <v>40</v>
      </c>
      <c r="S1118" t="s">
        <v>27</v>
      </c>
    </row>
    <row r="1119" spans="1:19" x14ac:dyDescent="0.3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 t="str">
        <f t="shared" si="17"/>
        <v>8-14 days</v>
      </c>
      <c r="L1119">
        <v>13</v>
      </c>
      <c r="M1119">
        <v>2</v>
      </c>
      <c r="N1119">
        <v>2</v>
      </c>
      <c r="O1119" t="s">
        <v>54</v>
      </c>
      <c r="P1119" t="s">
        <v>55</v>
      </c>
      <c r="Q1119">
        <v>4.7</v>
      </c>
      <c r="R1119">
        <v>16</v>
      </c>
      <c r="S1119" t="s">
        <v>27</v>
      </c>
    </row>
    <row r="1120" spans="1:19" x14ac:dyDescent="0.3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 t="str">
        <f t="shared" si="17"/>
        <v>15-30 days</v>
      </c>
      <c r="L1120">
        <v>30</v>
      </c>
      <c r="M1120">
        <v>0</v>
      </c>
      <c r="N1120">
        <v>0</v>
      </c>
      <c r="O1120" t="s">
        <v>54</v>
      </c>
      <c r="P1120" t="s">
        <v>55</v>
      </c>
      <c r="Q1120">
        <v>2.8</v>
      </c>
      <c r="R1120">
        <v>23</v>
      </c>
      <c r="S1120" t="s">
        <v>36</v>
      </c>
    </row>
    <row r="1121" spans="1:19" x14ac:dyDescent="0.3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 t="str">
        <f t="shared" si="17"/>
        <v>15-30 days</v>
      </c>
      <c r="L1121">
        <v>16</v>
      </c>
      <c r="M1121">
        <v>5</v>
      </c>
      <c r="N1121">
        <v>0</v>
      </c>
      <c r="O1121" t="s">
        <v>25</v>
      </c>
      <c r="P1121" t="s">
        <v>26</v>
      </c>
      <c r="Q1121">
        <v>11.9</v>
      </c>
      <c r="R1121">
        <v>17</v>
      </c>
      <c r="S1121" t="s">
        <v>27</v>
      </c>
    </row>
    <row r="1122" spans="1:19" x14ac:dyDescent="0.3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 t="str">
        <f t="shared" si="17"/>
        <v>8-14 days</v>
      </c>
      <c r="L1122">
        <v>14</v>
      </c>
      <c r="M1122">
        <v>2</v>
      </c>
      <c r="N1122">
        <v>0</v>
      </c>
      <c r="O1122" t="s">
        <v>25</v>
      </c>
      <c r="P1122" t="s">
        <v>26</v>
      </c>
      <c r="R1122">
        <v>10</v>
      </c>
      <c r="S1122" t="s">
        <v>27</v>
      </c>
    </row>
    <row r="1123" spans="1:19" x14ac:dyDescent="0.3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 t="str">
        <f t="shared" si="17"/>
        <v>31-60 days</v>
      </c>
      <c r="L1123">
        <v>36</v>
      </c>
      <c r="M1123">
        <v>3</v>
      </c>
      <c r="N1123">
        <v>2</v>
      </c>
      <c r="O1123" t="s">
        <v>54</v>
      </c>
      <c r="P1123" t="s">
        <v>55</v>
      </c>
      <c r="Q1123">
        <v>3.8</v>
      </c>
      <c r="R1123">
        <v>32</v>
      </c>
      <c r="S1123" t="s">
        <v>36</v>
      </c>
    </row>
    <row r="1124" spans="1:19" x14ac:dyDescent="0.3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 t="str">
        <f t="shared" si="17"/>
        <v>31-60 days</v>
      </c>
      <c r="L1124">
        <v>48</v>
      </c>
      <c r="M1124">
        <v>2</v>
      </c>
      <c r="N1124">
        <v>0</v>
      </c>
      <c r="O1124" t="s">
        <v>25</v>
      </c>
      <c r="P1124" t="s">
        <v>35</v>
      </c>
      <c r="Q1124">
        <v>7.3</v>
      </c>
      <c r="R1124">
        <v>23</v>
      </c>
      <c r="S1124" t="s">
        <v>27</v>
      </c>
    </row>
    <row r="1125" spans="1:19" x14ac:dyDescent="0.3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 t="str">
        <f t="shared" si="17"/>
        <v>15-30 days</v>
      </c>
      <c r="L1125">
        <v>26</v>
      </c>
      <c r="M1125">
        <v>4</v>
      </c>
      <c r="N1125">
        <v>0</v>
      </c>
      <c r="O1125" t="s">
        <v>54</v>
      </c>
      <c r="P1125" t="s">
        <v>55</v>
      </c>
      <c r="Q1125">
        <v>8.5</v>
      </c>
      <c r="R1125">
        <v>50</v>
      </c>
      <c r="S1125" t="s">
        <v>71</v>
      </c>
    </row>
    <row r="1126" spans="1:19" x14ac:dyDescent="0.3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 t="str">
        <f t="shared" si="17"/>
        <v>8-14 days</v>
      </c>
      <c r="L1126">
        <v>8</v>
      </c>
      <c r="M1126">
        <v>4</v>
      </c>
      <c r="N1126">
        <v>0</v>
      </c>
      <c r="O1126" t="s">
        <v>25</v>
      </c>
      <c r="P1126" t="s">
        <v>35</v>
      </c>
      <c r="Q1126">
        <v>18</v>
      </c>
      <c r="R1126">
        <v>36</v>
      </c>
      <c r="S1126" t="s">
        <v>36</v>
      </c>
    </row>
    <row r="1127" spans="1:19" x14ac:dyDescent="0.3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 t="str">
        <f t="shared" si="17"/>
        <v>8-14 days</v>
      </c>
      <c r="L1127">
        <v>14</v>
      </c>
      <c r="M1127">
        <v>6</v>
      </c>
      <c r="N1127">
        <v>3</v>
      </c>
      <c r="O1127" t="s">
        <v>54</v>
      </c>
      <c r="P1127" t="s">
        <v>55</v>
      </c>
      <c r="Q1127">
        <v>18.100000000000001</v>
      </c>
      <c r="R1127">
        <v>25</v>
      </c>
      <c r="S1127" t="s">
        <v>27</v>
      </c>
    </row>
    <row r="1128" spans="1:19" x14ac:dyDescent="0.3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 t="str">
        <f t="shared" si="17"/>
        <v>8-14 days</v>
      </c>
      <c r="L1128">
        <v>10</v>
      </c>
      <c r="M1128">
        <v>4</v>
      </c>
      <c r="N1128">
        <v>0</v>
      </c>
      <c r="O1128" t="s">
        <v>54</v>
      </c>
      <c r="P1128" t="s">
        <v>55</v>
      </c>
      <c r="Q1128">
        <v>4.5999999999999996</v>
      </c>
      <c r="R1128">
        <v>28</v>
      </c>
      <c r="S1128" t="s">
        <v>71</v>
      </c>
    </row>
    <row r="1129" spans="1:19" x14ac:dyDescent="0.3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 t="str">
        <f t="shared" si="17"/>
        <v>31-60 days</v>
      </c>
      <c r="L1129">
        <v>53</v>
      </c>
      <c r="M1129">
        <v>2</v>
      </c>
      <c r="N1129">
        <v>1</v>
      </c>
      <c r="O1129" t="s">
        <v>25</v>
      </c>
      <c r="P1129" t="s">
        <v>26</v>
      </c>
      <c r="Q1129">
        <v>2.2999999999999998</v>
      </c>
      <c r="R1129">
        <v>23</v>
      </c>
      <c r="S1129" t="s">
        <v>27</v>
      </c>
    </row>
    <row r="1130" spans="1:19" x14ac:dyDescent="0.3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 t="str">
        <f t="shared" si="17"/>
        <v>15-30 days</v>
      </c>
      <c r="L1130">
        <v>19</v>
      </c>
      <c r="M1130">
        <v>5</v>
      </c>
      <c r="N1130">
        <v>2</v>
      </c>
      <c r="O1130" t="s">
        <v>25</v>
      </c>
      <c r="P1130" t="s">
        <v>35</v>
      </c>
      <c r="Q1130">
        <v>10.8</v>
      </c>
      <c r="R1130">
        <v>13</v>
      </c>
      <c r="S1130" t="s">
        <v>27</v>
      </c>
    </row>
    <row r="1131" spans="1:19" x14ac:dyDescent="0.3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 t="str">
        <f t="shared" si="17"/>
        <v>15-30 days</v>
      </c>
      <c r="L1131">
        <v>22</v>
      </c>
      <c r="M1131">
        <v>5</v>
      </c>
      <c r="N1131">
        <v>1</v>
      </c>
      <c r="O1131" t="s">
        <v>25</v>
      </c>
      <c r="P1131" t="s">
        <v>35</v>
      </c>
      <c r="Q1131">
        <v>7.1</v>
      </c>
      <c r="R1131">
        <v>8</v>
      </c>
      <c r="S1131" t="s">
        <v>36</v>
      </c>
    </row>
    <row r="1132" spans="1:19" x14ac:dyDescent="0.3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 t="str">
        <f t="shared" si="17"/>
        <v>0-7 days</v>
      </c>
      <c r="L1132">
        <v>4</v>
      </c>
      <c r="M1132">
        <v>1</v>
      </c>
      <c r="N1132">
        <v>0</v>
      </c>
      <c r="O1132" t="s">
        <v>25</v>
      </c>
      <c r="P1132" t="s">
        <v>35</v>
      </c>
      <c r="Q1132">
        <v>19</v>
      </c>
      <c r="R1132">
        <v>12</v>
      </c>
      <c r="S1132" t="s">
        <v>36</v>
      </c>
    </row>
    <row r="1133" spans="1:19" x14ac:dyDescent="0.3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 t="str">
        <f t="shared" si="17"/>
        <v>15-30 days</v>
      </c>
      <c r="L1133">
        <v>27</v>
      </c>
      <c r="M1133">
        <v>3</v>
      </c>
      <c r="N1133">
        <v>0</v>
      </c>
      <c r="O1133" t="s">
        <v>25</v>
      </c>
      <c r="P1133" t="s">
        <v>35</v>
      </c>
      <c r="Q1133">
        <v>19.399999999999999</v>
      </c>
      <c r="R1133">
        <v>39</v>
      </c>
      <c r="S1133" t="s">
        <v>27</v>
      </c>
    </row>
    <row r="1134" spans="1:19" x14ac:dyDescent="0.3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 t="str">
        <f t="shared" si="17"/>
        <v>31-60 days</v>
      </c>
      <c r="L1134">
        <v>55</v>
      </c>
      <c r="M1134">
        <v>5</v>
      </c>
      <c r="N1134">
        <v>0</v>
      </c>
      <c r="O1134" t="s">
        <v>25</v>
      </c>
      <c r="P1134" t="s">
        <v>35</v>
      </c>
      <c r="Q1134">
        <v>11.3</v>
      </c>
      <c r="R1134">
        <v>27</v>
      </c>
      <c r="S1134" t="s">
        <v>27</v>
      </c>
    </row>
    <row r="1135" spans="1:19" x14ac:dyDescent="0.3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 t="str">
        <f t="shared" si="17"/>
        <v>15-30 days</v>
      </c>
      <c r="L1135">
        <v>24</v>
      </c>
      <c r="M1135">
        <v>5</v>
      </c>
      <c r="N1135">
        <v>2</v>
      </c>
      <c r="O1135" t="s">
        <v>25</v>
      </c>
      <c r="P1135" t="s">
        <v>35</v>
      </c>
      <c r="Q1135">
        <v>9.3000000000000007</v>
      </c>
      <c r="R1135">
        <v>30</v>
      </c>
      <c r="S1135" t="s">
        <v>27</v>
      </c>
    </row>
    <row r="1136" spans="1:19" x14ac:dyDescent="0.3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 t="str">
        <f t="shared" si="17"/>
        <v>31-60 days</v>
      </c>
      <c r="L1136">
        <v>39</v>
      </c>
      <c r="M1136">
        <v>4</v>
      </c>
      <c r="N1136">
        <v>1</v>
      </c>
      <c r="O1136" t="s">
        <v>25</v>
      </c>
      <c r="P1136" t="s">
        <v>35</v>
      </c>
      <c r="Q1136">
        <v>9.9</v>
      </c>
      <c r="R1136">
        <v>33</v>
      </c>
      <c r="S1136" t="s">
        <v>27</v>
      </c>
    </row>
    <row r="1137" spans="1:19" x14ac:dyDescent="0.3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 t="str">
        <f t="shared" si="17"/>
        <v>8-14 days</v>
      </c>
      <c r="L1137">
        <v>11</v>
      </c>
      <c r="M1137">
        <v>1</v>
      </c>
      <c r="N1137">
        <v>0</v>
      </c>
      <c r="O1137" t="s">
        <v>25</v>
      </c>
      <c r="P1137" t="s">
        <v>26</v>
      </c>
      <c r="R1137">
        <v>22</v>
      </c>
      <c r="S1137" t="s">
        <v>36</v>
      </c>
    </row>
    <row r="1138" spans="1:19" x14ac:dyDescent="0.3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 t="str">
        <f t="shared" si="17"/>
        <v>8-14 days</v>
      </c>
      <c r="L1138">
        <v>8</v>
      </c>
      <c r="M1138">
        <v>4</v>
      </c>
      <c r="N1138">
        <v>0</v>
      </c>
      <c r="O1138" t="s">
        <v>54</v>
      </c>
      <c r="P1138" t="s">
        <v>55</v>
      </c>
      <c r="Q1138">
        <v>9.8000000000000007</v>
      </c>
      <c r="R1138">
        <v>17</v>
      </c>
      <c r="S1138" t="s">
        <v>27</v>
      </c>
    </row>
    <row r="1139" spans="1:19" x14ac:dyDescent="0.3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 t="str">
        <f t="shared" si="17"/>
        <v>31-60 days</v>
      </c>
      <c r="L1139">
        <v>44</v>
      </c>
      <c r="M1139">
        <v>2</v>
      </c>
      <c r="N1139">
        <v>0</v>
      </c>
      <c r="O1139" t="s">
        <v>25</v>
      </c>
      <c r="P1139" t="s">
        <v>26</v>
      </c>
      <c r="Q1139">
        <v>5.8</v>
      </c>
      <c r="R1139">
        <v>46</v>
      </c>
      <c r="S1139" t="s">
        <v>36</v>
      </c>
    </row>
    <row r="1140" spans="1:19" x14ac:dyDescent="0.3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 t="str">
        <f t="shared" si="17"/>
        <v>0-7 days</v>
      </c>
      <c r="L1140">
        <v>4</v>
      </c>
      <c r="M1140">
        <v>6</v>
      </c>
      <c r="N1140">
        <v>1</v>
      </c>
      <c r="O1140" t="s">
        <v>25</v>
      </c>
      <c r="P1140" t="s">
        <v>35</v>
      </c>
      <c r="Q1140">
        <v>5.3</v>
      </c>
      <c r="R1140">
        <v>30</v>
      </c>
      <c r="S1140" t="s">
        <v>27</v>
      </c>
    </row>
    <row r="1141" spans="1:19" x14ac:dyDescent="0.3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 t="str">
        <f t="shared" si="17"/>
        <v>15-30 days</v>
      </c>
      <c r="L1141">
        <v>27</v>
      </c>
      <c r="M1141">
        <v>7</v>
      </c>
      <c r="N1141">
        <v>1</v>
      </c>
      <c r="O1141" t="s">
        <v>25</v>
      </c>
      <c r="P1141" t="s">
        <v>50</v>
      </c>
      <c r="Q1141">
        <v>6.2</v>
      </c>
      <c r="R1141">
        <v>6</v>
      </c>
      <c r="S1141" t="s">
        <v>27</v>
      </c>
    </row>
    <row r="1142" spans="1:19" x14ac:dyDescent="0.3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 t="str">
        <f t="shared" si="17"/>
        <v>15-30 days</v>
      </c>
      <c r="L1142">
        <v>19</v>
      </c>
      <c r="M1142">
        <v>6</v>
      </c>
      <c r="N1142">
        <v>4</v>
      </c>
      <c r="O1142" t="s">
        <v>25</v>
      </c>
      <c r="P1142" t="s">
        <v>50</v>
      </c>
      <c r="Q1142">
        <v>25.3</v>
      </c>
      <c r="R1142">
        <v>5</v>
      </c>
      <c r="S1142" t="s">
        <v>27</v>
      </c>
    </row>
    <row r="1143" spans="1:19" x14ac:dyDescent="0.3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 t="str">
        <f t="shared" si="17"/>
        <v>0-7 days</v>
      </c>
      <c r="L1143">
        <v>0</v>
      </c>
      <c r="M1143">
        <v>3</v>
      </c>
      <c r="N1143">
        <v>0</v>
      </c>
      <c r="O1143" t="s">
        <v>25</v>
      </c>
      <c r="P1143" t="s">
        <v>26</v>
      </c>
      <c r="Q1143">
        <v>0.9</v>
      </c>
      <c r="R1143">
        <v>32</v>
      </c>
      <c r="S1143" t="s">
        <v>27</v>
      </c>
    </row>
    <row r="1144" spans="1:19" x14ac:dyDescent="0.3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 t="str">
        <f t="shared" si="17"/>
        <v>31-60 days</v>
      </c>
      <c r="L1144">
        <v>32</v>
      </c>
      <c r="M1144">
        <v>4</v>
      </c>
      <c r="N1144">
        <v>0</v>
      </c>
      <c r="O1144" t="s">
        <v>25</v>
      </c>
      <c r="P1144" t="s">
        <v>35</v>
      </c>
      <c r="Q1144">
        <v>5.3</v>
      </c>
      <c r="R1144">
        <v>14</v>
      </c>
      <c r="S1144" t="s">
        <v>27</v>
      </c>
    </row>
    <row r="1145" spans="1:19" x14ac:dyDescent="0.3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 t="str">
        <f t="shared" si="17"/>
        <v>31-60 days</v>
      </c>
      <c r="L1145">
        <v>58</v>
      </c>
      <c r="M1145">
        <v>4</v>
      </c>
      <c r="N1145">
        <v>1</v>
      </c>
      <c r="O1145" t="s">
        <v>25</v>
      </c>
      <c r="P1145" t="s">
        <v>35</v>
      </c>
      <c r="Q1145">
        <v>6.1</v>
      </c>
      <c r="R1145">
        <v>23</v>
      </c>
      <c r="S1145" t="s">
        <v>36</v>
      </c>
    </row>
    <row r="1146" spans="1:19" x14ac:dyDescent="0.3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 t="str">
        <f t="shared" si="17"/>
        <v>0-7 days</v>
      </c>
      <c r="L1146">
        <v>4</v>
      </c>
      <c r="M1146">
        <v>4</v>
      </c>
      <c r="N1146">
        <v>2</v>
      </c>
      <c r="O1146" t="s">
        <v>25</v>
      </c>
      <c r="P1146" t="s">
        <v>35</v>
      </c>
      <c r="Q1146">
        <v>10.8</v>
      </c>
      <c r="R1146">
        <v>2</v>
      </c>
      <c r="S1146" t="s">
        <v>36</v>
      </c>
    </row>
    <row r="1147" spans="1:19" x14ac:dyDescent="0.3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 t="str">
        <f t="shared" si="17"/>
        <v>31-60 days</v>
      </c>
      <c r="L1147">
        <v>49</v>
      </c>
      <c r="M1147">
        <v>1</v>
      </c>
      <c r="N1147">
        <v>0</v>
      </c>
      <c r="O1147" t="s">
        <v>25</v>
      </c>
      <c r="P1147" t="s">
        <v>26</v>
      </c>
      <c r="Q1147">
        <v>5.0999999999999996</v>
      </c>
      <c r="R1147">
        <v>19</v>
      </c>
      <c r="S1147" t="s">
        <v>27</v>
      </c>
    </row>
    <row r="1148" spans="1:19" x14ac:dyDescent="0.3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 t="str">
        <f t="shared" si="17"/>
        <v>31-60 days</v>
      </c>
      <c r="L1148">
        <v>32</v>
      </c>
      <c r="M1148">
        <v>0</v>
      </c>
      <c r="N1148">
        <v>0</v>
      </c>
      <c r="O1148" t="s">
        <v>25</v>
      </c>
      <c r="P1148" t="s">
        <v>35</v>
      </c>
      <c r="Q1148">
        <v>20.100000000000001</v>
      </c>
      <c r="R1148">
        <v>34</v>
      </c>
      <c r="S1148" t="s">
        <v>27</v>
      </c>
    </row>
    <row r="1149" spans="1:19" x14ac:dyDescent="0.3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 t="str">
        <f t="shared" si="17"/>
        <v>31-60 days</v>
      </c>
      <c r="L1149">
        <v>44</v>
      </c>
      <c r="M1149">
        <v>7</v>
      </c>
      <c r="N1149">
        <v>1</v>
      </c>
      <c r="O1149" t="s">
        <v>54</v>
      </c>
      <c r="P1149" t="s">
        <v>55</v>
      </c>
      <c r="Q1149">
        <v>17.100000000000001</v>
      </c>
      <c r="R1149">
        <v>18</v>
      </c>
      <c r="S1149" t="s">
        <v>36</v>
      </c>
    </row>
    <row r="1150" spans="1:19" x14ac:dyDescent="0.3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 t="str">
        <f t="shared" si="17"/>
        <v>0-7 days</v>
      </c>
      <c r="L1150">
        <v>5</v>
      </c>
      <c r="M1150">
        <v>3</v>
      </c>
      <c r="N1150">
        <v>1</v>
      </c>
      <c r="O1150" t="s">
        <v>25</v>
      </c>
      <c r="P1150" t="s">
        <v>35</v>
      </c>
      <c r="Q1150">
        <v>20.8</v>
      </c>
      <c r="R1150">
        <v>11</v>
      </c>
      <c r="S1150" t="s">
        <v>27</v>
      </c>
    </row>
    <row r="1151" spans="1:19" x14ac:dyDescent="0.3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 t="str">
        <f t="shared" si="17"/>
        <v>31-60 days</v>
      </c>
      <c r="L1151">
        <v>53</v>
      </c>
      <c r="M1151">
        <v>5</v>
      </c>
      <c r="N1151">
        <v>1</v>
      </c>
      <c r="O1151" t="s">
        <v>25</v>
      </c>
      <c r="P1151" t="s">
        <v>35</v>
      </c>
      <c r="Q1151">
        <v>9.4</v>
      </c>
      <c r="R1151">
        <v>21</v>
      </c>
      <c r="S1151" t="s">
        <v>27</v>
      </c>
    </row>
    <row r="1152" spans="1:19" x14ac:dyDescent="0.3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 t="str">
        <f t="shared" si="17"/>
        <v>0-7 days</v>
      </c>
      <c r="L1152">
        <v>0</v>
      </c>
      <c r="M1152">
        <v>4</v>
      </c>
      <c r="N1152">
        <v>2</v>
      </c>
      <c r="O1152" t="s">
        <v>25</v>
      </c>
      <c r="P1152" t="s">
        <v>35</v>
      </c>
      <c r="Q1152">
        <v>19.100000000000001</v>
      </c>
      <c r="R1152">
        <v>24</v>
      </c>
      <c r="S1152" t="s">
        <v>27</v>
      </c>
    </row>
    <row r="1153" spans="1:19" x14ac:dyDescent="0.3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 t="str">
        <f t="shared" si="17"/>
        <v>31-60 days</v>
      </c>
      <c r="L1153">
        <v>55</v>
      </c>
      <c r="M1153">
        <v>2</v>
      </c>
      <c r="N1153">
        <v>0</v>
      </c>
      <c r="O1153" t="s">
        <v>54</v>
      </c>
      <c r="P1153" t="s">
        <v>55</v>
      </c>
      <c r="Q1153">
        <v>4.5999999999999996</v>
      </c>
      <c r="R1153">
        <v>20</v>
      </c>
      <c r="S1153" t="s">
        <v>27</v>
      </c>
    </row>
    <row r="1154" spans="1:19" x14ac:dyDescent="0.3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 t="str">
        <f t="shared" si="17"/>
        <v>31-60 days</v>
      </c>
      <c r="L1154">
        <v>40</v>
      </c>
      <c r="M1154">
        <v>3</v>
      </c>
      <c r="N1154">
        <v>0</v>
      </c>
      <c r="O1154" t="s">
        <v>25</v>
      </c>
      <c r="P1154" t="s">
        <v>35</v>
      </c>
      <c r="Q1154">
        <v>8.4</v>
      </c>
      <c r="R1154">
        <v>7</v>
      </c>
      <c r="S1154" t="s">
        <v>27</v>
      </c>
    </row>
    <row r="1155" spans="1:19" x14ac:dyDescent="0.3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 t="str">
        <f t="shared" ref="K1155:K1218" si="18">IF(L1155&lt;=7,"0-7 days",IF(L1155&lt;=14,"8-14 days",IF(L1155&lt;=30,"15-30 days","31-60 days")))</f>
        <v>15-30 days</v>
      </c>
      <c r="L1155">
        <v>20</v>
      </c>
      <c r="M1155">
        <v>0</v>
      </c>
      <c r="N1155">
        <v>0</v>
      </c>
      <c r="O1155" t="s">
        <v>25</v>
      </c>
      <c r="P1155" t="s">
        <v>35</v>
      </c>
      <c r="Q1155">
        <v>1.6</v>
      </c>
      <c r="R1155">
        <v>28</v>
      </c>
      <c r="S1155" t="s">
        <v>36</v>
      </c>
    </row>
    <row r="1156" spans="1:19" x14ac:dyDescent="0.3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 t="str">
        <f t="shared" si="18"/>
        <v>0-7 days</v>
      </c>
      <c r="L1156">
        <v>0</v>
      </c>
      <c r="M1156">
        <v>5</v>
      </c>
      <c r="N1156">
        <v>0</v>
      </c>
      <c r="O1156" t="s">
        <v>54</v>
      </c>
      <c r="P1156" t="s">
        <v>55</v>
      </c>
      <c r="Q1156">
        <v>11.8</v>
      </c>
      <c r="R1156">
        <v>18</v>
      </c>
      <c r="S1156" t="s">
        <v>36</v>
      </c>
    </row>
    <row r="1157" spans="1:19" x14ac:dyDescent="0.3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 t="str">
        <f t="shared" si="18"/>
        <v>31-60 days</v>
      </c>
      <c r="L1157">
        <v>37</v>
      </c>
      <c r="M1157">
        <v>5</v>
      </c>
      <c r="N1157">
        <v>0</v>
      </c>
      <c r="O1157" t="s">
        <v>25</v>
      </c>
      <c r="P1157" t="s">
        <v>35</v>
      </c>
      <c r="Q1157">
        <v>11.6</v>
      </c>
      <c r="R1157">
        <v>26</v>
      </c>
      <c r="S1157" t="s">
        <v>27</v>
      </c>
    </row>
    <row r="1158" spans="1:19" x14ac:dyDescent="0.3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 t="str">
        <f t="shared" si="18"/>
        <v>0-7 days</v>
      </c>
      <c r="L1158">
        <v>5</v>
      </c>
      <c r="M1158">
        <v>3</v>
      </c>
      <c r="N1158">
        <v>0</v>
      </c>
      <c r="O1158" t="s">
        <v>25</v>
      </c>
      <c r="P1158" t="s">
        <v>26</v>
      </c>
      <c r="Q1158">
        <v>9.5</v>
      </c>
      <c r="R1158">
        <v>13</v>
      </c>
      <c r="S1158" t="s">
        <v>36</v>
      </c>
    </row>
    <row r="1159" spans="1:19" x14ac:dyDescent="0.3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 t="str">
        <f t="shared" si="18"/>
        <v>31-60 days</v>
      </c>
      <c r="L1159">
        <v>37</v>
      </c>
      <c r="M1159">
        <v>2</v>
      </c>
      <c r="N1159">
        <v>0</v>
      </c>
      <c r="O1159" t="s">
        <v>54</v>
      </c>
      <c r="P1159" t="s">
        <v>55</v>
      </c>
      <c r="Q1159">
        <v>7</v>
      </c>
      <c r="R1159">
        <v>38</v>
      </c>
      <c r="S1159" t="s">
        <v>36</v>
      </c>
    </row>
    <row r="1160" spans="1:19" x14ac:dyDescent="0.3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 t="str">
        <f t="shared" si="18"/>
        <v>31-60 days</v>
      </c>
      <c r="L1160">
        <v>47</v>
      </c>
      <c r="M1160">
        <v>5</v>
      </c>
      <c r="N1160">
        <v>2</v>
      </c>
      <c r="O1160" t="s">
        <v>54</v>
      </c>
      <c r="P1160" t="s">
        <v>55</v>
      </c>
      <c r="Q1160">
        <v>14.4</v>
      </c>
      <c r="R1160">
        <v>32</v>
      </c>
      <c r="S1160" t="s">
        <v>27</v>
      </c>
    </row>
    <row r="1161" spans="1:19" x14ac:dyDescent="0.3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 t="str">
        <f t="shared" si="18"/>
        <v>15-30 days</v>
      </c>
      <c r="L1161">
        <v>16</v>
      </c>
      <c r="M1161">
        <v>3</v>
      </c>
      <c r="N1161">
        <v>1</v>
      </c>
      <c r="O1161" t="s">
        <v>54</v>
      </c>
      <c r="P1161" t="s">
        <v>55</v>
      </c>
      <c r="Q1161">
        <v>18.600000000000001</v>
      </c>
      <c r="R1161">
        <v>20</v>
      </c>
      <c r="S1161" t="s">
        <v>71</v>
      </c>
    </row>
    <row r="1162" spans="1:19" x14ac:dyDescent="0.3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 t="str">
        <f t="shared" si="18"/>
        <v>8-14 days</v>
      </c>
      <c r="L1162">
        <v>14</v>
      </c>
      <c r="M1162">
        <v>5</v>
      </c>
      <c r="N1162">
        <v>1</v>
      </c>
      <c r="O1162" t="s">
        <v>54</v>
      </c>
      <c r="P1162" t="s">
        <v>55</v>
      </c>
      <c r="Q1162">
        <v>26</v>
      </c>
      <c r="R1162">
        <v>27</v>
      </c>
      <c r="S1162" t="s">
        <v>36</v>
      </c>
    </row>
    <row r="1163" spans="1:19" x14ac:dyDescent="0.3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 t="str">
        <f t="shared" si="18"/>
        <v>8-14 days</v>
      </c>
      <c r="L1163">
        <v>13</v>
      </c>
      <c r="M1163">
        <v>3</v>
      </c>
      <c r="N1163">
        <v>0</v>
      </c>
      <c r="O1163" t="s">
        <v>25</v>
      </c>
      <c r="P1163" t="s">
        <v>35</v>
      </c>
      <c r="Q1163">
        <v>11.4</v>
      </c>
      <c r="R1163">
        <v>42</v>
      </c>
      <c r="S1163" t="s">
        <v>36</v>
      </c>
    </row>
    <row r="1164" spans="1:19" x14ac:dyDescent="0.3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 t="str">
        <f t="shared" si="18"/>
        <v>8-14 days</v>
      </c>
      <c r="L1164">
        <v>13</v>
      </c>
      <c r="M1164">
        <v>3</v>
      </c>
      <c r="N1164">
        <v>2</v>
      </c>
      <c r="O1164" t="s">
        <v>25</v>
      </c>
      <c r="P1164" t="s">
        <v>26</v>
      </c>
      <c r="Q1164">
        <v>8</v>
      </c>
      <c r="R1164">
        <v>37</v>
      </c>
      <c r="S1164" t="s">
        <v>36</v>
      </c>
    </row>
    <row r="1165" spans="1:19" x14ac:dyDescent="0.3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 t="str">
        <f t="shared" si="18"/>
        <v>0-7 days</v>
      </c>
      <c r="L1165">
        <v>6</v>
      </c>
      <c r="M1165">
        <v>4</v>
      </c>
      <c r="N1165">
        <v>0</v>
      </c>
      <c r="O1165" t="s">
        <v>25</v>
      </c>
      <c r="P1165" t="s">
        <v>35</v>
      </c>
      <c r="Q1165">
        <v>5.7</v>
      </c>
      <c r="R1165">
        <v>41</v>
      </c>
      <c r="S1165" t="s">
        <v>36</v>
      </c>
    </row>
    <row r="1166" spans="1:19" x14ac:dyDescent="0.3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 t="str">
        <f t="shared" si="18"/>
        <v>15-30 days</v>
      </c>
      <c r="L1166">
        <v>15</v>
      </c>
      <c r="M1166">
        <v>1</v>
      </c>
      <c r="N1166">
        <v>0</v>
      </c>
      <c r="O1166" t="s">
        <v>25</v>
      </c>
      <c r="P1166" t="s">
        <v>35</v>
      </c>
      <c r="Q1166">
        <v>12.4</v>
      </c>
      <c r="R1166">
        <v>31</v>
      </c>
      <c r="S1166" t="s">
        <v>36</v>
      </c>
    </row>
    <row r="1167" spans="1:19" x14ac:dyDescent="0.3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 t="str">
        <f t="shared" si="18"/>
        <v>31-60 days</v>
      </c>
      <c r="L1167">
        <v>40</v>
      </c>
      <c r="M1167">
        <v>2</v>
      </c>
      <c r="N1167">
        <v>1</v>
      </c>
      <c r="O1167" t="s">
        <v>54</v>
      </c>
      <c r="P1167" t="s">
        <v>55</v>
      </c>
      <c r="Q1167">
        <v>4.5999999999999996</v>
      </c>
      <c r="R1167">
        <v>18</v>
      </c>
      <c r="S1167" t="s">
        <v>27</v>
      </c>
    </row>
    <row r="1168" spans="1:19" x14ac:dyDescent="0.3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 t="str">
        <f t="shared" si="18"/>
        <v>15-30 days</v>
      </c>
      <c r="L1168">
        <v>18</v>
      </c>
      <c r="M1168">
        <v>7</v>
      </c>
      <c r="N1168">
        <v>3</v>
      </c>
      <c r="O1168" t="s">
        <v>25</v>
      </c>
      <c r="P1168" t="s">
        <v>35</v>
      </c>
      <c r="Q1168">
        <v>11.9</v>
      </c>
      <c r="R1168">
        <v>30</v>
      </c>
      <c r="S1168" t="s">
        <v>27</v>
      </c>
    </row>
    <row r="1169" spans="1:19" x14ac:dyDescent="0.3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 t="str">
        <f t="shared" si="18"/>
        <v>31-60 days</v>
      </c>
      <c r="L1169">
        <v>47</v>
      </c>
      <c r="M1169">
        <v>3</v>
      </c>
      <c r="N1169">
        <v>0</v>
      </c>
      <c r="O1169" t="s">
        <v>25</v>
      </c>
      <c r="P1169" t="s">
        <v>35</v>
      </c>
      <c r="Q1169">
        <v>4.7</v>
      </c>
      <c r="S1169" t="s">
        <v>27</v>
      </c>
    </row>
    <row r="1170" spans="1:19" x14ac:dyDescent="0.3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 t="str">
        <f t="shared" si="18"/>
        <v>31-60 days</v>
      </c>
      <c r="L1170">
        <v>49</v>
      </c>
      <c r="M1170">
        <v>4</v>
      </c>
      <c r="N1170">
        <v>1</v>
      </c>
      <c r="O1170" t="s">
        <v>54</v>
      </c>
      <c r="P1170" t="s">
        <v>55</v>
      </c>
      <c r="Q1170">
        <v>8.3000000000000007</v>
      </c>
      <c r="R1170">
        <v>31</v>
      </c>
      <c r="S1170" t="s">
        <v>27</v>
      </c>
    </row>
    <row r="1171" spans="1:19" x14ac:dyDescent="0.3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 t="str">
        <f t="shared" si="18"/>
        <v>31-60 days</v>
      </c>
      <c r="L1171">
        <v>46</v>
      </c>
      <c r="M1171">
        <v>1</v>
      </c>
      <c r="N1171">
        <v>0</v>
      </c>
      <c r="O1171" t="s">
        <v>25</v>
      </c>
      <c r="P1171" t="s">
        <v>26</v>
      </c>
      <c r="Q1171">
        <v>4.2</v>
      </c>
      <c r="R1171">
        <v>15</v>
      </c>
      <c r="S1171" t="s">
        <v>27</v>
      </c>
    </row>
    <row r="1172" spans="1:19" x14ac:dyDescent="0.3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 t="str">
        <f t="shared" si="18"/>
        <v>31-60 days</v>
      </c>
      <c r="L1172">
        <v>32</v>
      </c>
      <c r="M1172">
        <v>1</v>
      </c>
      <c r="N1172">
        <v>0</v>
      </c>
      <c r="O1172" t="s">
        <v>25</v>
      </c>
      <c r="P1172" t="s">
        <v>50</v>
      </c>
      <c r="Q1172">
        <v>6.1</v>
      </c>
      <c r="R1172">
        <v>25</v>
      </c>
      <c r="S1172" t="s">
        <v>36</v>
      </c>
    </row>
    <row r="1173" spans="1:19" x14ac:dyDescent="0.3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 t="str">
        <f t="shared" si="18"/>
        <v>15-30 days</v>
      </c>
      <c r="L1173">
        <v>19</v>
      </c>
      <c r="M1173">
        <v>2</v>
      </c>
      <c r="N1173">
        <v>2</v>
      </c>
      <c r="O1173" t="s">
        <v>54</v>
      </c>
      <c r="P1173" t="s">
        <v>55</v>
      </c>
      <c r="Q1173">
        <v>11.1</v>
      </c>
      <c r="R1173">
        <v>32</v>
      </c>
      <c r="S1173" t="s">
        <v>27</v>
      </c>
    </row>
    <row r="1174" spans="1:19" x14ac:dyDescent="0.3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 t="str">
        <f t="shared" si="18"/>
        <v>31-60 days</v>
      </c>
      <c r="L1174">
        <v>56</v>
      </c>
      <c r="M1174">
        <v>5</v>
      </c>
      <c r="N1174">
        <v>0</v>
      </c>
      <c r="O1174" t="s">
        <v>25</v>
      </c>
      <c r="P1174" t="s">
        <v>26</v>
      </c>
      <c r="Q1174">
        <v>15.6</v>
      </c>
      <c r="R1174">
        <v>26</v>
      </c>
      <c r="S1174" t="s">
        <v>71</v>
      </c>
    </row>
    <row r="1175" spans="1:19" x14ac:dyDescent="0.3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 t="str">
        <f t="shared" si="18"/>
        <v>8-14 days</v>
      </c>
      <c r="L1175">
        <v>12</v>
      </c>
      <c r="M1175">
        <v>2</v>
      </c>
      <c r="N1175">
        <v>0</v>
      </c>
      <c r="O1175" t="s">
        <v>54</v>
      </c>
      <c r="P1175" t="s">
        <v>55</v>
      </c>
      <c r="Q1175">
        <v>6.8</v>
      </c>
      <c r="R1175">
        <v>32</v>
      </c>
      <c r="S1175" t="s">
        <v>36</v>
      </c>
    </row>
    <row r="1176" spans="1:19" x14ac:dyDescent="0.3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 t="str">
        <f t="shared" si="18"/>
        <v>15-30 days</v>
      </c>
      <c r="L1176">
        <v>28</v>
      </c>
      <c r="M1176">
        <v>1</v>
      </c>
      <c r="N1176">
        <v>0</v>
      </c>
      <c r="O1176" t="s">
        <v>25</v>
      </c>
      <c r="P1176" t="s">
        <v>26</v>
      </c>
      <c r="Q1176">
        <v>1</v>
      </c>
      <c r="R1176">
        <v>17</v>
      </c>
      <c r="S1176" t="s">
        <v>36</v>
      </c>
    </row>
    <row r="1177" spans="1:19" x14ac:dyDescent="0.3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 t="str">
        <f t="shared" si="18"/>
        <v>15-30 days</v>
      </c>
      <c r="L1177">
        <v>27</v>
      </c>
      <c r="M1177">
        <v>3</v>
      </c>
      <c r="N1177">
        <v>0</v>
      </c>
      <c r="O1177" t="s">
        <v>25</v>
      </c>
      <c r="P1177" t="s">
        <v>35</v>
      </c>
      <c r="Q1177">
        <v>1.8</v>
      </c>
      <c r="R1177">
        <v>22</v>
      </c>
      <c r="S1177" t="s">
        <v>36</v>
      </c>
    </row>
    <row r="1178" spans="1:19" x14ac:dyDescent="0.3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 t="str">
        <f t="shared" si="18"/>
        <v>31-60 days</v>
      </c>
      <c r="L1178">
        <v>45</v>
      </c>
      <c r="M1178">
        <v>5</v>
      </c>
      <c r="N1178">
        <v>0</v>
      </c>
      <c r="O1178" t="s">
        <v>25</v>
      </c>
      <c r="P1178" t="s">
        <v>50</v>
      </c>
      <c r="Q1178">
        <v>1.9</v>
      </c>
      <c r="R1178">
        <v>28</v>
      </c>
      <c r="S1178" t="s">
        <v>27</v>
      </c>
    </row>
    <row r="1179" spans="1:19" x14ac:dyDescent="0.3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 t="str">
        <f t="shared" si="18"/>
        <v>31-60 days</v>
      </c>
      <c r="L1179">
        <v>33</v>
      </c>
      <c r="M1179">
        <v>3</v>
      </c>
      <c r="N1179">
        <v>0</v>
      </c>
      <c r="O1179" t="s">
        <v>25</v>
      </c>
      <c r="P1179" t="s">
        <v>26</v>
      </c>
      <c r="Q1179">
        <v>19.5</v>
      </c>
      <c r="R1179">
        <v>28</v>
      </c>
      <c r="S1179" t="s">
        <v>27</v>
      </c>
    </row>
    <row r="1180" spans="1:19" x14ac:dyDescent="0.3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 t="str">
        <f t="shared" si="18"/>
        <v>31-60 days</v>
      </c>
      <c r="L1180">
        <v>48</v>
      </c>
      <c r="M1180">
        <v>3</v>
      </c>
      <c r="N1180">
        <v>2</v>
      </c>
      <c r="O1180" t="s">
        <v>25</v>
      </c>
      <c r="P1180" t="s">
        <v>50</v>
      </c>
      <c r="Q1180">
        <v>35.6</v>
      </c>
      <c r="R1180">
        <v>17</v>
      </c>
      <c r="S1180" t="s">
        <v>27</v>
      </c>
    </row>
    <row r="1181" spans="1:19" x14ac:dyDescent="0.3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 t="str">
        <f t="shared" si="18"/>
        <v>31-60 days</v>
      </c>
      <c r="L1181">
        <v>56</v>
      </c>
      <c r="M1181">
        <v>4</v>
      </c>
      <c r="N1181">
        <v>1</v>
      </c>
      <c r="O1181" t="s">
        <v>25</v>
      </c>
      <c r="P1181" t="s">
        <v>35</v>
      </c>
      <c r="Q1181">
        <v>7.9</v>
      </c>
      <c r="R1181">
        <v>2</v>
      </c>
      <c r="S1181" t="s">
        <v>27</v>
      </c>
    </row>
    <row r="1182" spans="1:19" x14ac:dyDescent="0.3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 t="str">
        <f t="shared" si="18"/>
        <v>15-30 days</v>
      </c>
      <c r="L1182">
        <v>23</v>
      </c>
      <c r="M1182">
        <v>3</v>
      </c>
      <c r="N1182">
        <v>0</v>
      </c>
      <c r="O1182" t="s">
        <v>25</v>
      </c>
      <c r="P1182" t="s">
        <v>35</v>
      </c>
      <c r="Q1182">
        <v>2</v>
      </c>
      <c r="R1182">
        <v>2</v>
      </c>
      <c r="S1182" t="s">
        <v>36</v>
      </c>
    </row>
    <row r="1183" spans="1:19" x14ac:dyDescent="0.3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 t="str">
        <f t="shared" si="18"/>
        <v>31-60 days</v>
      </c>
      <c r="L1183">
        <v>53</v>
      </c>
      <c r="M1183">
        <v>2</v>
      </c>
      <c r="N1183">
        <v>0</v>
      </c>
      <c r="O1183" t="s">
        <v>25</v>
      </c>
      <c r="P1183" t="s">
        <v>26</v>
      </c>
      <c r="Q1183">
        <v>3.9</v>
      </c>
      <c r="R1183">
        <v>23</v>
      </c>
      <c r="S1183" t="s">
        <v>27</v>
      </c>
    </row>
    <row r="1184" spans="1:19" x14ac:dyDescent="0.3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 t="str">
        <f t="shared" si="18"/>
        <v>8-14 days</v>
      </c>
      <c r="L1184">
        <v>10</v>
      </c>
      <c r="M1184">
        <v>3</v>
      </c>
      <c r="N1184">
        <v>0</v>
      </c>
      <c r="O1184" t="s">
        <v>25</v>
      </c>
      <c r="P1184" t="s">
        <v>35</v>
      </c>
      <c r="Q1184">
        <v>3.5</v>
      </c>
      <c r="R1184">
        <v>26</v>
      </c>
      <c r="S1184" t="s">
        <v>36</v>
      </c>
    </row>
    <row r="1185" spans="1:19" x14ac:dyDescent="0.3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 t="str">
        <f t="shared" si="18"/>
        <v>31-60 days</v>
      </c>
      <c r="L1185">
        <v>55</v>
      </c>
      <c r="M1185">
        <v>4</v>
      </c>
      <c r="N1185">
        <v>1</v>
      </c>
      <c r="O1185" t="s">
        <v>25</v>
      </c>
      <c r="P1185" t="s">
        <v>35</v>
      </c>
      <c r="Q1185">
        <v>18.899999999999999</v>
      </c>
      <c r="R1185">
        <v>22</v>
      </c>
      <c r="S1185" t="s">
        <v>27</v>
      </c>
    </row>
    <row r="1186" spans="1:19" x14ac:dyDescent="0.3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 t="str">
        <f t="shared" si="18"/>
        <v>8-14 days</v>
      </c>
      <c r="L1186">
        <v>10</v>
      </c>
      <c r="M1186">
        <v>4</v>
      </c>
      <c r="N1186">
        <v>1</v>
      </c>
      <c r="O1186" t="s">
        <v>25</v>
      </c>
      <c r="P1186" t="s">
        <v>35</v>
      </c>
      <c r="Q1186">
        <v>6.2</v>
      </c>
      <c r="R1186">
        <v>24</v>
      </c>
      <c r="S1186" t="s">
        <v>36</v>
      </c>
    </row>
    <row r="1187" spans="1:19" x14ac:dyDescent="0.3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 t="str">
        <f t="shared" si="18"/>
        <v>31-60 days</v>
      </c>
      <c r="L1187">
        <v>51</v>
      </c>
      <c r="M1187">
        <v>4</v>
      </c>
      <c r="N1187">
        <v>0</v>
      </c>
      <c r="O1187" t="s">
        <v>25</v>
      </c>
      <c r="P1187" t="s">
        <v>50</v>
      </c>
      <c r="Q1187">
        <v>45</v>
      </c>
      <c r="R1187">
        <v>42</v>
      </c>
      <c r="S1187" t="s">
        <v>36</v>
      </c>
    </row>
    <row r="1188" spans="1:19" x14ac:dyDescent="0.3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 t="str">
        <f t="shared" si="18"/>
        <v>15-30 days</v>
      </c>
      <c r="L1188">
        <v>23</v>
      </c>
      <c r="M1188">
        <v>1</v>
      </c>
      <c r="N1188">
        <v>0</v>
      </c>
      <c r="O1188" t="s">
        <v>54</v>
      </c>
      <c r="P1188" t="s">
        <v>55</v>
      </c>
      <c r="Q1188">
        <v>3.5</v>
      </c>
      <c r="R1188">
        <v>19</v>
      </c>
      <c r="S1188" t="s">
        <v>27</v>
      </c>
    </row>
    <row r="1189" spans="1:19" x14ac:dyDescent="0.3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 t="str">
        <f t="shared" si="18"/>
        <v>31-60 days</v>
      </c>
      <c r="L1189">
        <v>58</v>
      </c>
      <c r="M1189">
        <v>1</v>
      </c>
      <c r="N1189">
        <v>0</v>
      </c>
      <c r="O1189" t="s">
        <v>54</v>
      </c>
      <c r="P1189" t="s">
        <v>55</v>
      </c>
      <c r="Q1189">
        <v>3.8</v>
      </c>
      <c r="R1189">
        <v>28</v>
      </c>
      <c r="S1189" t="s">
        <v>71</v>
      </c>
    </row>
    <row r="1190" spans="1:19" x14ac:dyDescent="0.3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 t="str">
        <f t="shared" si="18"/>
        <v>0-7 days</v>
      </c>
      <c r="L1190">
        <v>7</v>
      </c>
      <c r="M1190">
        <v>1</v>
      </c>
      <c r="N1190">
        <v>0</v>
      </c>
      <c r="O1190" t="s">
        <v>25</v>
      </c>
      <c r="P1190" t="s">
        <v>50</v>
      </c>
      <c r="Q1190">
        <v>6.2</v>
      </c>
      <c r="R1190">
        <v>43</v>
      </c>
      <c r="S1190" t="s">
        <v>36</v>
      </c>
    </row>
    <row r="1191" spans="1:19" x14ac:dyDescent="0.3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 t="str">
        <f t="shared" si="18"/>
        <v>15-30 days</v>
      </c>
      <c r="L1191">
        <v>28</v>
      </c>
      <c r="M1191">
        <v>5</v>
      </c>
      <c r="N1191">
        <v>1</v>
      </c>
      <c r="O1191" t="s">
        <v>25</v>
      </c>
      <c r="P1191" t="s">
        <v>26</v>
      </c>
      <c r="Q1191">
        <v>5.7</v>
      </c>
      <c r="R1191">
        <v>13</v>
      </c>
      <c r="S1191" t="s">
        <v>36</v>
      </c>
    </row>
    <row r="1192" spans="1:19" x14ac:dyDescent="0.3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 t="str">
        <f t="shared" si="18"/>
        <v>31-60 days</v>
      </c>
      <c r="L1192">
        <v>55</v>
      </c>
      <c r="M1192">
        <v>3</v>
      </c>
      <c r="N1192">
        <v>0</v>
      </c>
      <c r="O1192" t="s">
        <v>25</v>
      </c>
      <c r="P1192" t="s">
        <v>35</v>
      </c>
      <c r="Q1192">
        <v>17</v>
      </c>
      <c r="R1192">
        <v>43</v>
      </c>
      <c r="S1192" t="s">
        <v>27</v>
      </c>
    </row>
    <row r="1193" spans="1:19" x14ac:dyDescent="0.3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 t="str">
        <f t="shared" si="18"/>
        <v>0-7 days</v>
      </c>
      <c r="L1193">
        <v>2</v>
      </c>
      <c r="M1193">
        <v>2</v>
      </c>
      <c r="N1193">
        <v>0</v>
      </c>
      <c r="O1193" t="s">
        <v>25</v>
      </c>
      <c r="P1193" t="s">
        <v>35</v>
      </c>
      <c r="Q1193">
        <v>8.9</v>
      </c>
      <c r="R1193">
        <v>35</v>
      </c>
      <c r="S1193" t="s">
        <v>36</v>
      </c>
    </row>
    <row r="1194" spans="1:19" x14ac:dyDescent="0.3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 t="str">
        <f t="shared" si="18"/>
        <v>15-30 days</v>
      </c>
      <c r="L1194">
        <v>16</v>
      </c>
      <c r="M1194">
        <v>3</v>
      </c>
      <c r="N1194">
        <v>0</v>
      </c>
      <c r="O1194" t="s">
        <v>54</v>
      </c>
      <c r="P1194" t="s">
        <v>55</v>
      </c>
      <c r="Q1194">
        <v>13</v>
      </c>
      <c r="R1194">
        <v>21</v>
      </c>
      <c r="S1194" t="s">
        <v>36</v>
      </c>
    </row>
    <row r="1195" spans="1:19" x14ac:dyDescent="0.3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 t="str">
        <f t="shared" si="18"/>
        <v>0-7 days</v>
      </c>
      <c r="L1195">
        <v>5</v>
      </c>
      <c r="M1195">
        <v>5</v>
      </c>
      <c r="N1195">
        <v>2</v>
      </c>
      <c r="O1195" t="s">
        <v>25</v>
      </c>
      <c r="P1195" t="s">
        <v>35</v>
      </c>
      <c r="Q1195">
        <v>10.5</v>
      </c>
      <c r="R1195">
        <v>2</v>
      </c>
      <c r="S1195" t="s">
        <v>36</v>
      </c>
    </row>
    <row r="1196" spans="1:19" x14ac:dyDescent="0.3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 t="str">
        <f t="shared" si="18"/>
        <v>15-30 days</v>
      </c>
      <c r="L1196">
        <v>19</v>
      </c>
      <c r="M1196">
        <v>6</v>
      </c>
      <c r="N1196">
        <v>2</v>
      </c>
      <c r="O1196" t="s">
        <v>25</v>
      </c>
      <c r="P1196" t="s">
        <v>35</v>
      </c>
      <c r="Q1196">
        <v>10.5</v>
      </c>
      <c r="R1196">
        <v>39</v>
      </c>
      <c r="S1196" t="s">
        <v>27</v>
      </c>
    </row>
    <row r="1197" spans="1:19" x14ac:dyDescent="0.3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 t="str">
        <f t="shared" si="18"/>
        <v>15-30 days</v>
      </c>
      <c r="L1197">
        <v>23</v>
      </c>
      <c r="M1197">
        <v>3</v>
      </c>
      <c r="N1197">
        <v>2</v>
      </c>
      <c r="O1197" t="s">
        <v>25</v>
      </c>
      <c r="P1197" t="s">
        <v>26</v>
      </c>
      <c r="Q1197">
        <v>7.4</v>
      </c>
      <c r="R1197">
        <v>43</v>
      </c>
      <c r="S1197" t="s">
        <v>36</v>
      </c>
    </row>
    <row r="1198" spans="1:19" x14ac:dyDescent="0.3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 t="str">
        <f t="shared" si="18"/>
        <v>31-60 days</v>
      </c>
      <c r="L1198">
        <v>37</v>
      </c>
      <c r="M1198">
        <v>1</v>
      </c>
      <c r="N1198">
        <v>0</v>
      </c>
      <c r="O1198" t="s">
        <v>25</v>
      </c>
      <c r="P1198" t="s">
        <v>50</v>
      </c>
      <c r="Q1198">
        <v>17.8</v>
      </c>
      <c r="R1198">
        <v>16</v>
      </c>
      <c r="S1198" t="s">
        <v>27</v>
      </c>
    </row>
    <row r="1199" spans="1:19" x14ac:dyDescent="0.3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 t="str">
        <f t="shared" si="18"/>
        <v>15-30 days</v>
      </c>
      <c r="L1199">
        <v>15</v>
      </c>
      <c r="M1199">
        <v>2</v>
      </c>
      <c r="N1199">
        <v>1</v>
      </c>
      <c r="O1199" t="s">
        <v>25</v>
      </c>
      <c r="P1199" t="s">
        <v>26</v>
      </c>
      <c r="Q1199">
        <v>15.4</v>
      </c>
      <c r="R1199">
        <v>44</v>
      </c>
      <c r="S1199" t="s">
        <v>27</v>
      </c>
    </row>
    <row r="1200" spans="1:19" x14ac:dyDescent="0.3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 t="str">
        <f t="shared" si="18"/>
        <v>8-14 days</v>
      </c>
      <c r="L1200">
        <v>9</v>
      </c>
      <c r="M1200">
        <v>2</v>
      </c>
      <c r="N1200">
        <v>0</v>
      </c>
      <c r="O1200" t="s">
        <v>25</v>
      </c>
      <c r="P1200" t="s">
        <v>50</v>
      </c>
      <c r="Q1200">
        <v>4.5999999999999996</v>
      </c>
      <c r="R1200">
        <v>5</v>
      </c>
      <c r="S1200" t="s">
        <v>27</v>
      </c>
    </row>
    <row r="1201" spans="1:19" x14ac:dyDescent="0.3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 t="str">
        <f t="shared" si="18"/>
        <v>8-14 days</v>
      </c>
      <c r="L1201">
        <v>10</v>
      </c>
      <c r="M1201">
        <v>2</v>
      </c>
      <c r="N1201">
        <v>0</v>
      </c>
      <c r="O1201" t="s">
        <v>54</v>
      </c>
      <c r="P1201" t="s">
        <v>55</v>
      </c>
      <c r="Q1201">
        <v>6.3</v>
      </c>
      <c r="R1201">
        <v>27</v>
      </c>
      <c r="S1201" t="s">
        <v>27</v>
      </c>
    </row>
    <row r="1202" spans="1:19" x14ac:dyDescent="0.3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 t="str">
        <f t="shared" si="18"/>
        <v>31-60 days</v>
      </c>
      <c r="L1202">
        <v>57</v>
      </c>
      <c r="M1202">
        <v>2</v>
      </c>
      <c r="N1202">
        <v>0</v>
      </c>
      <c r="O1202" t="s">
        <v>25</v>
      </c>
      <c r="P1202" t="s">
        <v>26</v>
      </c>
      <c r="Q1202">
        <v>4.2</v>
      </c>
      <c r="R1202">
        <v>22</v>
      </c>
      <c r="S1202" t="s">
        <v>27</v>
      </c>
    </row>
    <row r="1203" spans="1:19" x14ac:dyDescent="0.3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 t="str">
        <f t="shared" si="18"/>
        <v>31-60 days</v>
      </c>
      <c r="L1203">
        <v>58</v>
      </c>
      <c r="M1203">
        <v>3</v>
      </c>
      <c r="N1203">
        <v>1</v>
      </c>
      <c r="O1203" t="s">
        <v>25</v>
      </c>
      <c r="P1203" t="s">
        <v>26</v>
      </c>
      <c r="Q1203">
        <v>9.1999999999999993</v>
      </c>
      <c r="R1203">
        <v>9</v>
      </c>
      <c r="S1203" t="s">
        <v>27</v>
      </c>
    </row>
    <row r="1204" spans="1:19" x14ac:dyDescent="0.3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 t="str">
        <f t="shared" si="18"/>
        <v>8-14 days</v>
      </c>
      <c r="L1204">
        <v>13</v>
      </c>
      <c r="M1204">
        <v>2</v>
      </c>
      <c r="N1204">
        <v>2</v>
      </c>
      <c r="O1204" t="s">
        <v>25</v>
      </c>
      <c r="P1204" t="s">
        <v>35</v>
      </c>
      <c r="Q1204">
        <v>11.2</v>
      </c>
      <c r="R1204">
        <v>21</v>
      </c>
      <c r="S1204" t="s">
        <v>27</v>
      </c>
    </row>
    <row r="1205" spans="1:19" x14ac:dyDescent="0.3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 t="str">
        <f t="shared" si="18"/>
        <v>8-14 days</v>
      </c>
      <c r="L1205">
        <v>11</v>
      </c>
      <c r="M1205">
        <v>2</v>
      </c>
      <c r="N1205">
        <v>1</v>
      </c>
      <c r="O1205" t="s">
        <v>54</v>
      </c>
      <c r="P1205" t="s">
        <v>55</v>
      </c>
      <c r="Q1205">
        <v>5.8</v>
      </c>
      <c r="R1205">
        <v>24</v>
      </c>
      <c r="S1205" t="s">
        <v>36</v>
      </c>
    </row>
    <row r="1206" spans="1:19" x14ac:dyDescent="0.3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 t="str">
        <f t="shared" si="18"/>
        <v>0-7 days</v>
      </c>
      <c r="L1206">
        <v>3</v>
      </c>
      <c r="M1206">
        <v>2</v>
      </c>
      <c r="N1206">
        <v>1</v>
      </c>
      <c r="O1206" t="s">
        <v>25</v>
      </c>
      <c r="P1206" t="s">
        <v>35</v>
      </c>
      <c r="Q1206">
        <v>6.4</v>
      </c>
      <c r="R1206">
        <v>11</v>
      </c>
      <c r="S1206" t="s">
        <v>71</v>
      </c>
    </row>
    <row r="1207" spans="1:19" x14ac:dyDescent="0.3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 t="str">
        <f t="shared" si="18"/>
        <v>31-60 days</v>
      </c>
      <c r="L1207">
        <v>58</v>
      </c>
      <c r="M1207">
        <v>4</v>
      </c>
      <c r="N1207">
        <v>2</v>
      </c>
      <c r="O1207" t="s">
        <v>25</v>
      </c>
      <c r="P1207" t="s">
        <v>26</v>
      </c>
      <c r="Q1207">
        <v>4.5</v>
      </c>
      <c r="R1207">
        <v>31</v>
      </c>
      <c r="S1207" t="s">
        <v>27</v>
      </c>
    </row>
    <row r="1208" spans="1:19" x14ac:dyDescent="0.3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 t="str">
        <f t="shared" si="18"/>
        <v>31-60 days</v>
      </c>
      <c r="L1208">
        <v>43</v>
      </c>
      <c r="M1208">
        <v>5</v>
      </c>
      <c r="N1208">
        <v>0</v>
      </c>
      <c r="O1208" t="s">
        <v>25</v>
      </c>
      <c r="P1208" t="s">
        <v>35</v>
      </c>
      <c r="Q1208">
        <v>3.8</v>
      </c>
      <c r="R1208">
        <v>17</v>
      </c>
      <c r="S1208" t="s">
        <v>36</v>
      </c>
    </row>
    <row r="1209" spans="1:19" x14ac:dyDescent="0.3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 t="str">
        <f t="shared" si="18"/>
        <v>31-60 days</v>
      </c>
      <c r="L1209">
        <v>46</v>
      </c>
      <c r="M1209">
        <v>2</v>
      </c>
      <c r="N1209">
        <v>0</v>
      </c>
      <c r="O1209" t="s">
        <v>54</v>
      </c>
      <c r="P1209" t="s">
        <v>55</v>
      </c>
      <c r="Q1209">
        <v>6.2</v>
      </c>
      <c r="R1209">
        <v>20</v>
      </c>
      <c r="S1209" t="s">
        <v>27</v>
      </c>
    </row>
    <row r="1210" spans="1:19" x14ac:dyDescent="0.3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 t="str">
        <f t="shared" si="18"/>
        <v>15-30 days</v>
      </c>
      <c r="L1210">
        <v>17</v>
      </c>
      <c r="M1210">
        <v>0</v>
      </c>
      <c r="N1210">
        <v>0</v>
      </c>
      <c r="O1210" t="s">
        <v>25</v>
      </c>
      <c r="P1210" t="s">
        <v>35</v>
      </c>
      <c r="Q1210">
        <v>7.5</v>
      </c>
      <c r="R1210">
        <v>40</v>
      </c>
      <c r="S1210" t="s">
        <v>27</v>
      </c>
    </row>
    <row r="1211" spans="1:19" x14ac:dyDescent="0.3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 t="str">
        <f t="shared" si="18"/>
        <v>31-60 days</v>
      </c>
      <c r="L1211">
        <v>39</v>
      </c>
      <c r="M1211">
        <v>1</v>
      </c>
      <c r="N1211">
        <v>0</v>
      </c>
      <c r="O1211" t="s">
        <v>25</v>
      </c>
      <c r="P1211" t="s">
        <v>26</v>
      </c>
      <c r="Q1211">
        <v>4.5</v>
      </c>
      <c r="R1211">
        <v>17</v>
      </c>
      <c r="S1211" t="s">
        <v>71</v>
      </c>
    </row>
    <row r="1212" spans="1:19" x14ac:dyDescent="0.3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 t="str">
        <f t="shared" si="18"/>
        <v>0-7 days</v>
      </c>
      <c r="L1212">
        <v>3</v>
      </c>
      <c r="M1212">
        <v>1</v>
      </c>
      <c r="N1212">
        <v>0</v>
      </c>
      <c r="O1212" t="s">
        <v>25</v>
      </c>
      <c r="P1212" t="s">
        <v>35</v>
      </c>
      <c r="Q1212">
        <v>3.6</v>
      </c>
      <c r="R1212">
        <v>2</v>
      </c>
      <c r="S1212" t="s">
        <v>36</v>
      </c>
    </row>
    <row r="1213" spans="1:19" x14ac:dyDescent="0.3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 t="str">
        <f t="shared" si="18"/>
        <v>31-60 days</v>
      </c>
      <c r="L1213">
        <v>41</v>
      </c>
      <c r="M1213">
        <v>7</v>
      </c>
      <c r="N1213">
        <v>1</v>
      </c>
      <c r="O1213" t="s">
        <v>25</v>
      </c>
      <c r="P1213" t="s">
        <v>35</v>
      </c>
      <c r="Q1213">
        <v>30</v>
      </c>
      <c r="R1213">
        <v>21</v>
      </c>
      <c r="S1213" t="s">
        <v>36</v>
      </c>
    </row>
    <row r="1214" spans="1:19" x14ac:dyDescent="0.3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 t="str">
        <f t="shared" si="18"/>
        <v>31-60 days</v>
      </c>
      <c r="L1214">
        <v>35</v>
      </c>
      <c r="M1214">
        <v>6</v>
      </c>
      <c r="N1214">
        <v>0</v>
      </c>
      <c r="O1214" t="s">
        <v>54</v>
      </c>
      <c r="P1214" t="s">
        <v>55</v>
      </c>
      <c r="Q1214">
        <v>5.9</v>
      </c>
      <c r="R1214">
        <v>25</v>
      </c>
      <c r="S1214" t="s">
        <v>36</v>
      </c>
    </row>
    <row r="1215" spans="1:19" x14ac:dyDescent="0.3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 t="str">
        <f t="shared" si="18"/>
        <v>15-30 days</v>
      </c>
      <c r="L1215">
        <v>20</v>
      </c>
      <c r="M1215">
        <v>5</v>
      </c>
      <c r="N1215">
        <v>2</v>
      </c>
      <c r="O1215" t="s">
        <v>25</v>
      </c>
      <c r="P1215" t="s">
        <v>26</v>
      </c>
      <c r="Q1215">
        <v>9.6999999999999993</v>
      </c>
      <c r="R1215">
        <v>21</v>
      </c>
      <c r="S1215" t="s">
        <v>36</v>
      </c>
    </row>
    <row r="1216" spans="1:19" x14ac:dyDescent="0.3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 t="str">
        <f t="shared" si="18"/>
        <v>31-60 days</v>
      </c>
      <c r="L1216">
        <v>43</v>
      </c>
      <c r="M1216">
        <v>6</v>
      </c>
      <c r="N1216">
        <v>2</v>
      </c>
      <c r="O1216" t="s">
        <v>25</v>
      </c>
      <c r="P1216" t="s">
        <v>35</v>
      </c>
      <c r="Q1216">
        <v>12.5</v>
      </c>
      <c r="R1216">
        <v>33</v>
      </c>
      <c r="S1216" t="s">
        <v>27</v>
      </c>
    </row>
    <row r="1217" spans="1:19" x14ac:dyDescent="0.3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 t="str">
        <f t="shared" si="18"/>
        <v>31-60 days</v>
      </c>
      <c r="L1217">
        <v>39</v>
      </c>
      <c r="M1217">
        <v>10</v>
      </c>
      <c r="N1217">
        <v>2</v>
      </c>
      <c r="O1217" t="s">
        <v>25</v>
      </c>
      <c r="P1217" t="s">
        <v>35</v>
      </c>
      <c r="Q1217">
        <v>10.5</v>
      </c>
      <c r="R1217">
        <v>28</v>
      </c>
      <c r="S1217" t="s">
        <v>27</v>
      </c>
    </row>
    <row r="1218" spans="1:19" x14ac:dyDescent="0.3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 t="str">
        <f t="shared" si="18"/>
        <v>15-30 days</v>
      </c>
      <c r="L1218">
        <v>26</v>
      </c>
      <c r="M1218">
        <v>1</v>
      </c>
      <c r="N1218">
        <v>0</v>
      </c>
      <c r="O1218" t="s">
        <v>25</v>
      </c>
      <c r="P1218" t="s">
        <v>35</v>
      </c>
      <c r="Q1218">
        <v>13.4</v>
      </c>
      <c r="R1218">
        <v>17</v>
      </c>
      <c r="S1218" t="s">
        <v>36</v>
      </c>
    </row>
    <row r="1219" spans="1:19" x14ac:dyDescent="0.3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 t="str">
        <f t="shared" ref="K1219:K1282" si="19">IF(L1219&lt;=7,"0-7 days",IF(L1219&lt;=14,"8-14 days",IF(L1219&lt;=30,"15-30 days","31-60 days")))</f>
        <v>8-14 days</v>
      </c>
      <c r="L1219">
        <v>11</v>
      </c>
      <c r="M1219">
        <v>5</v>
      </c>
      <c r="N1219">
        <v>0</v>
      </c>
      <c r="O1219" t="s">
        <v>25</v>
      </c>
      <c r="P1219" t="s">
        <v>35</v>
      </c>
      <c r="Q1219">
        <v>9.1999999999999993</v>
      </c>
      <c r="R1219">
        <v>32</v>
      </c>
      <c r="S1219" t="s">
        <v>36</v>
      </c>
    </row>
    <row r="1220" spans="1:19" x14ac:dyDescent="0.3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 t="str">
        <f t="shared" si="19"/>
        <v>0-7 days</v>
      </c>
      <c r="L1220">
        <v>1</v>
      </c>
      <c r="M1220">
        <v>2</v>
      </c>
      <c r="N1220">
        <v>0</v>
      </c>
      <c r="O1220" t="s">
        <v>25</v>
      </c>
      <c r="P1220" t="s">
        <v>35</v>
      </c>
      <c r="Q1220">
        <v>2.4</v>
      </c>
      <c r="R1220">
        <v>29</v>
      </c>
      <c r="S1220" t="s">
        <v>36</v>
      </c>
    </row>
    <row r="1221" spans="1:19" x14ac:dyDescent="0.3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 t="str">
        <f t="shared" si="19"/>
        <v>31-60 days</v>
      </c>
      <c r="L1221">
        <v>57</v>
      </c>
      <c r="M1221">
        <v>8</v>
      </c>
      <c r="N1221">
        <v>0</v>
      </c>
      <c r="O1221" t="s">
        <v>54</v>
      </c>
      <c r="P1221" t="s">
        <v>55</v>
      </c>
      <c r="Q1221">
        <v>9.6</v>
      </c>
      <c r="R1221">
        <v>29</v>
      </c>
      <c r="S1221" t="s">
        <v>27</v>
      </c>
    </row>
    <row r="1222" spans="1:19" x14ac:dyDescent="0.3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 t="str">
        <f t="shared" si="19"/>
        <v>15-30 days</v>
      </c>
      <c r="L1222">
        <v>17</v>
      </c>
      <c r="M1222">
        <v>0</v>
      </c>
      <c r="N1222">
        <v>0</v>
      </c>
      <c r="O1222" t="s">
        <v>25</v>
      </c>
      <c r="P1222" t="s">
        <v>35</v>
      </c>
      <c r="Q1222">
        <v>6.8</v>
      </c>
      <c r="R1222">
        <v>22</v>
      </c>
      <c r="S1222" t="s">
        <v>27</v>
      </c>
    </row>
    <row r="1223" spans="1:19" x14ac:dyDescent="0.3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 t="str">
        <f t="shared" si="19"/>
        <v>15-30 days</v>
      </c>
      <c r="L1223">
        <v>18</v>
      </c>
      <c r="M1223">
        <v>3</v>
      </c>
      <c r="N1223">
        <v>0</v>
      </c>
      <c r="O1223" t="s">
        <v>25</v>
      </c>
      <c r="P1223" t="s">
        <v>26</v>
      </c>
      <c r="Q1223">
        <v>4.3</v>
      </c>
      <c r="R1223">
        <v>27</v>
      </c>
      <c r="S1223" t="s">
        <v>36</v>
      </c>
    </row>
    <row r="1224" spans="1:19" x14ac:dyDescent="0.3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 t="str">
        <f t="shared" si="19"/>
        <v>31-60 days</v>
      </c>
      <c r="L1224">
        <v>41</v>
      </c>
      <c r="M1224">
        <v>4</v>
      </c>
      <c r="N1224">
        <v>0</v>
      </c>
      <c r="O1224" t="s">
        <v>25</v>
      </c>
      <c r="P1224" t="s">
        <v>35</v>
      </c>
      <c r="Q1224">
        <v>24.6</v>
      </c>
      <c r="R1224">
        <v>25</v>
      </c>
      <c r="S1224" t="s">
        <v>27</v>
      </c>
    </row>
    <row r="1225" spans="1:19" x14ac:dyDescent="0.3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 t="str">
        <f t="shared" si="19"/>
        <v>15-30 days</v>
      </c>
      <c r="L1225">
        <v>15</v>
      </c>
      <c r="M1225">
        <v>6</v>
      </c>
      <c r="N1225">
        <v>0</v>
      </c>
      <c r="O1225" t="s">
        <v>25</v>
      </c>
      <c r="P1225" t="s">
        <v>26</v>
      </c>
      <c r="Q1225">
        <v>1.8</v>
      </c>
      <c r="R1225">
        <v>21</v>
      </c>
      <c r="S1225" t="s">
        <v>36</v>
      </c>
    </row>
    <row r="1226" spans="1:19" x14ac:dyDescent="0.3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 t="str">
        <f t="shared" si="19"/>
        <v>15-30 days</v>
      </c>
      <c r="L1226">
        <v>22</v>
      </c>
      <c r="M1226">
        <v>3</v>
      </c>
      <c r="N1226">
        <v>1</v>
      </c>
      <c r="O1226" t="s">
        <v>54</v>
      </c>
      <c r="P1226" t="s">
        <v>55</v>
      </c>
      <c r="Q1226">
        <v>11.6</v>
      </c>
      <c r="R1226">
        <v>29</v>
      </c>
      <c r="S1226" t="s">
        <v>36</v>
      </c>
    </row>
    <row r="1227" spans="1:19" x14ac:dyDescent="0.3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 t="str">
        <f t="shared" si="19"/>
        <v>31-60 days</v>
      </c>
      <c r="L1227">
        <v>43</v>
      </c>
      <c r="M1227">
        <v>0</v>
      </c>
      <c r="N1227">
        <v>0</v>
      </c>
      <c r="O1227" t="s">
        <v>54</v>
      </c>
      <c r="P1227" t="s">
        <v>55</v>
      </c>
      <c r="Q1227">
        <v>11.1</v>
      </c>
      <c r="R1227">
        <v>30</v>
      </c>
      <c r="S1227" t="s">
        <v>36</v>
      </c>
    </row>
    <row r="1228" spans="1:19" x14ac:dyDescent="0.3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 t="str">
        <f t="shared" si="19"/>
        <v>31-60 days</v>
      </c>
      <c r="L1228">
        <v>36</v>
      </c>
      <c r="M1228">
        <v>2</v>
      </c>
      <c r="N1228">
        <v>0</v>
      </c>
      <c r="O1228" t="s">
        <v>54</v>
      </c>
      <c r="P1228" t="s">
        <v>55</v>
      </c>
      <c r="Q1228">
        <v>20.9</v>
      </c>
      <c r="R1228">
        <v>30</v>
      </c>
      <c r="S1228" t="s">
        <v>36</v>
      </c>
    </row>
    <row r="1229" spans="1:19" x14ac:dyDescent="0.3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 t="str">
        <f t="shared" si="19"/>
        <v>31-60 days</v>
      </c>
      <c r="L1229">
        <v>40</v>
      </c>
      <c r="M1229">
        <v>5</v>
      </c>
      <c r="N1229">
        <v>3</v>
      </c>
      <c r="O1229" t="s">
        <v>54</v>
      </c>
      <c r="P1229" t="s">
        <v>55</v>
      </c>
      <c r="Q1229">
        <v>10.3</v>
      </c>
      <c r="R1229">
        <v>31</v>
      </c>
      <c r="S1229" t="s">
        <v>27</v>
      </c>
    </row>
    <row r="1230" spans="1:19" x14ac:dyDescent="0.3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 t="str">
        <f t="shared" si="19"/>
        <v>0-7 days</v>
      </c>
      <c r="L1230">
        <v>0</v>
      </c>
      <c r="M1230">
        <v>4</v>
      </c>
      <c r="N1230">
        <v>1</v>
      </c>
      <c r="O1230" t="s">
        <v>25</v>
      </c>
      <c r="P1230" t="s">
        <v>35</v>
      </c>
      <c r="Q1230">
        <v>5.5</v>
      </c>
      <c r="R1230">
        <v>2</v>
      </c>
      <c r="S1230" t="s">
        <v>36</v>
      </c>
    </row>
    <row r="1231" spans="1:19" x14ac:dyDescent="0.3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 t="str">
        <f t="shared" si="19"/>
        <v>15-30 days</v>
      </c>
      <c r="L1231">
        <v>27</v>
      </c>
      <c r="M1231">
        <v>1</v>
      </c>
      <c r="N1231">
        <v>1</v>
      </c>
      <c r="O1231" t="s">
        <v>25</v>
      </c>
      <c r="P1231" t="s">
        <v>26</v>
      </c>
      <c r="Q1231">
        <v>1.7</v>
      </c>
      <c r="R1231">
        <v>34</v>
      </c>
      <c r="S1231" t="s">
        <v>36</v>
      </c>
    </row>
    <row r="1232" spans="1:19" x14ac:dyDescent="0.3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 t="str">
        <f t="shared" si="19"/>
        <v>15-30 days</v>
      </c>
      <c r="L1232">
        <v>28</v>
      </c>
      <c r="M1232">
        <v>4</v>
      </c>
      <c r="N1232">
        <v>0</v>
      </c>
      <c r="O1232" t="s">
        <v>25</v>
      </c>
      <c r="P1232" t="s">
        <v>26</v>
      </c>
      <c r="Q1232">
        <v>2</v>
      </c>
      <c r="R1232">
        <v>13</v>
      </c>
      <c r="S1232" t="s">
        <v>71</v>
      </c>
    </row>
    <row r="1233" spans="1:19" x14ac:dyDescent="0.3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 t="str">
        <f t="shared" si="19"/>
        <v>31-60 days</v>
      </c>
      <c r="L1233">
        <v>38</v>
      </c>
      <c r="M1233">
        <v>4</v>
      </c>
      <c r="N1233">
        <v>0</v>
      </c>
      <c r="O1233" t="s">
        <v>54</v>
      </c>
      <c r="P1233" t="s">
        <v>55</v>
      </c>
      <c r="Q1233">
        <v>6</v>
      </c>
      <c r="R1233">
        <v>36</v>
      </c>
      <c r="S1233" t="s">
        <v>36</v>
      </c>
    </row>
    <row r="1234" spans="1:19" x14ac:dyDescent="0.3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 t="str">
        <f t="shared" si="19"/>
        <v>8-14 days</v>
      </c>
      <c r="L1234">
        <v>9</v>
      </c>
      <c r="M1234">
        <v>1</v>
      </c>
      <c r="N1234">
        <v>0</v>
      </c>
      <c r="O1234" t="s">
        <v>25</v>
      </c>
      <c r="P1234" t="s">
        <v>50</v>
      </c>
      <c r="Q1234">
        <v>18.8</v>
      </c>
      <c r="R1234">
        <v>9</v>
      </c>
      <c r="S1234" t="s">
        <v>27</v>
      </c>
    </row>
    <row r="1235" spans="1:19" x14ac:dyDescent="0.3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 t="str">
        <f t="shared" si="19"/>
        <v>8-14 days</v>
      </c>
      <c r="L1235">
        <v>9</v>
      </c>
      <c r="M1235">
        <v>3</v>
      </c>
      <c r="N1235">
        <v>2</v>
      </c>
      <c r="O1235" t="s">
        <v>25</v>
      </c>
      <c r="P1235" t="s">
        <v>35</v>
      </c>
      <c r="Q1235">
        <v>2.2999999999999998</v>
      </c>
      <c r="R1235">
        <v>41</v>
      </c>
      <c r="S1235" t="s">
        <v>36</v>
      </c>
    </row>
    <row r="1236" spans="1:19" x14ac:dyDescent="0.3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 t="str">
        <f t="shared" si="19"/>
        <v>31-60 days</v>
      </c>
      <c r="L1236">
        <v>46</v>
      </c>
      <c r="M1236">
        <v>2</v>
      </c>
      <c r="N1236">
        <v>1</v>
      </c>
      <c r="O1236" t="s">
        <v>54</v>
      </c>
      <c r="P1236" t="s">
        <v>55</v>
      </c>
      <c r="Q1236">
        <v>9.4</v>
      </c>
      <c r="R1236">
        <v>2</v>
      </c>
      <c r="S1236" t="s">
        <v>27</v>
      </c>
    </row>
    <row r="1237" spans="1:19" x14ac:dyDescent="0.3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 t="str">
        <f t="shared" si="19"/>
        <v>31-60 days</v>
      </c>
      <c r="L1237">
        <v>41</v>
      </c>
      <c r="M1237">
        <v>6</v>
      </c>
      <c r="N1237">
        <v>1</v>
      </c>
      <c r="O1237" t="s">
        <v>25</v>
      </c>
      <c r="P1237" t="s">
        <v>35</v>
      </c>
      <c r="Q1237">
        <v>17.7</v>
      </c>
      <c r="R1237">
        <v>28</v>
      </c>
      <c r="S1237" t="s">
        <v>27</v>
      </c>
    </row>
    <row r="1238" spans="1:19" x14ac:dyDescent="0.3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 t="str">
        <f t="shared" si="19"/>
        <v>31-60 days</v>
      </c>
      <c r="L1238">
        <v>49</v>
      </c>
      <c r="M1238">
        <v>3</v>
      </c>
      <c r="N1238">
        <v>1</v>
      </c>
      <c r="O1238" t="s">
        <v>54</v>
      </c>
      <c r="P1238" t="s">
        <v>55</v>
      </c>
      <c r="Q1238">
        <v>23.4</v>
      </c>
      <c r="R1238">
        <v>20</v>
      </c>
      <c r="S1238" t="s">
        <v>27</v>
      </c>
    </row>
    <row r="1239" spans="1:19" x14ac:dyDescent="0.3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 t="str">
        <f t="shared" si="19"/>
        <v>15-30 days</v>
      </c>
      <c r="L1239">
        <v>16</v>
      </c>
      <c r="M1239">
        <v>2</v>
      </c>
      <c r="N1239">
        <v>0</v>
      </c>
      <c r="O1239" t="s">
        <v>54</v>
      </c>
      <c r="P1239" t="s">
        <v>55</v>
      </c>
      <c r="Q1239">
        <v>7.1</v>
      </c>
      <c r="R1239">
        <v>29</v>
      </c>
      <c r="S1239" t="s">
        <v>71</v>
      </c>
    </row>
    <row r="1240" spans="1:19" x14ac:dyDescent="0.3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 t="str">
        <f t="shared" si="19"/>
        <v>31-60 days</v>
      </c>
      <c r="L1240">
        <v>60</v>
      </c>
      <c r="M1240">
        <v>2</v>
      </c>
      <c r="N1240">
        <v>0</v>
      </c>
      <c r="O1240" t="s">
        <v>25</v>
      </c>
      <c r="P1240" t="s">
        <v>35</v>
      </c>
      <c r="Q1240">
        <v>1.1000000000000001</v>
      </c>
      <c r="R1240">
        <v>43</v>
      </c>
      <c r="S1240" t="s">
        <v>36</v>
      </c>
    </row>
    <row r="1241" spans="1:19" x14ac:dyDescent="0.3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 t="str">
        <f t="shared" si="19"/>
        <v>15-30 days</v>
      </c>
      <c r="L1241">
        <v>16</v>
      </c>
      <c r="M1241">
        <v>3</v>
      </c>
      <c r="N1241">
        <v>0</v>
      </c>
      <c r="O1241" t="s">
        <v>54</v>
      </c>
      <c r="P1241" t="s">
        <v>55</v>
      </c>
      <c r="Q1241">
        <v>16.2</v>
      </c>
      <c r="R1241">
        <v>27</v>
      </c>
      <c r="S1241" t="s">
        <v>27</v>
      </c>
    </row>
    <row r="1242" spans="1:19" x14ac:dyDescent="0.3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 t="str">
        <f t="shared" si="19"/>
        <v>31-60 days</v>
      </c>
      <c r="L1242">
        <v>39</v>
      </c>
      <c r="M1242">
        <v>4</v>
      </c>
      <c r="N1242">
        <v>1</v>
      </c>
      <c r="O1242" t="s">
        <v>25</v>
      </c>
      <c r="P1242" t="s">
        <v>35</v>
      </c>
      <c r="Q1242">
        <v>6</v>
      </c>
      <c r="R1242">
        <v>34</v>
      </c>
      <c r="S1242" t="s">
        <v>36</v>
      </c>
    </row>
    <row r="1243" spans="1:19" x14ac:dyDescent="0.3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 t="str">
        <f t="shared" si="19"/>
        <v>8-14 days</v>
      </c>
      <c r="L1243">
        <v>9</v>
      </c>
      <c r="M1243">
        <v>6</v>
      </c>
      <c r="N1243">
        <v>0</v>
      </c>
      <c r="O1243" t="s">
        <v>54</v>
      </c>
      <c r="P1243" t="s">
        <v>55</v>
      </c>
      <c r="Q1243">
        <v>11.8</v>
      </c>
      <c r="R1243">
        <v>41</v>
      </c>
      <c r="S1243" t="s">
        <v>36</v>
      </c>
    </row>
    <row r="1244" spans="1:19" x14ac:dyDescent="0.3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 t="str">
        <f t="shared" si="19"/>
        <v>31-60 days</v>
      </c>
      <c r="L1244">
        <v>56</v>
      </c>
      <c r="M1244">
        <v>1</v>
      </c>
      <c r="N1244">
        <v>0</v>
      </c>
      <c r="O1244" t="s">
        <v>25</v>
      </c>
      <c r="P1244" t="s">
        <v>50</v>
      </c>
      <c r="Q1244">
        <v>12</v>
      </c>
      <c r="R1244">
        <v>17</v>
      </c>
      <c r="S1244" t="s">
        <v>27</v>
      </c>
    </row>
    <row r="1245" spans="1:19" x14ac:dyDescent="0.3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 t="str">
        <f t="shared" si="19"/>
        <v>15-30 days</v>
      </c>
      <c r="L1245">
        <v>20</v>
      </c>
      <c r="M1245">
        <v>3</v>
      </c>
      <c r="N1245">
        <v>0</v>
      </c>
      <c r="O1245" t="s">
        <v>25</v>
      </c>
      <c r="P1245" t="s">
        <v>26</v>
      </c>
      <c r="Q1245">
        <v>4.0999999999999996</v>
      </c>
      <c r="R1245">
        <v>28</v>
      </c>
      <c r="S1245" t="s">
        <v>27</v>
      </c>
    </row>
    <row r="1246" spans="1:19" x14ac:dyDescent="0.3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 t="str">
        <f t="shared" si="19"/>
        <v>31-60 days</v>
      </c>
      <c r="L1246">
        <v>48</v>
      </c>
      <c r="M1246">
        <v>1</v>
      </c>
      <c r="N1246">
        <v>0</v>
      </c>
      <c r="O1246" t="s">
        <v>25</v>
      </c>
      <c r="P1246" t="s">
        <v>26</v>
      </c>
      <c r="Q1246">
        <v>0.7</v>
      </c>
      <c r="R1246">
        <v>39</v>
      </c>
      <c r="S1246" t="s">
        <v>27</v>
      </c>
    </row>
    <row r="1247" spans="1:19" x14ac:dyDescent="0.3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 t="str">
        <f t="shared" si="19"/>
        <v>15-30 days</v>
      </c>
      <c r="L1247">
        <v>20</v>
      </c>
      <c r="M1247">
        <v>2</v>
      </c>
      <c r="N1247">
        <v>0</v>
      </c>
      <c r="O1247" t="s">
        <v>54</v>
      </c>
      <c r="P1247" t="s">
        <v>55</v>
      </c>
      <c r="Q1247">
        <v>9.1999999999999993</v>
      </c>
      <c r="R1247">
        <v>28</v>
      </c>
      <c r="S1247" t="s">
        <v>36</v>
      </c>
    </row>
    <row r="1248" spans="1:19" x14ac:dyDescent="0.3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 t="str">
        <f t="shared" si="19"/>
        <v>31-60 days</v>
      </c>
      <c r="L1248">
        <v>48</v>
      </c>
      <c r="M1248">
        <v>2</v>
      </c>
      <c r="N1248">
        <v>0</v>
      </c>
      <c r="O1248" t="s">
        <v>25</v>
      </c>
      <c r="P1248" t="s">
        <v>35</v>
      </c>
      <c r="Q1248">
        <v>14.4</v>
      </c>
      <c r="R1248">
        <v>18</v>
      </c>
      <c r="S1248" t="s">
        <v>27</v>
      </c>
    </row>
    <row r="1249" spans="1:19" x14ac:dyDescent="0.3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 t="str">
        <f t="shared" si="19"/>
        <v>15-30 days</v>
      </c>
      <c r="L1249">
        <v>27</v>
      </c>
      <c r="M1249">
        <v>2</v>
      </c>
      <c r="N1249">
        <v>0</v>
      </c>
      <c r="O1249" t="s">
        <v>25</v>
      </c>
      <c r="P1249" t="s">
        <v>35</v>
      </c>
      <c r="Q1249">
        <v>16.8</v>
      </c>
      <c r="R1249">
        <v>30</v>
      </c>
      <c r="S1249" t="s">
        <v>36</v>
      </c>
    </row>
    <row r="1250" spans="1:19" x14ac:dyDescent="0.3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 t="str">
        <f t="shared" si="19"/>
        <v>0-7 days</v>
      </c>
      <c r="L1250">
        <v>3</v>
      </c>
      <c r="M1250">
        <v>1</v>
      </c>
      <c r="N1250">
        <v>0</v>
      </c>
      <c r="O1250" t="s">
        <v>54</v>
      </c>
      <c r="P1250" t="s">
        <v>55</v>
      </c>
      <c r="Q1250">
        <v>10.8</v>
      </c>
      <c r="R1250">
        <v>25</v>
      </c>
      <c r="S1250" t="s">
        <v>27</v>
      </c>
    </row>
    <row r="1251" spans="1:19" x14ac:dyDescent="0.3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 t="str">
        <f t="shared" si="19"/>
        <v>8-14 days</v>
      </c>
      <c r="L1251">
        <v>11</v>
      </c>
      <c r="M1251">
        <v>2</v>
      </c>
      <c r="N1251">
        <v>0</v>
      </c>
      <c r="O1251" t="s">
        <v>25</v>
      </c>
      <c r="P1251" t="s">
        <v>35</v>
      </c>
      <c r="Q1251">
        <v>13.8</v>
      </c>
      <c r="R1251">
        <v>30</v>
      </c>
      <c r="S1251" t="s">
        <v>27</v>
      </c>
    </row>
    <row r="1252" spans="1:19" x14ac:dyDescent="0.3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 t="str">
        <f t="shared" si="19"/>
        <v>31-60 days</v>
      </c>
      <c r="L1252">
        <v>41</v>
      </c>
      <c r="M1252">
        <v>1</v>
      </c>
      <c r="N1252">
        <v>0</v>
      </c>
      <c r="O1252" t="s">
        <v>54</v>
      </c>
      <c r="P1252" t="s">
        <v>55</v>
      </c>
      <c r="Q1252">
        <v>4.8</v>
      </c>
      <c r="R1252">
        <v>18</v>
      </c>
      <c r="S1252" t="s">
        <v>71</v>
      </c>
    </row>
    <row r="1253" spans="1:19" x14ac:dyDescent="0.3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 t="str">
        <f t="shared" si="19"/>
        <v>8-14 days</v>
      </c>
      <c r="L1253">
        <v>11</v>
      </c>
      <c r="M1253">
        <v>5</v>
      </c>
      <c r="N1253">
        <v>1</v>
      </c>
      <c r="O1253" t="s">
        <v>25</v>
      </c>
      <c r="P1253" t="s">
        <v>26</v>
      </c>
      <c r="Q1253">
        <v>17.7</v>
      </c>
      <c r="R1253">
        <v>27</v>
      </c>
      <c r="S1253" t="s">
        <v>36</v>
      </c>
    </row>
    <row r="1254" spans="1:19" x14ac:dyDescent="0.3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 t="str">
        <f t="shared" si="19"/>
        <v>15-30 days</v>
      </c>
      <c r="L1254">
        <v>16</v>
      </c>
      <c r="M1254">
        <v>2</v>
      </c>
      <c r="N1254">
        <v>0</v>
      </c>
      <c r="O1254" t="s">
        <v>54</v>
      </c>
      <c r="P1254" t="s">
        <v>55</v>
      </c>
      <c r="Q1254">
        <v>15.2</v>
      </c>
      <c r="R1254">
        <v>22</v>
      </c>
      <c r="S1254" t="s">
        <v>27</v>
      </c>
    </row>
    <row r="1255" spans="1:19" x14ac:dyDescent="0.3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 t="str">
        <f t="shared" si="19"/>
        <v>31-60 days</v>
      </c>
      <c r="L1255">
        <v>33</v>
      </c>
      <c r="M1255">
        <v>2</v>
      </c>
      <c r="N1255">
        <v>0</v>
      </c>
      <c r="O1255" t="s">
        <v>54</v>
      </c>
      <c r="P1255" t="s">
        <v>55</v>
      </c>
      <c r="Q1255">
        <v>12.6</v>
      </c>
      <c r="R1255">
        <v>19</v>
      </c>
      <c r="S1255" t="s">
        <v>36</v>
      </c>
    </row>
    <row r="1256" spans="1:19" x14ac:dyDescent="0.3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 t="str">
        <f t="shared" si="19"/>
        <v>15-30 days</v>
      </c>
      <c r="L1256">
        <v>15</v>
      </c>
      <c r="M1256">
        <v>4</v>
      </c>
      <c r="N1256">
        <v>1</v>
      </c>
      <c r="O1256" t="s">
        <v>54</v>
      </c>
      <c r="P1256" t="s">
        <v>55</v>
      </c>
      <c r="Q1256">
        <v>5.2</v>
      </c>
      <c r="R1256">
        <v>38</v>
      </c>
      <c r="S1256" t="s">
        <v>27</v>
      </c>
    </row>
    <row r="1257" spans="1:19" x14ac:dyDescent="0.3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 t="str">
        <f t="shared" si="19"/>
        <v>0-7 days</v>
      </c>
      <c r="L1257">
        <v>7</v>
      </c>
      <c r="M1257">
        <v>7</v>
      </c>
      <c r="N1257">
        <v>0</v>
      </c>
      <c r="O1257" t="s">
        <v>25</v>
      </c>
      <c r="P1257" t="s">
        <v>26</v>
      </c>
      <c r="Q1257">
        <v>8.6999999999999993</v>
      </c>
      <c r="R1257">
        <v>18</v>
      </c>
      <c r="S1257" t="s">
        <v>36</v>
      </c>
    </row>
    <row r="1258" spans="1:19" x14ac:dyDescent="0.3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 t="str">
        <f t="shared" si="19"/>
        <v>31-60 days</v>
      </c>
      <c r="L1258">
        <v>38</v>
      </c>
      <c r="M1258">
        <v>5</v>
      </c>
      <c r="N1258">
        <v>0</v>
      </c>
      <c r="O1258" t="s">
        <v>54</v>
      </c>
      <c r="P1258" t="s">
        <v>55</v>
      </c>
      <c r="Q1258">
        <v>6.7</v>
      </c>
      <c r="R1258">
        <v>16</v>
      </c>
      <c r="S1258" t="s">
        <v>36</v>
      </c>
    </row>
    <row r="1259" spans="1:19" x14ac:dyDescent="0.3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 t="str">
        <f t="shared" si="19"/>
        <v>31-60 days</v>
      </c>
      <c r="L1259">
        <v>42</v>
      </c>
      <c r="M1259">
        <v>5</v>
      </c>
      <c r="N1259">
        <v>1</v>
      </c>
      <c r="O1259" t="s">
        <v>25</v>
      </c>
      <c r="P1259" t="s">
        <v>26</v>
      </c>
      <c r="Q1259">
        <v>7.1</v>
      </c>
      <c r="R1259">
        <v>11</v>
      </c>
      <c r="S1259" t="s">
        <v>36</v>
      </c>
    </row>
    <row r="1260" spans="1:19" x14ac:dyDescent="0.3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 t="str">
        <f t="shared" si="19"/>
        <v>31-60 days</v>
      </c>
      <c r="L1260">
        <v>44</v>
      </c>
      <c r="M1260">
        <v>0</v>
      </c>
      <c r="N1260">
        <v>0</v>
      </c>
      <c r="O1260" t="s">
        <v>25</v>
      </c>
      <c r="P1260" t="s">
        <v>35</v>
      </c>
      <c r="Q1260">
        <v>13.3</v>
      </c>
      <c r="R1260">
        <v>23</v>
      </c>
      <c r="S1260" t="s">
        <v>27</v>
      </c>
    </row>
    <row r="1261" spans="1:19" x14ac:dyDescent="0.3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 t="str">
        <f t="shared" si="19"/>
        <v>31-60 days</v>
      </c>
      <c r="L1261">
        <v>57</v>
      </c>
      <c r="M1261">
        <v>5</v>
      </c>
      <c r="N1261">
        <v>0</v>
      </c>
      <c r="O1261" t="s">
        <v>25</v>
      </c>
      <c r="P1261" t="s">
        <v>50</v>
      </c>
      <c r="Q1261">
        <v>12.6</v>
      </c>
      <c r="R1261">
        <v>22</v>
      </c>
      <c r="S1261" t="s">
        <v>27</v>
      </c>
    </row>
    <row r="1262" spans="1:19" x14ac:dyDescent="0.3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 t="str">
        <f t="shared" si="19"/>
        <v>0-7 days</v>
      </c>
      <c r="L1262">
        <v>7</v>
      </c>
      <c r="M1262">
        <v>2</v>
      </c>
      <c r="N1262">
        <v>0</v>
      </c>
      <c r="O1262" t="s">
        <v>54</v>
      </c>
      <c r="P1262" t="s">
        <v>55</v>
      </c>
      <c r="Q1262">
        <v>1.3</v>
      </c>
      <c r="R1262">
        <v>32</v>
      </c>
      <c r="S1262" t="s">
        <v>27</v>
      </c>
    </row>
    <row r="1263" spans="1:19" x14ac:dyDescent="0.3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 t="str">
        <f t="shared" si="19"/>
        <v>15-30 days</v>
      </c>
      <c r="L1263">
        <v>26</v>
      </c>
      <c r="M1263">
        <v>2</v>
      </c>
      <c r="N1263">
        <v>1</v>
      </c>
      <c r="O1263" t="s">
        <v>54</v>
      </c>
      <c r="P1263" t="s">
        <v>55</v>
      </c>
      <c r="Q1263">
        <v>5.0999999999999996</v>
      </c>
      <c r="R1263">
        <v>10</v>
      </c>
      <c r="S1263" t="s">
        <v>27</v>
      </c>
    </row>
    <row r="1264" spans="1:19" x14ac:dyDescent="0.3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 t="str">
        <f t="shared" si="19"/>
        <v>8-14 days</v>
      </c>
      <c r="L1264">
        <v>14</v>
      </c>
      <c r="M1264">
        <v>2</v>
      </c>
      <c r="N1264">
        <v>0</v>
      </c>
      <c r="O1264" t="s">
        <v>25</v>
      </c>
      <c r="P1264" t="s">
        <v>35</v>
      </c>
      <c r="Q1264">
        <v>11.1</v>
      </c>
      <c r="R1264">
        <v>5</v>
      </c>
      <c r="S1264" t="s">
        <v>27</v>
      </c>
    </row>
    <row r="1265" spans="1:19" x14ac:dyDescent="0.3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 t="str">
        <f t="shared" si="19"/>
        <v>31-60 days</v>
      </c>
      <c r="L1265">
        <v>54</v>
      </c>
      <c r="M1265">
        <v>1</v>
      </c>
      <c r="N1265">
        <v>0</v>
      </c>
      <c r="O1265" t="s">
        <v>54</v>
      </c>
      <c r="P1265" t="s">
        <v>55</v>
      </c>
      <c r="Q1265">
        <v>7.2</v>
      </c>
      <c r="R1265">
        <v>4</v>
      </c>
      <c r="S1265" t="s">
        <v>27</v>
      </c>
    </row>
    <row r="1266" spans="1:19" x14ac:dyDescent="0.3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 t="str">
        <f t="shared" si="19"/>
        <v>31-60 days</v>
      </c>
      <c r="L1266">
        <v>32</v>
      </c>
      <c r="M1266">
        <v>4</v>
      </c>
      <c r="N1266">
        <v>0</v>
      </c>
      <c r="O1266" t="s">
        <v>25</v>
      </c>
      <c r="P1266" t="s">
        <v>26</v>
      </c>
      <c r="Q1266">
        <v>3.3</v>
      </c>
      <c r="R1266">
        <v>29</v>
      </c>
      <c r="S1266" t="s">
        <v>36</v>
      </c>
    </row>
    <row r="1267" spans="1:19" x14ac:dyDescent="0.3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 t="str">
        <f t="shared" si="19"/>
        <v>0-7 days</v>
      </c>
      <c r="L1267">
        <v>5</v>
      </c>
      <c r="M1267">
        <v>3</v>
      </c>
      <c r="N1267">
        <v>2</v>
      </c>
      <c r="O1267" t="s">
        <v>25</v>
      </c>
      <c r="P1267" t="s">
        <v>50</v>
      </c>
      <c r="Q1267">
        <v>16.5</v>
      </c>
      <c r="R1267">
        <v>35</v>
      </c>
      <c r="S1267" t="s">
        <v>27</v>
      </c>
    </row>
    <row r="1268" spans="1:19" x14ac:dyDescent="0.3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 t="str">
        <f t="shared" si="19"/>
        <v>31-60 days</v>
      </c>
      <c r="L1268">
        <v>42</v>
      </c>
      <c r="M1268">
        <v>1</v>
      </c>
      <c r="N1268">
        <v>0</v>
      </c>
      <c r="O1268" t="s">
        <v>25</v>
      </c>
      <c r="P1268" t="s">
        <v>35</v>
      </c>
      <c r="Q1268">
        <v>45</v>
      </c>
      <c r="R1268">
        <v>34</v>
      </c>
      <c r="S1268" t="s">
        <v>36</v>
      </c>
    </row>
    <row r="1269" spans="1:19" x14ac:dyDescent="0.3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 t="str">
        <f t="shared" si="19"/>
        <v>0-7 days</v>
      </c>
      <c r="L1269">
        <v>2</v>
      </c>
      <c r="M1269">
        <v>3</v>
      </c>
      <c r="N1269">
        <v>0</v>
      </c>
      <c r="O1269" t="s">
        <v>25</v>
      </c>
      <c r="P1269" t="s">
        <v>35</v>
      </c>
      <c r="Q1269">
        <v>3.3</v>
      </c>
      <c r="R1269">
        <v>18</v>
      </c>
      <c r="S1269" t="s">
        <v>36</v>
      </c>
    </row>
    <row r="1270" spans="1:19" x14ac:dyDescent="0.3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 t="str">
        <f t="shared" si="19"/>
        <v>15-30 days</v>
      </c>
      <c r="L1270">
        <v>16</v>
      </c>
      <c r="M1270">
        <v>2</v>
      </c>
      <c r="N1270">
        <v>0</v>
      </c>
      <c r="O1270" t="s">
        <v>25</v>
      </c>
      <c r="P1270" t="s">
        <v>35</v>
      </c>
      <c r="R1270">
        <v>25</v>
      </c>
      <c r="S1270" t="s">
        <v>27</v>
      </c>
    </row>
    <row r="1271" spans="1:19" x14ac:dyDescent="0.3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 t="str">
        <f t="shared" si="19"/>
        <v>31-60 days</v>
      </c>
      <c r="L1271">
        <v>44</v>
      </c>
      <c r="M1271">
        <v>3</v>
      </c>
      <c r="N1271">
        <v>0</v>
      </c>
      <c r="O1271" t="s">
        <v>25</v>
      </c>
      <c r="P1271" t="s">
        <v>50</v>
      </c>
      <c r="Q1271">
        <v>22.4</v>
      </c>
      <c r="R1271">
        <v>2</v>
      </c>
      <c r="S1271" t="s">
        <v>27</v>
      </c>
    </row>
    <row r="1272" spans="1:19" x14ac:dyDescent="0.3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 t="str">
        <f t="shared" si="19"/>
        <v>15-30 days</v>
      </c>
      <c r="L1272">
        <v>30</v>
      </c>
      <c r="M1272">
        <v>5</v>
      </c>
      <c r="N1272">
        <v>0</v>
      </c>
      <c r="O1272" t="s">
        <v>25</v>
      </c>
      <c r="P1272" t="s">
        <v>50</v>
      </c>
      <c r="Q1272">
        <v>4.5</v>
      </c>
      <c r="R1272">
        <v>42</v>
      </c>
      <c r="S1272" t="s">
        <v>36</v>
      </c>
    </row>
    <row r="1273" spans="1:19" x14ac:dyDescent="0.3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 t="str">
        <f t="shared" si="19"/>
        <v>31-60 days</v>
      </c>
      <c r="L1273">
        <v>46</v>
      </c>
      <c r="M1273">
        <v>3</v>
      </c>
      <c r="N1273">
        <v>2</v>
      </c>
      <c r="O1273" t="s">
        <v>25</v>
      </c>
      <c r="P1273" t="s">
        <v>35</v>
      </c>
      <c r="R1273">
        <v>37</v>
      </c>
      <c r="S1273" t="s">
        <v>27</v>
      </c>
    </row>
    <row r="1274" spans="1:19" x14ac:dyDescent="0.3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 t="str">
        <f t="shared" si="19"/>
        <v>31-60 days</v>
      </c>
      <c r="L1274">
        <v>34</v>
      </c>
      <c r="M1274">
        <v>4</v>
      </c>
      <c r="N1274">
        <v>0</v>
      </c>
      <c r="O1274" t="s">
        <v>25</v>
      </c>
      <c r="P1274" t="s">
        <v>26</v>
      </c>
      <c r="Q1274">
        <v>4.5</v>
      </c>
      <c r="R1274">
        <v>34</v>
      </c>
      <c r="S1274" t="s">
        <v>36</v>
      </c>
    </row>
    <row r="1275" spans="1:19" x14ac:dyDescent="0.3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 t="str">
        <f t="shared" si="19"/>
        <v>31-60 days</v>
      </c>
      <c r="L1275">
        <v>51</v>
      </c>
      <c r="M1275">
        <v>5</v>
      </c>
      <c r="N1275">
        <v>1</v>
      </c>
      <c r="O1275" t="s">
        <v>54</v>
      </c>
      <c r="P1275" t="s">
        <v>55</v>
      </c>
      <c r="Q1275">
        <v>25.6</v>
      </c>
      <c r="R1275">
        <v>14</v>
      </c>
      <c r="S1275" t="s">
        <v>27</v>
      </c>
    </row>
    <row r="1276" spans="1:19" x14ac:dyDescent="0.3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 t="str">
        <f t="shared" si="19"/>
        <v>31-60 days</v>
      </c>
      <c r="L1276">
        <v>34</v>
      </c>
      <c r="M1276">
        <v>3</v>
      </c>
      <c r="N1276">
        <v>1</v>
      </c>
      <c r="O1276" t="s">
        <v>25</v>
      </c>
      <c r="P1276" t="s">
        <v>26</v>
      </c>
      <c r="Q1276">
        <v>14.7</v>
      </c>
      <c r="R1276">
        <v>20</v>
      </c>
      <c r="S1276" t="s">
        <v>36</v>
      </c>
    </row>
    <row r="1277" spans="1:19" x14ac:dyDescent="0.3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 t="str">
        <f t="shared" si="19"/>
        <v>0-7 days</v>
      </c>
      <c r="L1277">
        <v>3</v>
      </c>
      <c r="M1277">
        <v>3</v>
      </c>
      <c r="N1277">
        <v>0</v>
      </c>
      <c r="O1277" t="s">
        <v>25</v>
      </c>
      <c r="P1277" t="s">
        <v>50</v>
      </c>
      <c r="Q1277">
        <v>4.5</v>
      </c>
      <c r="R1277">
        <v>22</v>
      </c>
      <c r="S1277" t="s">
        <v>36</v>
      </c>
    </row>
    <row r="1278" spans="1:19" x14ac:dyDescent="0.3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 t="str">
        <f t="shared" si="19"/>
        <v>0-7 days</v>
      </c>
      <c r="L1278">
        <v>4</v>
      </c>
      <c r="M1278">
        <v>4</v>
      </c>
      <c r="N1278">
        <v>0</v>
      </c>
      <c r="O1278" t="s">
        <v>54</v>
      </c>
      <c r="P1278" t="s">
        <v>55</v>
      </c>
      <c r="Q1278">
        <v>3.9</v>
      </c>
      <c r="R1278">
        <v>43</v>
      </c>
      <c r="S1278" t="s">
        <v>36</v>
      </c>
    </row>
    <row r="1279" spans="1:19" x14ac:dyDescent="0.3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 t="str">
        <f t="shared" si="19"/>
        <v>31-60 days</v>
      </c>
      <c r="L1279">
        <v>47</v>
      </c>
      <c r="M1279">
        <v>4</v>
      </c>
      <c r="N1279">
        <v>0</v>
      </c>
      <c r="O1279" t="s">
        <v>25</v>
      </c>
      <c r="P1279" t="s">
        <v>35</v>
      </c>
      <c r="Q1279">
        <v>4.3</v>
      </c>
      <c r="R1279">
        <v>35</v>
      </c>
      <c r="S1279" t="s">
        <v>27</v>
      </c>
    </row>
    <row r="1280" spans="1:19" x14ac:dyDescent="0.3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 t="str">
        <f t="shared" si="19"/>
        <v>0-7 days</v>
      </c>
      <c r="L1280">
        <v>2</v>
      </c>
      <c r="M1280">
        <v>4</v>
      </c>
      <c r="N1280">
        <v>1</v>
      </c>
      <c r="O1280" t="s">
        <v>54</v>
      </c>
      <c r="P1280" t="s">
        <v>55</v>
      </c>
      <c r="Q1280">
        <v>6</v>
      </c>
      <c r="R1280">
        <v>22</v>
      </c>
      <c r="S1280" t="s">
        <v>36</v>
      </c>
    </row>
    <row r="1281" spans="1:19" x14ac:dyDescent="0.3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 t="str">
        <f t="shared" si="19"/>
        <v>15-30 days</v>
      </c>
      <c r="L1281">
        <v>22</v>
      </c>
      <c r="M1281">
        <v>2</v>
      </c>
      <c r="N1281">
        <v>0</v>
      </c>
      <c r="O1281" t="s">
        <v>25</v>
      </c>
      <c r="P1281" t="s">
        <v>26</v>
      </c>
      <c r="Q1281">
        <v>16.899999999999999</v>
      </c>
      <c r="R1281">
        <v>30</v>
      </c>
      <c r="S1281" t="s">
        <v>36</v>
      </c>
    </row>
    <row r="1282" spans="1:19" x14ac:dyDescent="0.3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 t="str">
        <f t="shared" si="19"/>
        <v>0-7 days</v>
      </c>
      <c r="L1282">
        <v>0</v>
      </c>
      <c r="M1282">
        <v>0</v>
      </c>
      <c r="N1282">
        <v>0</v>
      </c>
      <c r="O1282" t="s">
        <v>25</v>
      </c>
      <c r="P1282" t="s">
        <v>35</v>
      </c>
      <c r="Q1282">
        <v>1.7</v>
      </c>
      <c r="R1282">
        <v>14</v>
      </c>
      <c r="S1282" t="s">
        <v>36</v>
      </c>
    </row>
    <row r="1283" spans="1:19" x14ac:dyDescent="0.3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 t="str">
        <f t="shared" ref="K1283:K1346" si="20">IF(L1283&lt;=7,"0-7 days",IF(L1283&lt;=14,"8-14 days",IF(L1283&lt;=30,"15-30 days","31-60 days")))</f>
        <v>15-30 days</v>
      </c>
      <c r="L1283">
        <v>18</v>
      </c>
      <c r="M1283">
        <v>2</v>
      </c>
      <c r="N1283">
        <v>0</v>
      </c>
      <c r="O1283" t="s">
        <v>25</v>
      </c>
      <c r="P1283" t="s">
        <v>26</v>
      </c>
      <c r="Q1283">
        <v>5.0999999999999996</v>
      </c>
      <c r="R1283">
        <v>9</v>
      </c>
      <c r="S1283" t="s">
        <v>36</v>
      </c>
    </row>
    <row r="1284" spans="1:19" x14ac:dyDescent="0.3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 t="str">
        <f t="shared" si="20"/>
        <v>31-60 days</v>
      </c>
      <c r="L1284">
        <v>36</v>
      </c>
      <c r="M1284">
        <v>2</v>
      </c>
      <c r="N1284">
        <v>0</v>
      </c>
      <c r="O1284" t="s">
        <v>54</v>
      </c>
      <c r="P1284" t="s">
        <v>55</v>
      </c>
      <c r="Q1284">
        <v>14.9</v>
      </c>
      <c r="R1284">
        <v>23</v>
      </c>
      <c r="S1284" t="s">
        <v>36</v>
      </c>
    </row>
    <row r="1285" spans="1:19" x14ac:dyDescent="0.3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 t="str">
        <f t="shared" si="20"/>
        <v>8-14 days</v>
      </c>
      <c r="L1285">
        <v>10</v>
      </c>
      <c r="M1285">
        <v>1</v>
      </c>
      <c r="N1285">
        <v>0</v>
      </c>
      <c r="O1285" t="s">
        <v>25</v>
      </c>
      <c r="P1285" t="s">
        <v>26</v>
      </c>
      <c r="Q1285">
        <v>15.2</v>
      </c>
      <c r="R1285">
        <v>11</v>
      </c>
      <c r="S1285" t="s">
        <v>36</v>
      </c>
    </row>
    <row r="1286" spans="1:19" x14ac:dyDescent="0.3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 t="str">
        <f t="shared" si="20"/>
        <v>15-30 days</v>
      </c>
      <c r="L1286">
        <v>28</v>
      </c>
      <c r="M1286">
        <v>0</v>
      </c>
      <c r="N1286">
        <v>0</v>
      </c>
      <c r="O1286" t="s">
        <v>54</v>
      </c>
      <c r="P1286" t="s">
        <v>55</v>
      </c>
      <c r="Q1286">
        <v>18.100000000000001</v>
      </c>
      <c r="R1286">
        <v>5</v>
      </c>
      <c r="S1286" t="s">
        <v>27</v>
      </c>
    </row>
    <row r="1287" spans="1:19" x14ac:dyDescent="0.3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 t="str">
        <f t="shared" si="20"/>
        <v>31-60 days</v>
      </c>
      <c r="L1287">
        <v>60</v>
      </c>
      <c r="M1287">
        <v>4</v>
      </c>
      <c r="N1287">
        <v>1</v>
      </c>
      <c r="O1287" t="s">
        <v>25</v>
      </c>
      <c r="P1287" t="s">
        <v>26</v>
      </c>
      <c r="Q1287">
        <v>2.6</v>
      </c>
      <c r="R1287">
        <v>24</v>
      </c>
      <c r="S1287" t="s">
        <v>27</v>
      </c>
    </row>
    <row r="1288" spans="1:19" x14ac:dyDescent="0.3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 t="str">
        <f t="shared" si="20"/>
        <v>0-7 days</v>
      </c>
      <c r="L1288">
        <v>4</v>
      </c>
      <c r="M1288">
        <v>2</v>
      </c>
      <c r="N1288">
        <v>1</v>
      </c>
      <c r="O1288" t="s">
        <v>25</v>
      </c>
      <c r="P1288" t="s">
        <v>35</v>
      </c>
      <c r="Q1288">
        <v>6.9</v>
      </c>
      <c r="R1288">
        <v>21</v>
      </c>
      <c r="S1288" t="s">
        <v>36</v>
      </c>
    </row>
    <row r="1289" spans="1:19" x14ac:dyDescent="0.3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 t="str">
        <f t="shared" si="20"/>
        <v>0-7 days</v>
      </c>
      <c r="L1289">
        <v>3</v>
      </c>
      <c r="M1289">
        <v>3</v>
      </c>
      <c r="N1289">
        <v>2</v>
      </c>
      <c r="O1289" t="s">
        <v>25</v>
      </c>
      <c r="P1289" t="s">
        <v>35</v>
      </c>
      <c r="Q1289">
        <v>4.8</v>
      </c>
      <c r="R1289">
        <v>13</v>
      </c>
      <c r="S1289" t="s">
        <v>36</v>
      </c>
    </row>
    <row r="1290" spans="1:19" x14ac:dyDescent="0.3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 t="str">
        <f t="shared" si="20"/>
        <v>15-30 days</v>
      </c>
      <c r="L1290">
        <v>16</v>
      </c>
      <c r="M1290">
        <v>5</v>
      </c>
      <c r="N1290">
        <v>1</v>
      </c>
      <c r="O1290" t="s">
        <v>54</v>
      </c>
      <c r="P1290" t="s">
        <v>55</v>
      </c>
      <c r="Q1290">
        <v>23.8</v>
      </c>
      <c r="R1290">
        <v>20</v>
      </c>
      <c r="S1290" t="s">
        <v>36</v>
      </c>
    </row>
    <row r="1291" spans="1:19" x14ac:dyDescent="0.3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 t="str">
        <f t="shared" si="20"/>
        <v>31-60 days</v>
      </c>
      <c r="L1291">
        <v>50</v>
      </c>
      <c r="M1291">
        <v>3</v>
      </c>
      <c r="N1291">
        <v>0</v>
      </c>
      <c r="O1291" t="s">
        <v>25</v>
      </c>
      <c r="P1291" t="s">
        <v>26</v>
      </c>
      <c r="Q1291">
        <v>9.1999999999999993</v>
      </c>
      <c r="R1291">
        <v>28</v>
      </c>
      <c r="S1291" t="s">
        <v>27</v>
      </c>
    </row>
    <row r="1292" spans="1:19" x14ac:dyDescent="0.3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 t="str">
        <f t="shared" si="20"/>
        <v>15-30 days</v>
      </c>
      <c r="L1292">
        <v>24</v>
      </c>
      <c r="M1292">
        <v>8</v>
      </c>
      <c r="N1292">
        <v>1</v>
      </c>
      <c r="O1292" t="s">
        <v>25</v>
      </c>
      <c r="P1292" t="s">
        <v>35</v>
      </c>
      <c r="Q1292">
        <v>4</v>
      </c>
      <c r="R1292">
        <v>22</v>
      </c>
      <c r="S1292" t="s">
        <v>27</v>
      </c>
    </row>
    <row r="1293" spans="1:19" x14ac:dyDescent="0.3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 t="str">
        <f t="shared" si="20"/>
        <v>31-60 days</v>
      </c>
      <c r="L1293">
        <v>39</v>
      </c>
      <c r="M1293">
        <v>5</v>
      </c>
      <c r="N1293">
        <v>0</v>
      </c>
      <c r="O1293" t="s">
        <v>54</v>
      </c>
      <c r="P1293" t="s">
        <v>55</v>
      </c>
      <c r="R1293">
        <v>26</v>
      </c>
      <c r="S1293" t="s">
        <v>27</v>
      </c>
    </row>
    <row r="1294" spans="1:19" x14ac:dyDescent="0.3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 t="str">
        <f t="shared" si="20"/>
        <v>0-7 days</v>
      </c>
      <c r="L1294">
        <v>2</v>
      </c>
      <c r="M1294">
        <v>3</v>
      </c>
      <c r="N1294">
        <v>2</v>
      </c>
      <c r="O1294" t="s">
        <v>54</v>
      </c>
      <c r="P1294" t="s">
        <v>55</v>
      </c>
      <c r="Q1294">
        <v>7.6</v>
      </c>
      <c r="R1294">
        <v>22</v>
      </c>
      <c r="S1294" t="s">
        <v>36</v>
      </c>
    </row>
    <row r="1295" spans="1:19" x14ac:dyDescent="0.3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 t="str">
        <f t="shared" si="20"/>
        <v>31-60 days</v>
      </c>
      <c r="L1295">
        <v>44</v>
      </c>
      <c r="M1295">
        <v>4</v>
      </c>
      <c r="N1295">
        <v>1</v>
      </c>
      <c r="O1295" t="s">
        <v>54</v>
      </c>
      <c r="P1295" t="s">
        <v>55</v>
      </c>
      <c r="Q1295">
        <v>9.1</v>
      </c>
      <c r="R1295">
        <v>43</v>
      </c>
      <c r="S1295" t="s">
        <v>27</v>
      </c>
    </row>
    <row r="1296" spans="1:19" x14ac:dyDescent="0.3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 t="str">
        <f t="shared" si="20"/>
        <v>0-7 days</v>
      </c>
      <c r="L1296">
        <v>4</v>
      </c>
      <c r="M1296">
        <v>5</v>
      </c>
      <c r="N1296">
        <v>0</v>
      </c>
      <c r="O1296" t="s">
        <v>54</v>
      </c>
      <c r="P1296" t="s">
        <v>55</v>
      </c>
      <c r="Q1296">
        <v>26.3</v>
      </c>
      <c r="R1296">
        <v>39</v>
      </c>
      <c r="S1296" t="s">
        <v>36</v>
      </c>
    </row>
    <row r="1297" spans="1:19" x14ac:dyDescent="0.3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 t="str">
        <f t="shared" si="20"/>
        <v>31-60 days</v>
      </c>
      <c r="L1297">
        <v>43</v>
      </c>
      <c r="M1297">
        <v>3</v>
      </c>
      <c r="N1297">
        <v>1</v>
      </c>
      <c r="O1297" t="s">
        <v>25</v>
      </c>
      <c r="P1297" t="s">
        <v>35</v>
      </c>
      <c r="Q1297">
        <v>9.5</v>
      </c>
      <c r="R1297">
        <v>25</v>
      </c>
      <c r="S1297" t="s">
        <v>36</v>
      </c>
    </row>
    <row r="1298" spans="1:19" x14ac:dyDescent="0.3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 t="str">
        <f t="shared" si="20"/>
        <v>8-14 days</v>
      </c>
      <c r="L1298">
        <v>9</v>
      </c>
      <c r="M1298">
        <v>4</v>
      </c>
      <c r="N1298">
        <v>0</v>
      </c>
      <c r="O1298" t="s">
        <v>25</v>
      </c>
      <c r="P1298" t="s">
        <v>35</v>
      </c>
      <c r="Q1298">
        <v>19.2</v>
      </c>
      <c r="R1298">
        <v>15</v>
      </c>
      <c r="S1298" t="s">
        <v>36</v>
      </c>
    </row>
    <row r="1299" spans="1:19" x14ac:dyDescent="0.3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 t="str">
        <f t="shared" si="20"/>
        <v>31-60 days</v>
      </c>
      <c r="L1299">
        <v>52</v>
      </c>
      <c r="M1299">
        <v>0</v>
      </c>
      <c r="N1299">
        <v>0</v>
      </c>
      <c r="O1299" t="s">
        <v>25</v>
      </c>
      <c r="P1299" t="s">
        <v>26</v>
      </c>
      <c r="Q1299">
        <v>6.1</v>
      </c>
      <c r="R1299">
        <v>18</v>
      </c>
      <c r="S1299" t="s">
        <v>27</v>
      </c>
    </row>
    <row r="1300" spans="1:19" x14ac:dyDescent="0.3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 t="str">
        <f t="shared" si="20"/>
        <v>15-30 days</v>
      </c>
      <c r="L1300">
        <v>18</v>
      </c>
      <c r="M1300">
        <v>2</v>
      </c>
      <c r="N1300">
        <v>0</v>
      </c>
      <c r="O1300" t="s">
        <v>25</v>
      </c>
      <c r="P1300" t="s">
        <v>35</v>
      </c>
      <c r="Q1300">
        <v>14.4</v>
      </c>
      <c r="R1300">
        <v>10</v>
      </c>
      <c r="S1300" t="s">
        <v>36</v>
      </c>
    </row>
    <row r="1301" spans="1:19" x14ac:dyDescent="0.3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 t="str">
        <f t="shared" si="20"/>
        <v>8-14 days</v>
      </c>
      <c r="L1301">
        <v>11</v>
      </c>
      <c r="M1301">
        <v>5</v>
      </c>
      <c r="N1301">
        <v>2</v>
      </c>
      <c r="O1301" t="s">
        <v>25</v>
      </c>
      <c r="P1301" t="s">
        <v>50</v>
      </c>
      <c r="Q1301">
        <v>10</v>
      </c>
      <c r="R1301">
        <v>15</v>
      </c>
      <c r="S1301" t="s">
        <v>36</v>
      </c>
    </row>
    <row r="1302" spans="1:19" x14ac:dyDescent="0.3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 t="str">
        <f t="shared" si="20"/>
        <v>15-30 days</v>
      </c>
      <c r="L1302">
        <v>20</v>
      </c>
      <c r="M1302">
        <v>2</v>
      </c>
      <c r="N1302">
        <v>2</v>
      </c>
      <c r="O1302" t="s">
        <v>25</v>
      </c>
      <c r="P1302" t="s">
        <v>26</v>
      </c>
      <c r="Q1302">
        <v>16.2</v>
      </c>
      <c r="R1302">
        <v>31</v>
      </c>
      <c r="S1302" t="s">
        <v>36</v>
      </c>
    </row>
    <row r="1303" spans="1:19" x14ac:dyDescent="0.3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 t="str">
        <f t="shared" si="20"/>
        <v>0-7 days</v>
      </c>
      <c r="L1303">
        <v>0</v>
      </c>
      <c r="M1303">
        <v>4</v>
      </c>
      <c r="N1303">
        <v>0</v>
      </c>
      <c r="O1303" t="s">
        <v>54</v>
      </c>
      <c r="P1303" t="s">
        <v>55</v>
      </c>
      <c r="Q1303">
        <v>9.1999999999999993</v>
      </c>
      <c r="R1303">
        <v>17</v>
      </c>
      <c r="S1303" t="s">
        <v>36</v>
      </c>
    </row>
    <row r="1304" spans="1:19" x14ac:dyDescent="0.3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 t="str">
        <f t="shared" si="20"/>
        <v>8-14 days</v>
      </c>
      <c r="L1304">
        <v>10</v>
      </c>
      <c r="M1304">
        <v>5</v>
      </c>
      <c r="N1304">
        <v>1</v>
      </c>
      <c r="O1304" t="s">
        <v>25</v>
      </c>
      <c r="P1304" t="s">
        <v>35</v>
      </c>
      <c r="Q1304">
        <v>9</v>
      </c>
      <c r="R1304">
        <v>22</v>
      </c>
      <c r="S1304" t="s">
        <v>27</v>
      </c>
    </row>
    <row r="1305" spans="1:19" x14ac:dyDescent="0.3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 t="str">
        <f t="shared" si="20"/>
        <v>31-60 days</v>
      </c>
      <c r="L1305">
        <v>36</v>
      </c>
      <c r="M1305">
        <v>4</v>
      </c>
      <c r="N1305">
        <v>0</v>
      </c>
      <c r="O1305" t="s">
        <v>54</v>
      </c>
      <c r="P1305" t="s">
        <v>55</v>
      </c>
      <c r="Q1305">
        <v>18.600000000000001</v>
      </c>
      <c r="R1305">
        <v>37</v>
      </c>
      <c r="S1305" t="s">
        <v>27</v>
      </c>
    </row>
    <row r="1306" spans="1:19" x14ac:dyDescent="0.3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 t="str">
        <f t="shared" si="20"/>
        <v>15-30 days</v>
      </c>
      <c r="L1306">
        <v>18</v>
      </c>
      <c r="M1306">
        <v>6</v>
      </c>
      <c r="N1306">
        <v>2</v>
      </c>
      <c r="O1306" t="s">
        <v>25</v>
      </c>
      <c r="P1306" t="s">
        <v>26</v>
      </c>
      <c r="Q1306">
        <v>5</v>
      </c>
      <c r="R1306">
        <v>30</v>
      </c>
      <c r="S1306" t="s">
        <v>36</v>
      </c>
    </row>
    <row r="1307" spans="1:19" x14ac:dyDescent="0.3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 t="str">
        <f t="shared" si="20"/>
        <v>15-30 days</v>
      </c>
      <c r="L1307">
        <v>21</v>
      </c>
      <c r="M1307">
        <v>2</v>
      </c>
      <c r="N1307">
        <v>0</v>
      </c>
      <c r="O1307" t="s">
        <v>54</v>
      </c>
      <c r="P1307" t="s">
        <v>55</v>
      </c>
      <c r="Q1307">
        <v>5.5</v>
      </c>
      <c r="R1307">
        <v>25</v>
      </c>
      <c r="S1307" t="s">
        <v>36</v>
      </c>
    </row>
    <row r="1308" spans="1:19" x14ac:dyDescent="0.3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 t="str">
        <f t="shared" si="20"/>
        <v>31-60 days</v>
      </c>
      <c r="L1308">
        <v>49</v>
      </c>
      <c r="M1308">
        <v>3</v>
      </c>
      <c r="N1308">
        <v>2</v>
      </c>
      <c r="O1308" t="s">
        <v>25</v>
      </c>
      <c r="P1308" t="s">
        <v>50</v>
      </c>
      <c r="Q1308">
        <v>29</v>
      </c>
      <c r="R1308">
        <v>23</v>
      </c>
      <c r="S1308" t="s">
        <v>27</v>
      </c>
    </row>
    <row r="1309" spans="1:19" x14ac:dyDescent="0.3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 t="str">
        <f t="shared" si="20"/>
        <v>0-7 days</v>
      </c>
      <c r="L1309">
        <v>7</v>
      </c>
      <c r="M1309">
        <v>2</v>
      </c>
      <c r="N1309">
        <v>1</v>
      </c>
      <c r="O1309" t="s">
        <v>25</v>
      </c>
      <c r="P1309" t="s">
        <v>26</v>
      </c>
      <c r="Q1309">
        <v>4.8</v>
      </c>
      <c r="R1309">
        <v>22</v>
      </c>
      <c r="S1309" t="s">
        <v>71</v>
      </c>
    </row>
    <row r="1310" spans="1:19" x14ac:dyDescent="0.3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 t="str">
        <f t="shared" si="20"/>
        <v>15-30 days</v>
      </c>
      <c r="L1310">
        <v>24</v>
      </c>
      <c r="M1310">
        <v>3</v>
      </c>
      <c r="N1310">
        <v>0</v>
      </c>
      <c r="O1310" t="s">
        <v>25</v>
      </c>
      <c r="P1310" t="s">
        <v>35</v>
      </c>
      <c r="Q1310">
        <v>6.3</v>
      </c>
      <c r="R1310">
        <v>34</v>
      </c>
      <c r="S1310" t="s">
        <v>36</v>
      </c>
    </row>
    <row r="1311" spans="1:19" x14ac:dyDescent="0.3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 t="str">
        <f t="shared" si="20"/>
        <v>8-14 days</v>
      </c>
      <c r="L1311">
        <v>11</v>
      </c>
      <c r="M1311">
        <v>6</v>
      </c>
      <c r="N1311">
        <v>0</v>
      </c>
      <c r="O1311" t="s">
        <v>25</v>
      </c>
      <c r="P1311" t="s">
        <v>35</v>
      </c>
      <c r="Q1311">
        <v>4.8</v>
      </c>
      <c r="R1311">
        <v>27</v>
      </c>
      <c r="S1311" t="s">
        <v>36</v>
      </c>
    </row>
    <row r="1312" spans="1:19" x14ac:dyDescent="0.3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 t="str">
        <f t="shared" si="20"/>
        <v>15-30 days</v>
      </c>
      <c r="L1312">
        <v>29</v>
      </c>
      <c r="M1312">
        <v>5</v>
      </c>
      <c r="N1312">
        <v>1</v>
      </c>
      <c r="O1312" t="s">
        <v>25</v>
      </c>
      <c r="P1312" t="s">
        <v>35</v>
      </c>
      <c r="Q1312">
        <v>5.7</v>
      </c>
      <c r="R1312">
        <v>21</v>
      </c>
      <c r="S1312" t="s">
        <v>27</v>
      </c>
    </row>
    <row r="1313" spans="1:19" x14ac:dyDescent="0.3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 t="str">
        <f t="shared" si="20"/>
        <v>15-30 days</v>
      </c>
      <c r="L1313">
        <v>20</v>
      </c>
      <c r="M1313">
        <v>4</v>
      </c>
      <c r="N1313">
        <v>0</v>
      </c>
      <c r="O1313" t="s">
        <v>54</v>
      </c>
      <c r="P1313" t="s">
        <v>55</v>
      </c>
      <c r="Q1313">
        <v>2.4</v>
      </c>
      <c r="R1313">
        <v>10</v>
      </c>
      <c r="S1313" t="s">
        <v>27</v>
      </c>
    </row>
    <row r="1314" spans="1:19" x14ac:dyDescent="0.3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 t="str">
        <f t="shared" si="20"/>
        <v>0-7 days</v>
      </c>
      <c r="L1314">
        <v>2</v>
      </c>
      <c r="M1314">
        <v>4</v>
      </c>
      <c r="N1314">
        <v>0</v>
      </c>
      <c r="O1314" t="s">
        <v>54</v>
      </c>
      <c r="P1314" t="s">
        <v>55</v>
      </c>
      <c r="Q1314">
        <v>12.5</v>
      </c>
      <c r="R1314">
        <v>29</v>
      </c>
      <c r="S1314" t="s">
        <v>36</v>
      </c>
    </row>
    <row r="1315" spans="1:19" x14ac:dyDescent="0.3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 t="str">
        <f t="shared" si="20"/>
        <v>0-7 days</v>
      </c>
      <c r="L1315">
        <v>4</v>
      </c>
      <c r="M1315">
        <v>2</v>
      </c>
      <c r="N1315">
        <v>0</v>
      </c>
      <c r="O1315" t="s">
        <v>25</v>
      </c>
      <c r="P1315" t="s">
        <v>35</v>
      </c>
      <c r="Q1315">
        <v>14</v>
      </c>
      <c r="R1315">
        <v>28</v>
      </c>
      <c r="S1315" t="s">
        <v>36</v>
      </c>
    </row>
    <row r="1316" spans="1:19" x14ac:dyDescent="0.3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 t="str">
        <f t="shared" si="20"/>
        <v>31-60 days</v>
      </c>
      <c r="L1316">
        <v>51</v>
      </c>
      <c r="M1316">
        <v>4</v>
      </c>
      <c r="N1316">
        <v>1</v>
      </c>
      <c r="O1316" t="s">
        <v>25</v>
      </c>
      <c r="P1316" t="s">
        <v>50</v>
      </c>
      <c r="Q1316">
        <v>1.1000000000000001</v>
      </c>
      <c r="R1316">
        <v>7</v>
      </c>
      <c r="S1316" t="s">
        <v>27</v>
      </c>
    </row>
    <row r="1317" spans="1:19" x14ac:dyDescent="0.3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 t="str">
        <f t="shared" si="20"/>
        <v>0-7 days</v>
      </c>
      <c r="L1317">
        <v>3</v>
      </c>
      <c r="M1317">
        <v>5</v>
      </c>
      <c r="N1317">
        <v>1</v>
      </c>
      <c r="O1317" t="s">
        <v>25</v>
      </c>
      <c r="P1317" t="s">
        <v>26</v>
      </c>
      <c r="Q1317">
        <v>6.6</v>
      </c>
      <c r="R1317">
        <v>22</v>
      </c>
      <c r="S1317" t="s">
        <v>27</v>
      </c>
    </row>
    <row r="1318" spans="1:19" x14ac:dyDescent="0.3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 t="str">
        <f t="shared" si="20"/>
        <v>31-60 days</v>
      </c>
      <c r="L1318">
        <v>47</v>
      </c>
      <c r="M1318">
        <v>1</v>
      </c>
      <c r="N1318">
        <v>0</v>
      </c>
      <c r="O1318" t="s">
        <v>25</v>
      </c>
      <c r="P1318" t="s">
        <v>26</v>
      </c>
      <c r="R1318">
        <v>28</v>
      </c>
      <c r="S1318" t="s">
        <v>27</v>
      </c>
    </row>
    <row r="1319" spans="1:19" x14ac:dyDescent="0.3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 t="str">
        <f t="shared" si="20"/>
        <v>31-60 days</v>
      </c>
      <c r="L1319">
        <v>55</v>
      </c>
      <c r="M1319">
        <v>2</v>
      </c>
      <c r="N1319">
        <v>0</v>
      </c>
      <c r="O1319" t="s">
        <v>25</v>
      </c>
      <c r="P1319" t="s">
        <v>26</v>
      </c>
      <c r="Q1319">
        <v>3.4</v>
      </c>
      <c r="R1319">
        <v>21</v>
      </c>
      <c r="S1319" t="s">
        <v>36</v>
      </c>
    </row>
    <row r="1320" spans="1:19" x14ac:dyDescent="0.3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 t="str">
        <f t="shared" si="20"/>
        <v>15-30 days</v>
      </c>
      <c r="L1320">
        <v>28</v>
      </c>
      <c r="M1320">
        <v>1</v>
      </c>
      <c r="N1320">
        <v>0</v>
      </c>
      <c r="O1320" t="s">
        <v>25</v>
      </c>
      <c r="P1320" t="s">
        <v>26</v>
      </c>
      <c r="Q1320">
        <v>3.3</v>
      </c>
      <c r="R1320">
        <v>44</v>
      </c>
      <c r="S1320" t="s">
        <v>27</v>
      </c>
    </row>
    <row r="1321" spans="1:19" x14ac:dyDescent="0.3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 t="str">
        <f t="shared" si="20"/>
        <v>15-30 days</v>
      </c>
      <c r="L1321">
        <v>19</v>
      </c>
      <c r="M1321">
        <v>3</v>
      </c>
      <c r="N1321">
        <v>1</v>
      </c>
      <c r="O1321" t="s">
        <v>25</v>
      </c>
      <c r="P1321" t="s">
        <v>35</v>
      </c>
      <c r="Q1321">
        <v>6.4</v>
      </c>
      <c r="R1321">
        <v>41</v>
      </c>
      <c r="S1321" t="s">
        <v>36</v>
      </c>
    </row>
    <row r="1322" spans="1:19" x14ac:dyDescent="0.3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 t="str">
        <f t="shared" si="20"/>
        <v>31-60 days</v>
      </c>
      <c r="L1322">
        <v>47</v>
      </c>
      <c r="M1322">
        <v>2</v>
      </c>
      <c r="N1322">
        <v>0</v>
      </c>
      <c r="O1322" t="s">
        <v>25</v>
      </c>
      <c r="P1322" t="s">
        <v>35</v>
      </c>
      <c r="Q1322">
        <v>18.399999999999999</v>
      </c>
      <c r="R1322">
        <v>10</v>
      </c>
      <c r="S1322" t="s">
        <v>27</v>
      </c>
    </row>
    <row r="1323" spans="1:19" x14ac:dyDescent="0.3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 t="str">
        <f t="shared" si="20"/>
        <v>31-60 days</v>
      </c>
      <c r="L1323">
        <v>59</v>
      </c>
      <c r="M1323">
        <v>2</v>
      </c>
      <c r="N1323">
        <v>0</v>
      </c>
      <c r="O1323" t="s">
        <v>25</v>
      </c>
      <c r="P1323" t="s">
        <v>26</v>
      </c>
      <c r="Q1323">
        <v>10.3</v>
      </c>
      <c r="R1323">
        <v>21</v>
      </c>
      <c r="S1323" t="s">
        <v>27</v>
      </c>
    </row>
    <row r="1324" spans="1:19" x14ac:dyDescent="0.3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 t="str">
        <f t="shared" si="20"/>
        <v>0-7 days</v>
      </c>
      <c r="L1324">
        <v>7</v>
      </c>
      <c r="M1324">
        <v>3</v>
      </c>
      <c r="N1324">
        <v>2</v>
      </c>
      <c r="O1324" t="s">
        <v>25</v>
      </c>
      <c r="P1324" t="s">
        <v>26</v>
      </c>
      <c r="Q1324">
        <v>10.6</v>
      </c>
      <c r="R1324">
        <v>35</v>
      </c>
      <c r="S1324" t="s">
        <v>27</v>
      </c>
    </row>
    <row r="1325" spans="1:19" x14ac:dyDescent="0.3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 t="str">
        <f t="shared" si="20"/>
        <v>31-60 days</v>
      </c>
      <c r="L1325">
        <v>58</v>
      </c>
      <c r="M1325">
        <v>4</v>
      </c>
      <c r="N1325">
        <v>2</v>
      </c>
      <c r="O1325" t="s">
        <v>54</v>
      </c>
      <c r="P1325" t="s">
        <v>55</v>
      </c>
      <c r="Q1325">
        <v>5.3</v>
      </c>
      <c r="R1325">
        <v>23</v>
      </c>
      <c r="S1325" t="s">
        <v>27</v>
      </c>
    </row>
    <row r="1326" spans="1:19" x14ac:dyDescent="0.3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 t="str">
        <f t="shared" si="20"/>
        <v>31-60 days</v>
      </c>
      <c r="L1326">
        <v>57</v>
      </c>
      <c r="M1326">
        <v>4</v>
      </c>
      <c r="N1326">
        <v>0</v>
      </c>
      <c r="O1326" t="s">
        <v>25</v>
      </c>
      <c r="P1326" t="s">
        <v>26</v>
      </c>
      <c r="Q1326">
        <v>3.4</v>
      </c>
      <c r="R1326">
        <v>32</v>
      </c>
      <c r="S1326" t="s">
        <v>27</v>
      </c>
    </row>
    <row r="1327" spans="1:19" x14ac:dyDescent="0.3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 t="str">
        <f t="shared" si="20"/>
        <v>8-14 days</v>
      </c>
      <c r="L1327">
        <v>8</v>
      </c>
      <c r="M1327">
        <v>4</v>
      </c>
      <c r="N1327">
        <v>1</v>
      </c>
      <c r="O1327" t="s">
        <v>25</v>
      </c>
      <c r="P1327" t="s">
        <v>26</v>
      </c>
      <c r="Q1327">
        <v>26.3</v>
      </c>
      <c r="R1327">
        <v>17</v>
      </c>
      <c r="S1327" t="s">
        <v>36</v>
      </c>
    </row>
    <row r="1328" spans="1:19" x14ac:dyDescent="0.3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 t="str">
        <f t="shared" si="20"/>
        <v>0-7 days</v>
      </c>
      <c r="L1328">
        <v>3</v>
      </c>
      <c r="M1328">
        <v>4</v>
      </c>
      <c r="N1328">
        <v>0</v>
      </c>
      <c r="O1328" t="s">
        <v>25</v>
      </c>
      <c r="P1328" t="s">
        <v>50</v>
      </c>
      <c r="Q1328">
        <v>17.8</v>
      </c>
      <c r="R1328">
        <v>7</v>
      </c>
      <c r="S1328" t="s">
        <v>36</v>
      </c>
    </row>
    <row r="1329" spans="1:19" x14ac:dyDescent="0.3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 t="str">
        <f t="shared" si="20"/>
        <v>31-60 days</v>
      </c>
      <c r="L1329">
        <v>43</v>
      </c>
      <c r="M1329">
        <v>4</v>
      </c>
      <c r="N1329">
        <v>1</v>
      </c>
      <c r="O1329" t="s">
        <v>25</v>
      </c>
      <c r="P1329" t="s">
        <v>26</v>
      </c>
      <c r="Q1329">
        <v>17.100000000000001</v>
      </c>
      <c r="R1329">
        <v>32</v>
      </c>
      <c r="S1329" t="s">
        <v>27</v>
      </c>
    </row>
    <row r="1330" spans="1:19" x14ac:dyDescent="0.3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 t="str">
        <f t="shared" si="20"/>
        <v>0-7 days</v>
      </c>
      <c r="L1330">
        <v>4</v>
      </c>
      <c r="M1330">
        <v>2</v>
      </c>
      <c r="N1330">
        <v>0</v>
      </c>
      <c r="O1330" t="s">
        <v>25</v>
      </c>
      <c r="P1330" t="s">
        <v>26</v>
      </c>
      <c r="Q1330">
        <v>10.7</v>
      </c>
      <c r="R1330">
        <v>20</v>
      </c>
      <c r="S1330" t="s">
        <v>36</v>
      </c>
    </row>
    <row r="1331" spans="1:19" x14ac:dyDescent="0.3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 t="str">
        <f t="shared" si="20"/>
        <v>31-60 days</v>
      </c>
      <c r="L1331">
        <v>36</v>
      </c>
      <c r="M1331">
        <v>1</v>
      </c>
      <c r="N1331">
        <v>0</v>
      </c>
      <c r="O1331" t="s">
        <v>54</v>
      </c>
      <c r="P1331" t="s">
        <v>55</v>
      </c>
      <c r="Q1331">
        <v>16</v>
      </c>
      <c r="R1331">
        <v>52</v>
      </c>
      <c r="S1331" t="s">
        <v>27</v>
      </c>
    </row>
    <row r="1332" spans="1:19" x14ac:dyDescent="0.3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 t="str">
        <f t="shared" si="20"/>
        <v>0-7 days</v>
      </c>
      <c r="L1332">
        <v>3</v>
      </c>
      <c r="M1332">
        <v>7</v>
      </c>
      <c r="N1332">
        <v>3</v>
      </c>
      <c r="O1332" t="s">
        <v>25</v>
      </c>
      <c r="P1332" t="s">
        <v>35</v>
      </c>
      <c r="Q1332">
        <v>13.3</v>
      </c>
      <c r="R1332">
        <v>34</v>
      </c>
      <c r="S1332" t="s">
        <v>36</v>
      </c>
    </row>
    <row r="1333" spans="1:19" x14ac:dyDescent="0.3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 t="str">
        <f t="shared" si="20"/>
        <v>31-60 days</v>
      </c>
      <c r="L1333">
        <v>42</v>
      </c>
      <c r="M1333">
        <v>2</v>
      </c>
      <c r="N1333">
        <v>0</v>
      </c>
      <c r="O1333" t="s">
        <v>54</v>
      </c>
      <c r="P1333" t="s">
        <v>55</v>
      </c>
      <c r="Q1333">
        <v>4</v>
      </c>
      <c r="R1333">
        <v>12</v>
      </c>
      <c r="S1333" t="s">
        <v>27</v>
      </c>
    </row>
    <row r="1334" spans="1:19" x14ac:dyDescent="0.3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 t="str">
        <f t="shared" si="20"/>
        <v>8-14 days</v>
      </c>
      <c r="L1334">
        <v>14</v>
      </c>
      <c r="M1334">
        <v>6</v>
      </c>
      <c r="N1334">
        <v>1</v>
      </c>
      <c r="O1334" t="s">
        <v>25</v>
      </c>
      <c r="P1334" t="s">
        <v>26</v>
      </c>
      <c r="Q1334">
        <v>26.8</v>
      </c>
      <c r="R1334">
        <v>31</v>
      </c>
      <c r="S1334" t="s">
        <v>36</v>
      </c>
    </row>
    <row r="1335" spans="1:19" x14ac:dyDescent="0.3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 t="str">
        <f t="shared" si="20"/>
        <v>0-7 days</v>
      </c>
      <c r="L1335">
        <v>5</v>
      </c>
      <c r="M1335">
        <v>3</v>
      </c>
      <c r="N1335">
        <v>1</v>
      </c>
      <c r="O1335" t="s">
        <v>25</v>
      </c>
      <c r="P1335" t="s">
        <v>35</v>
      </c>
      <c r="Q1335">
        <v>16.100000000000001</v>
      </c>
      <c r="R1335">
        <v>23</v>
      </c>
      <c r="S1335" t="s">
        <v>36</v>
      </c>
    </row>
    <row r="1336" spans="1:19" x14ac:dyDescent="0.3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 t="str">
        <f t="shared" si="20"/>
        <v>0-7 days</v>
      </c>
      <c r="L1336">
        <v>4</v>
      </c>
      <c r="M1336">
        <v>9</v>
      </c>
      <c r="N1336">
        <v>1</v>
      </c>
      <c r="O1336" t="s">
        <v>25</v>
      </c>
      <c r="P1336" t="s">
        <v>26</v>
      </c>
      <c r="Q1336">
        <v>7.6</v>
      </c>
      <c r="R1336">
        <v>30</v>
      </c>
      <c r="S1336" t="s">
        <v>27</v>
      </c>
    </row>
    <row r="1337" spans="1:19" x14ac:dyDescent="0.3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 t="str">
        <f t="shared" si="20"/>
        <v>8-14 days</v>
      </c>
      <c r="L1337">
        <v>11</v>
      </c>
      <c r="M1337">
        <v>3</v>
      </c>
      <c r="N1337">
        <v>0</v>
      </c>
      <c r="O1337" t="s">
        <v>25</v>
      </c>
      <c r="P1337" t="s">
        <v>35</v>
      </c>
      <c r="Q1337">
        <v>3.1</v>
      </c>
      <c r="R1337">
        <v>16</v>
      </c>
      <c r="S1337" t="s">
        <v>36</v>
      </c>
    </row>
    <row r="1338" spans="1:19" x14ac:dyDescent="0.3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 t="str">
        <f t="shared" si="20"/>
        <v>31-60 days</v>
      </c>
      <c r="L1338">
        <v>32</v>
      </c>
      <c r="M1338">
        <v>4</v>
      </c>
      <c r="N1338">
        <v>0</v>
      </c>
      <c r="O1338" t="s">
        <v>25</v>
      </c>
      <c r="P1338" t="s">
        <v>26</v>
      </c>
      <c r="Q1338">
        <v>3.3</v>
      </c>
      <c r="R1338">
        <v>27</v>
      </c>
      <c r="S1338" t="s">
        <v>27</v>
      </c>
    </row>
    <row r="1339" spans="1:19" x14ac:dyDescent="0.3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 t="str">
        <f t="shared" si="20"/>
        <v>0-7 days</v>
      </c>
      <c r="L1339">
        <v>4</v>
      </c>
      <c r="M1339">
        <v>2</v>
      </c>
      <c r="N1339">
        <v>1</v>
      </c>
      <c r="O1339" t="s">
        <v>25</v>
      </c>
      <c r="P1339" t="s">
        <v>26</v>
      </c>
      <c r="Q1339">
        <v>10.7</v>
      </c>
      <c r="R1339">
        <v>36</v>
      </c>
      <c r="S1339" t="s">
        <v>27</v>
      </c>
    </row>
    <row r="1340" spans="1:19" x14ac:dyDescent="0.3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 t="str">
        <f t="shared" si="20"/>
        <v>31-60 days</v>
      </c>
      <c r="L1340">
        <v>48</v>
      </c>
      <c r="M1340">
        <v>3</v>
      </c>
      <c r="N1340">
        <v>1</v>
      </c>
      <c r="O1340" t="s">
        <v>25</v>
      </c>
      <c r="P1340" t="s">
        <v>35</v>
      </c>
      <c r="Q1340">
        <v>8</v>
      </c>
      <c r="R1340">
        <v>33</v>
      </c>
      <c r="S1340" t="s">
        <v>27</v>
      </c>
    </row>
    <row r="1341" spans="1:19" x14ac:dyDescent="0.3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 t="str">
        <f t="shared" si="20"/>
        <v>31-60 days</v>
      </c>
      <c r="L1341">
        <v>36</v>
      </c>
      <c r="M1341">
        <v>4</v>
      </c>
      <c r="N1341">
        <v>1</v>
      </c>
      <c r="O1341" t="s">
        <v>54</v>
      </c>
      <c r="P1341" t="s">
        <v>55</v>
      </c>
      <c r="Q1341">
        <v>5.6</v>
      </c>
      <c r="R1341">
        <v>36</v>
      </c>
      <c r="S1341" t="s">
        <v>27</v>
      </c>
    </row>
    <row r="1342" spans="1:19" x14ac:dyDescent="0.3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 t="str">
        <f t="shared" si="20"/>
        <v>15-30 days</v>
      </c>
      <c r="L1342">
        <v>18</v>
      </c>
      <c r="M1342">
        <v>4</v>
      </c>
      <c r="N1342">
        <v>1</v>
      </c>
      <c r="O1342" t="s">
        <v>25</v>
      </c>
      <c r="P1342" t="s">
        <v>35</v>
      </c>
      <c r="Q1342">
        <v>10.4</v>
      </c>
      <c r="R1342">
        <v>58</v>
      </c>
      <c r="S1342" t="s">
        <v>36</v>
      </c>
    </row>
    <row r="1343" spans="1:19" x14ac:dyDescent="0.3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 t="str">
        <f t="shared" si="20"/>
        <v>31-60 days</v>
      </c>
      <c r="L1343">
        <v>60</v>
      </c>
      <c r="M1343">
        <v>3</v>
      </c>
      <c r="N1343">
        <v>0</v>
      </c>
      <c r="O1343" t="s">
        <v>25</v>
      </c>
      <c r="P1343" t="s">
        <v>26</v>
      </c>
      <c r="Q1343">
        <v>8.6999999999999993</v>
      </c>
      <c r="R1343">
        <v>19</v>
      </c>
      <c r="S1343" t="s">
        <v>27</v>
      </c>
    </row>
    <row r="1344" spans="1:19" x14ac:dyDescent="0.3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 t="str">
        <f t="shared" si="20"/>
        <v>31-60 days</v>
      </c>
      <c r="L1344">
        <v>40</v>
      </c>
      <c r="M1344">
        <v>2</v>
      </c>
      <c r="N1344">
        <v>0</v>
      </c>
      <c r="O1344" t="s">
        <v>25</v>
      </c>
      <c r="P1344" t="s">
        <v>50</v>
      </c>
      <c r="Q1344">
        <v>7.3</v>
      </c>
      <c r="R1344">
        <v>44</v>
      </c>
      <c r="S1344" t="s">
        <v>27</v>
      </c>
    </row>
    <row r="1345" spans="1:19" x14ac:dyDescent="0.3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 t="str">
        <f t="shared" si="20"/>
        <v>31-60 days</v>
      </c>
      <c r="L1345">
        <v>40</v>
      </c>
      <c r="M1345">
        <v>3</v>
      </c>
      <c r="N1345">
        <v>0</v>
      </c>
      <c r="O1345" t="s">
        <v>25</v>
      </c>
      <c r="P1345" t="s">
        <v>35</v>
      </c>
      <c r="Q1345">
        <v>3.5</v>
      </c>
      <c r="R1345">
        <v>27</v>
      </c>
      <c r="S1345" t="s">
        <v>36</v>
      </c>
    </row>
    <row r="1346" spans="1:19" x14ac:dyDescent="0.3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 t="str">
        <f t="shared" si="20"/>
        <v>8-14 days</v>
      </c>
      <c r="L1346">
        <v>10</v>
      </c>
      <c r="M1346">
        <v>1</v>
      </c>
      <c r="N1346">
        <v>0</v>
      </c>
      <c r="O1346" t="s">
        <v>25</v>
      </c>
      <c r="P1346" t="s">
        <v>26</v>
      </c>
      <c r="Q1346">
        <v>8.6999999999999993</v>
      </c>
      <c r="R1346">
        <v>20</v>
      </c>
      <c r="S1346" t="s">
        <v>36</v>
      </c>
    </row>
    <row r="1347" spans="1:19" x14ac:dyDescent="0.3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 t="str">
        <f t="shared" ref="K1347:K1410" si="21">IF(L1347&lt;=7,"0-7 days",IF(L1347&lt;=14,"8-14 days",IF(L1347&lt;=30,"15-30 days","31-60 days")))</f>
        <v>31-60 days</v>
      </c>
      <c r="L1347">
        <v>43</v>
      </c>
      <c r="M1347">
        <v>3</v>
      </c>
      <c r="N1347">
        <v>1</v>
      </c>
      <c r="O1347" t="s">
        <v>25</v>
      </c>
      <c r="P1347" t="s">
        <v>35</v>
      </c>
      <c r="Q1347">
        <v>20.100000000000001</v>
      </c>
      <c r="R1347">
        <v>24</v>
      </c>
      <c r="S1347" t="s">
        <v>36</v>
      </c>
    </row>
    <row r="1348" spans="1:19" x14ac:dyDescent="0.3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 t="str">
        <f t="shared" si="21"/>
        <v>31-60 days</v>
      </c>
      <c r="L1348">
        <v>34</v>
      </c>
      <c r="M1348">
        <v>4</v>
      </c>
      <c r="N1348">
        <v>1</v>
      </c>
      <c r="O1348" t="s">
        <v>54</v>
      </c>
      <c r="P1348" t="s">
        <v>55</v>
      </c>
      <c r="Q1348">
        <v>3.2</v>
      </c>
      <c r="R1348">
        <v>34</v>
      </c>
      <c r="S1348" t="s">
        <v>36</v>
      </c>
    </row>
    <row r="1349" spans="1:19" x14ac:dyDescent="0.3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 t="str">
        <f t="shared" si="21"/>
        <v>31-60 days</v>
      </c>
      <c r="L1349">
        <v>60</v>
      </c>
      <c r="M1349">
        <v>3</v>
      </c>
      <c r="N1349">
        <v>0</v>
      </c>
      <c r="O1349" t="s">
        <v>54</v>
      </c>
      <c r="P1349" t="s">
        <v>55</v>
      </c>
      <c r="Q1349">
        <v>19.2</v>
      </c>
      <c r="R1349">
        <v>20</v>
      </c>
      <c r="S1349" t="s">
        <v>27</v>
      </c>
    </row>
    <row r="1350" spans="1:19" x14ac:dyDescent="0.3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 t="str">
        <f t="shared" si="21"/>
        <v>15-30 days</v>
      </c>
      <c r="L1350">
        <v>29</v>
      </c>
      <c r="M1350">
        <v>3</v>
      </c>
      <c r="N1350">
        <v>0</v>
      </c>
      <c r="O1350" t="s">
        <v>25</v>
      </c>
      <c r="P1350" t="s">
        <v>35</v>
      </c>
      <c r="Q1350">
        <v>19.8</v>
      </c>
      <c r="R1350">
        <v>2</v>
      </c>
      <c r="S1350" t="s">
        <v>27</v>
      </c>
    </row>
    <row r="1351" spans="1:19" x14ac:dyDescent="0.3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 t="str">
        <f t="shared" si="21"/>
        <v>31-60 days</v>
      </c>
      <c r="L1351">
        <v>41</v>
      </c>
      <c r="M1351">
        <v>3</v>
      </c>
      <c r="N1351">
        <v>1</v>
      </c>
      <c r="O1351" t="s">
        <v>54</v>
      </c>
      <c r="P1351" t="s">
        <v>55</v>
      </c>
      <c r="Q1351">
        <v>10</v>
      </c>
      <c r="R1351">
        <v>33</v>
      </c>
      <c r="S1351" t="s">
        <v>36</v>
      </c>
    </row>
    <row r="1352" spans="1:19" x14ac:dyDescent="0.3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 t="str">
        <f t="shared" si="21"/>
        <v>15-30 days</v>
      </c>
      <c r="L1352">
        <v>20</v>
      </c>
      <c r="M1352">
        <v>6</v>
      </c>
      <c r="N1352">
        <v>0</v>
      </c>
      <c r="O1352" t="s">
        <v>25</v>
      </c>
      <c r="P1352" t="s">
        <v>50</v>
      </c>
      <c r="Q1352">
        <v>10</v>
      </c>
      <c r="R1352">
        <v>27</v>
      </c>
      <c r="S1352" t="s">
        <v>36</v>
      </c>
    </row>
    <row r="1353" spans="1:19" x14ac:dyDescent="0.3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 t="str">
        <f t="shared" si="21"/>
        <v>0-7 days</v>
      </c>
      <c r="L1353">
        <v>2</v>
      </c>
      <c r="M1353">
        <v>1</v>
      </c>
      <c r="N1353">
        <v>0</v>
      </c>
      <c r="O1353" t="s">
        <v>54</v>
      </c>
      <c r="P1353" t="s">
        <v>55</v>
      </c>
      <c r="Q1353">
        <v>9.1999999999999993</v>
      </c>
      <c r="R1353">
        <v>18</v>
      </c>
      <c r="S1353" t="s">
        <v>27</v>
      </c>
    </row>
    <row r="1354" spans="1:19" x14ac:dyDescent="0.3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 t="str">
        <f t="shared" si="21"/>
        <v>0-7 days</v>
      </c>
      <c r="L1354">
        <v>7</v>
      </c>
      <c r="M1354">
        <v>0</v>
      </c>
      <c r="N1354">
        <v>0</v>
      </c>
      <c r="O1354" t="s">
        <v>25</v>
      </c>
      <c r="P1354" t="s">
        <v>35</v>
      </c>
      <c r="Q1354">
        <v>11.4</v>
      </c>
      <c r="R1354">
        <v>10</v>
      </c>
      <c r="S1354" t="s">
        <v>71</v>
      </c>
    </row>
    <row r="1355" spans="1:19" x14ac:dyDescent="0.3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 t="str">
        <f t="shared" si="21"/>
        <v>31-60 days</v>
      </c>
      <c r="L1355">
        <v>52</v>
      </c>
      <c r="M1355">
        <v>5</v>
      </c>
      <c r="N1355">
        <v>1</v>
      </c>
      <c r="O1355" t="s">
        <v>25</v>
      </c>
      <c r="P1355" t="s">
        <v>50</v>
      </c>
      <c r="Q1355">
        <v>6.6</v>
      </c>
      <c r="R1355">
        <v>28</v>
      </c>
      <c r="S1355" t="s">
        <v>27</v>
      </c>
    </row>
    <row r="1356" spans="1:19" x14ac:dyDescent="0.3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 t="str">
        <f t="shared" si="21"/>
        <v>31-60 days</v>
      </c>
      <c r="L1356">
        <v>45</v>
      </c>
      <c r="M1356">
        <v>1</v>
      </c>
      <c r="N1356">
        <v>0</v>
      </c>
      <c r="O1356" t="s">
        <v>25</v>
      </c>
      <c r="P1356" t="s">
        <v>35</v>
      </c>
      <c r="Q1356">
        <v>13</v>
      </c>
      <c r="R1356">
        <v>38</v>
      </c>
      <c r="S1356" t="s">
        <v>27</v>
      </c>
    </row>
    <row r="1357" spans="1:19" x14ac:dyDescent="0.3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 t="str">
        <f t="shared" si="21"/>
        <v>15-30 days</v>
      </c>
      <c r="L1357">
        <v>22</v>
      </c>
      <c r="M1357">
        <v>3</v>
      </c>
      <c r="N1357">
        <v>2</v>
      </c>
      <c r="O1357" t="s">
        <v>54</v>
      </c>
      <c r="P1357" t="s">
        <v>55</v>
      </c>
      <c r="Q1357">
        <v>1.4</v>
      </c>
      <c r="R1357">
        <v>14</v>
      </c>
      <c r="S1357" t="s">
        <v>27</v>
      </c>
    </row>
    <row r="1358" spans="1:19" x14ac:dyDescent="0.3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 t="str">
        <f t="shared" si="21"/>
        <v>31-60 days</v>
      </c>
      <c r="L1358">
        <v>42</v>
      </c>
      <c r="M1358">
        <v>1</v>
      </c>
      <c r="N1358">
        <v>0</v>
      </c>
      <c r="O1358" t="s">
        <v>54</v>
      </c>
      <c r="P1358" t="s">
        <v>55</v>
      </c>
      <c r="Q1358">
        <v>32.1</v>
      </c>
      <c r="R1358">
        <v>27</v>
      </c>
      <c r="S1358" t="s">
        <v>36</v>
      </c>
    </row>
    <row r="1359" spans="1:19" x14ac:dyDescent="0.3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 t="str">
        <f t="shared" si="21"/>
        <v>0-7 days</v>
      </c>
      <c r="L1359">
        <v>0</v>
      </c>
      <c r="M1359">
        <v>2</v>
      </c>
      <c r="N1359">
        <v>0</v>
      </c>
      <c r="O1359" t="s">
        <v>25</v>
      </c>
      <c r="P1359" t="s">
        <v>35</v>
      </c>
      <c r="Q1359">
        <v>14.6</v>
      </c>
      <c r="R1359">
        <v>48</v>
      </c>
      <c r="S1359" t="s">
        <v>36</v>
      </c>
    </row>
    <row r="1360" spans="1:19" x14ac:dyDescent="0.3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 t="str">
        <f t="shared" si="21"/>
        <v>0-7 days</v>
      </c>
      <c r="L1360">
        <v>2</v>
      </c>
      <c r="M1360">
        <v>2</v>
      </c>
      <c r="N1360">
        <v>0</v>
      </c>
      <c r="O1360" t="s">
        <v>25</v>
      </c>
      <c r="P1360" t="s">
        <v>26</v>
      </c>
      <c r="Q1360">
        <v>10.5</v>
      </c>
      <c r="R1360">
        <v>34</v>
      </c>
      <c r="S1360" t="s">
        <v>27</v>
      </c>
    </row>
    <row r="1361" spans="1:19" x14ac:dyDescent="0.3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 t="str">
        <f t="shared" si="21"/>
        <v>15-30 days</v>
      </c>
      <c r="L1361">
        <v>30</v>
      </c>
      <c r="M1361">
        <v>2</v>
      </c>
      <c r="N1361">
        <v>1</v>
      </c>
      <c r="O1361" t="s">
        <v>54</v>
      </c>
      <c r="P1361" t="s">
        <v>55</v>
      </c>
      <c r="Q1361">
        <v>14.3</v>
      </c>
      <c r="R1361">
        <v>24</v>
      </c>
      <c r="S1361" t="s">
        <v>36</v>
      </c>
    </row>
    <row r="1362" spans="1:19" x14ac:dyDescent="0.3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 t="str">
        <f t="shared" si="21"/>
        <v>31-60 days</v>
      </c>
      <c r="L1362">
        <v>38</v>
      </c>
      <c r="M1362">
        <v>1</v>
      </c>
      <c r="N1362">
        <v>0</v>
      </c>
      <c r="O1362" t="s">
        <v>25</v>
      </c>
      <c r="P1362" t="s">
        <v>26</v>
      </c>
      <c r="Q1362">
        <v>9.3000000000000007</v>
      </c>
      <c r="R1362">
        <v>23</v>
      </c>
      <c r="S1362" t="s">
        <v>27</v>
      </c>
    </row>
    <row r="1363" spans="1:19" x14ac:dyDescent="0.3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 t="str">
        <f t="shared" si="21"/>
        <v>31-60 days</v>
      </c>
      <c r="L1363">
        <v>57</v>
      </c>
      <c r="M1363">
        <v>4</v>
      </c>
      <c r="N1363">
        <v>1</v>
      </c>
      <c r="O1363" t="s">
        <v>25</v>
      </c>
      <c r="P1363" t="s">
        <v>35</v>
      </c>
      <c r="Q1363">
        <v>13.6</v>
      </c>
      <c r="R1363">
        <v>19</v>
      </c>
      <c r="S1363" t="s">
        <v>27</v>
      </c>
    </row>
    <row r="1364" spans="1:19" x14ac:dyDescent="0.3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 t="str">
        <f t="shared" si="21"/>
        <v>31-60 days</v>
      </c>
      <c r="L1364">
        <v>46</v>
      </c>
      <c r="M1364">
        <v>4</v>
      </c>
      <c r="N1364">
        <v>1</v>
      </c>
      <c r="O1364" t="s">
        <v>54</v>
      </c>
      <c r="P1364" t="s">
        <v>55</v>
      </c>
      <c r="Q1364">
        <v>9.3000000000000007</v>
      </c>
      <c r="R1364">
        <v>25</v>
      </c>
      <c r="S1364" t="s">
        <v>71</v>
      </c>
    </row>
    <row r="1365" spans="1:19" x14ac:dyDescent="0.3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 t="str">
        <f t="shared" si="21"/>
        <v>15-30 days</v>
      </c>
      <c r="L1365">
        <v>15</v>
      </c>
      <c r="M1365">
        <v>2</v>
      </c>
      <c r="N1365">
        <v>0</v>
      </c>
      <c r="O1365" t="s">
        <v>25</v>
      </c>
      <c r="P1365" t="s">
        <v>26</v>
      </c>
      <c r="Q1365">
        <v>6.7</v>
      </c>
      <c r="R1365">
        <v>20</v>
      </c>
      <c r="S1365" t="s">
        <v>27</v>
      </c>
    </row>
    <row r="1366" spans="1:19" x14ac:dyDescent="0.3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 t="str">
        <f t="shared" si="21"/>
        <v>31-60 days</v>
      </c>
      <c r="L1366">
        <v>49</v>
      </c>
      <c r="M1366">
        <v>1</v>
      </c>
      <c r="N1366">
        <v>0</v>
      </c>
      <c r="O1366" t="s">
        <v>25</v>
      </c>
      <c r="P1366" t="s">
        <v>35</v>
      </c>
      <c r="Q1366">
        <v>12.1</v>
      </c>
      <c r="R1366">
        <v>21</v>
      </c>
      <c r="S1366" t="s">
        <v>27</v>
      </c>
    </row>
    <row r="1367" spans="1:19" x14ac:dyDescent="0.3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 t="str">
        <f t="shared" si="21"/>
        <v>15-30 days</v>
      </c>
      <c r="L1367">
        <v>29</v>
      </c>
      <c r="M1367">
        <v>3</v>
      </c>
      <c r="N1367">
        <v>0</v>
      </c>
      <c r="O1367" t="s">
        <v>25</v>
      </c>
      <c r="P1367" t="s">
        <v>50</v>
      </c>
      <c r="Q1367">
        <v>10.6</v>
      </c>
      <c r="R1367">
        <v>23</v>
      </c>
      <c r="S1367" t="s">
        <v>27</v>
      </c>
    </row>
    <row r="1368" spans="1:19" x14ac:dyDescent="0.3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 t="str">
        <f t="shared" si="21"/>
        <v>31-60 days</v>
      </c>
      <c r="L1368">
        <v>50</v>
      </c>
      <c r="M1368">
        <v>1</v>
      </c>
      <c r="N1368">
        <v>0</v>
      </c>
      <c r="O1368" t="s">
        <v>25</v>
      </c>
      <c r="P1368" t="s">
        <v>35</v>
      </c>
      <c r="Q1368">
        <v>12.8</v>
      </c>
      <c r="R1368">
        <v>6</v>
      </c>
      <c r="S1368" t="s">
        <v>36</v>
      </c>
    </row>
    <row r="1369" spans="1:19" x14ac:dyDescent="0.3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 t="str">
        <f t="shared" si="21"/>
        <v>8-14 days</v>
      </c>
      <c r="L1369">
        <v>10</v>
      </c>
      <c r="M1369">
        <v>1</v>
      </c>
      <c r="N1369">
        <v>0</v>
      </c>
      <c r="O1369" t="s">
        <v>25</v>
      </c>
      <c r="P1369" t="s">
        <v>26</v>
      </c>
      <c r="Q1369">
        <v>6</v>
      </c>
      <c r="R1369">
        <v>23</v>
      </c>
      <c r="S1369" t="s">
        <v>36</v>
      </c>
    </row>
    <row r="1370" spans="1:19" x14ac:dyDescent="0.3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 t="str">
        <f t="shared" si="21"/>
        <v>0-7 days</v>
      </c>
      <c r="L1370">
        <v>1</v>
      </c>
      <c r="M1370">
        <v>2</v>
      </c>
      <c r="N1370">
        <v>0</v>
      </c>
      <c r="O1370" t="s">
        <v>54</v>
      </c>
      <c r="P1370" t="s">
        <v>55</v>
      </c>
      <c r="Q1370">
        <v>1.9</v>
      </c>
      <c r="R1370">
        <v>54</v>
      </c>
      <c r="S1370" t="s">
        <v>36</v>
      </c>
    </row>
    <row r="1371" spans="1:19" x14ac:dyDescent="0.3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 t="str">
        <f t="shared" si="21"/>
        <v>0-7 days</v>
      </c>
      <c r="L1371">
        <v>3</v>
      </c>
      <c r="M1371">
        <v>2</v>
      </c>
      <c r="N1371">
        <v>2</v>
      </c>
      <c r="O1371" t="s">
        <v>54</v>
      </c>
      <c r="P1371" t="s">
        <v>55</v>
      </c>
      <c r="Q1371">
        <v>10.1</v>
      </c>
      <c r="R1371">
        <v>9</v>
      </c>
      <c r="S1371" t="s">
        <v>36</v>
      </c>
    </row>
    <row r="1372" spans="1:19" x14ac:dyDescent="0.3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 t="str">
        <f t="shared" si="21"/>
        <v>31-60 days</v>
      </c>
      <c r="L1372">
        <v>60</v>
      </c>
      <c r="M1372">
        <v>6</v>
      </c>
      <c r="N1372">
        <v>1</v>
      </c>
      <c r="O1372" t="s">
        <v>25</v>
      </c>
      <c r="P1372" t="s">
        <v>50</v>
      </c>
      <c r="Q1372">
        <v>14.1</v>
      </c>
      <c r="R1372">
        <v>41</v>
      </c>
      <c r="S1372" t="s">
        <v>36</v>
      </c>
    </row>
    <row r="1373" spans="1:19" x14ac:dyDescent="0.3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 t="str">
        <f t="shared" si="21"/>
        <v>0-7 days</v>
      </c>
      <c r="L1373">
        <v>4</v>
      </c>
      <c r="M1373">
        <v>8</v>
      </c>
      <c r="N1373">
        <v>2</v>
      </c>
      <c r="O1373" t="s">
        <v>54</v>
      </c>
      <c r="P1373" t="s">
        <v>55</v>
      </c>
      <c r="Q1373">
        <v>26.7</v>
      </c>
      <c r="R1373">
        <v>36</v>
      </c>
      <c r="S1373" t="s">
        <v>27</v>
      </c>
    </row>
    <row r="1374" spans="1:19" x14ac:dyDescent="0.3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 t="str">
        <f t="shared" si="21"/>
        <v>31-60 days</v>
      </c>
      <c r="L1374">
        <v>57</v>
      </c>
      <c r="M1374">
        <v>2</v>
      </c>
      <c r="N1374">
        <v>1</v>
      </c>
      <c r="O1374" t="s">
        <v>25</v>
      </c>
      <c r="P1374" t="s">
        <v>26</v>
      </c>
      <c r="Q1374">
        <v>11.9</v>
      </c>
      <c r="R1374">
        <v>32</v>
      </c>
      <c r="S1374" t="s">
        <v>27</v>
      </c>
    </row>
    <row r="1375" spans="1:19" x14ac:dyDescent="0.3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 t="str">
        <f t="shared" si="21"/>
        <v>31-60 days</v>
      </c>
      <c r="L1375">
        <v>44</v>
      </c>
      <c r="M1375">
        <v>3</v>
      </c>
      <c r="N1375">
        <v>0</v>
      </c>
      <c r="O1375" t="s">
        <v>25</v>
      </c>
      <c r="P1375" t="s">
        <v>26</v>
      </c>
      <c r="Q1375">
        <v>4.5</v>
      </c>
      <c r="R1375">
        <v>19</v>
      </c>
      <c r="S1375" t="s">
        <v>27</v>
      </c>
    </row>
    <row r="1376" spans="1:19" x14ac:dyDescent="0.3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 t="str">
        <f t="shared" si="21"/>
        <v>8-14 days</v>
      </c>
      <c r="L1376">
        <v>8</v>
      </c>
      <c r="M1376">
        <v>2</v>
      </c>
      <c r="N1376">
        <v>0</v>
      </c>
      <c r="O1376" t="s">
        <v>25</v>
      </c>
      <c r="P1376" t="s">
        <v>26</v>
      </c>
      <c r="Q1376">
        <v>18.600000000000001</v>
      </c>
      <c r="R1376">
        <v>35</v>
      </c>
      <c r="S1376" t="s">
        <v>27</v>
      </c>
    </row>
    <row r="1377" spans="1:19" x14ac:dyDescent="0.3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 t="str">
        <f t="shared" si="21"/>
        <v>31-60 days</v>
      </c>
      <c r="L1377">
        <v>52</v>
      </c>
      <c r="M1377">
        <v>7</v>
      </c>
      <c r="N1377">
        <v>2</v>
      </c>
      <c r="O1377" t="s">
        <v>25</v>
      </c>
      <c r="P1377" t="s">
        <v>35</v>
      </c>
      <c r="Q1377">
        <v>9.6</v>
      </c>
      <c r="R1377">
        <v>45</v>
      </c>
      <c r="S1377" t="s">
        <v>27</v>
      </c>
    </row>
    <row r="1378" spans="1:19" x14ac:dyDescent="0.3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 t="str">
        <f t="shared" si="21"/>
        <v>8-14 days</v>
      </c>
      <c r="L1378">
        <v>8</v>
      </c>
      <c r="M1378">
        <v>2</v>
      </c>
      <c r="N1378">
        <v>0</v>
      </c>
      <c r="O1378" t="s">
        <v>25</v>
      </c>
      <c r="P1378" t="s">
        <v>50</v>
      </c>
      <c r="Q1378">
        <v>18.7</v>
      </c>
      <c r="R1378">
        <v>37</v>
      </c>
      <c r="S1378" t="s">
        <v>36</v>
      </c>
    </row>
    <row r="1379" spans="1:19" x14ac:dyDescent="0.3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 t="str">
        <f t="shared" si="21"/>
        <v>8-14 days</v>
      </c>
      <c r="L1379">
        <v>8</v>
      </c>
      <c r="M1379">
        <v>6</v>
      </c>
      <c r="N1379">
        <v>2</v>
      </c>
      <c r="O1379" t="s">
        <v>25</v>
      </c>
      <c r="P1379" t="s">
        <v>35</v>
      </c>
      <c r="Q1379">
        <v>5.8</v>
      </c>
      <c r="R1379">
        <v>28</v>
      </c>
      <c r="S1379" t="s">
        <v>36</v>
      </c>
    </row>
    <row r="1380" spans="1:19" x14ac:dyDescent="0.3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 t="str">
        <f t="shared" si="21"/>
        <v>31-60 days</v>
      </c>
      <c r="L1380">
        <v>35</v>
      </c>
      <c r="M1380">
        <v>0</v>
      </c>
      <c r="N1380">
        <v>0</v>
      </c>
      <c r="O1380" t="s">
        <v>54</v>
      </c>
      <c r="P1380" t="s">
        <v>55</v>
      </c>
      <c r="Q1380">
        <v>8.1999999999999993</v>
      </c>
      <c r="R1380">
        <v>25</v>
      </c>
      <c r="S1380" t="s">
        <v>27</v>
      </c>
    </row>
    <row r="1381" spans="1:19" x14ac:dyDescent="0.3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 t="str">
        <f t="shared" si="21"/>
        <v>15-30 days</v>
      </c>
      <c r="L1381">
        <v>17</v>
      </c>
      <c r="M1381">
        <v>3</v>
      </c>
      <c r="N1381">
        <v>2</v>
      </c>
      <c r="O1381" t="s">
        <v>25</v>
      </c>
      <c r="P1381" t="s">
        <v>35</v>
      </c>
      <c r="Q1381">
        <v>14.8</v>
      </c>
      <c r="R1381">
        <v>18</v>
      </c>
      <c r="S1381" t="s">
        <v>36</v>
      </c>
    </row>
    <row r="1382" spans="1:19" x14ac:dyDescent="0.3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 t="str">
        <f t="shared" si="21"/>
        <v>15-30 days</v>
      </c>
      <c r="L1382">
        <v>17</v>
      </c>
      <c r="M1382">
        <v>1</v>
      </c>
      <c r="N1382">
        <v>0</v>
      </c>
      <c r="O1382" t="s">
        <v>25</v>
      </c>
      <c r="P1382" t="s">
        <v>35</v>
      </c>
      <c r="Q1382">
        <v>16</v>
      </c>
      <c r="R1382">
        <v>26</v>
      </c>
      <c r="S1382" t="s">
        <v>27</v>
      </c>
    </row>
    <row r="1383" spans="1:19" x14ac:dyDescent="0.3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 t="str">
        <f t="shared" si="21"/>
        <v>8-14 days</v>
      </c>
      <c r="L1383">
        <v>11</v>
      </c>
      <c r="M1383">
        <v>2</v>
      </c>
      <c r="N1383">
        <v>1</v>
      </c>
      <c r="O1383" t="s">
        <v>54</v>
      </c>
      <c r="P1383" t="s">
        <v>55</v>
      </c>
      <c r="Q1383">
        <v>11.2</v>
      </c>
      <c r="R1383">
        <v>31</v>
      </c>
      <c r="S1383" t="s">
        <v>36</v>
      </c>
    </row>
    <row r="1384" spans="1:19" x14ac:dyDescent="0.3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 t="str">
        <f t="shared" si="21"/>
        <v>31-60 days</v>
      </c>
      <c r="L1384">
        <v>37</v>
      </c>
      <c r="M1384">
        <v>3</v>
      </c>
      <c r="N1384">
        <v>0</v>
      </c>
      <c r="O1384" t="s">
        <v>25</v>
      </c>
      <c r="P1384" t="s">
        <v>26</v>
      </c>
      <c r="Q1384">
        <v>12.6</v>
      </c>
      <c r="S1384" t="s">
        <v>27</v>
      </c>
    </row>
    <row r="1385" spans="1:19" x14ac:dyDescent="0.3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 t="str">
        <f t="shared" si="21"/>
        <v>0-7 days</v>
      </c>
      <c r="L1385">
        <v>1</v>
      </c>
      <c r="M1385">
        <v>3</v>
      </c>
      <c r="N1385">
        <v>0</v>
      </c>
      <c r="O1385" t="s">
        <v>25</v>
      </c>
      <c r="P1385" t="s">
        <v>35</v>
      </c>
      <c r="Q1385">
        <v>15.7</v>
      </c>
      <c r="R1385">
        <v>24</v>
      </c>
      <c r="S1385" t="s">
        <v>36</v>
      </c>
    </row>
    <row r="1386" spans="1:19" x14ac:dyDescent="0.3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 t="str">
        <f t="shared" si="21"/>
        <v>8-14 days</v>
      </c>
      <c r="L1386">
        <v>14</v>
      </c>
      <c r="M1386">
        <v>4</v>
      </c>
      <c r="N1386">
        <v>0</v>
      </c>
      <c r="O1386" t="s">
        <v>25</v>
      </c>
      <c r="P1386" t="s">
        <v>35</v>
      </c>
      <c r="Q1386">
        <v>8.8000000000000007</v>
      </c>
      <c r="R1386">
        <v>24</v>
      </c>
      <c r="S1386" t="s">
        <v>36</v>
      </c>
    </row>
    <row r="1387" spans="1:19" x14ac:dyDescent="0.3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 t="str">
        <f t="shared" si="21"/>
        <v>31-60 days</v>
      </c>
      <c r="L1387">
        <v>33</v>
      </c>
      <c r="M1387">
        <v>4</v>
      </c>
      <c r="N1387">
        <v>1</v>
      </c>
      <c r="O1387" t="s">
        <v>25</v>
      </c>
      <c r="P1387" t="s">
        <v>35</v>
      </c>
      <c r="Q1387">
        <v>9.6999999999999993</v>
      </c>
      <c r="R1387">
        <v>45</v>
      </c>
      <c r="S1387" t="s">
        <v>27</v>
      </c>
    </row>
    <row r="1388" spans="1:19" x14ac:dyDescent="0.3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 t="str">
        <f t="shared" si="21"/>
        <v>15-30 days</v>
      </c>
      <c r="L1388">
        <v>29</v>
      </c>
      <c r="M1388">
        <v>1</v>
      </c>
      <c r="N1388">
        <v>0</v>
      </c>
      <c r="O1388" t="s">
        <v>25</v>
      </c>
      <c r="P1388" t="s">
        <v>50</v>
      </c>
      <c r="Q1388">
        <v>26.3</v>
      </c>
      <c r="R1388">
        <v>27</v>
      </c>
      <c r="S1388" t="s">
        <v>71</v>
      </c>
    </row>
    <row r="1389" spans="1:19" x14ac:dyDescent="0.3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 t="str">
        <f t="shared" si="21"/>
        <v>31-60 days</v>
      </c>
      <c r="L1389">
        <v>42</v>
      </c>
      <c r="M1389">
        <v>3</v>
      </c>
      <c r="N1389">
        <v>0</v>
      </c>
      <c r="O1389" t="s">
        <v>25</v>
      </c>
      <c r="P1389" t="s">
        <v>50</v>
      </c>
      <c r="Q1389">
        <v>5.9</v>
      </c>
      <c r="R1389">
        <v>27</v>
      </c>
      <c r="S1389" t="s">
        <v>27</v>
      </c>
    </row>
    <row r="1390" spans="1:19" x14ac:dyDescent="0.3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 t="str">
        <f t="shared" si="21"/>
        <v>8-14 days</v>
      </c>
      <c r="L1390">
        <v>13</v>
      </c>
      <c r="M1390">
        <v>2</v>
      </c>
      <c r="N1390">
        <v>0</v>
      </c>
      <c r="O1390" t="s">
        <v>25</v>
      </c>
      <c r="P1390" t="s">
        <v>35</v>
      </c>
      <c r="Q1390">
        <v>2.7</v>
      </c>
      <c r="R1390">
        <v>2</v>
      </c>
      <c r="S1390" t="s">
        <v>36</v>
      </c>
    </row>
    <row r="1391" spans="1:19" x14ac:dyDescent="0.3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 t="str">
        <f t="shared" si="21"/>
        <v>31-60 days</v>
      </c>
      <c r="L1391">
        <v>39</v>
      </c>
      <c r="M1391">
        <v>1</v>
      </c>
      <c r="N1391">
        <v>0</v>
      </c>
      <c r="O1391" t="s">
        <v>25</v>
      </c>
      <c r="P1391" t="s">
        <v>50</v>
      </c>
      <c r="Q1391">
        <v>9.6999999999999993</v>
      </c>
      <c r="R1391">
        <v>36</v>
      </c>
      <c r="S1391" t="s">
        <v>27</v>
      </c>
    </row>
    <row r="1392" spans="1:19" x14ac:dyDescent="0.3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 t="str">
        <f t="shared" si="21"/>
        <v>31-60 days</v>
      </c>
      <c r="L1392">
        <v>46</v>
      </c>
      <c r="M1392">
        <v>3</v>
      </c>
      <c r="N1392">
        <v>0</v>
      </c>
      <c r="O1392" t="s">
        <v>25</v>
      </c>
      <c r="P1392" t="s">
        <v>26</v>
      </c>
      <c r="Q1392">
        <v>9.6</v>
      </c>
      <c r="R1392">
        <v>32</v>
      </c>
      <c r="S1392" t="s">
        <v>36</v>
      </c>
    </row>
    <row r="1393" spans="1:19" x14ac:dyDescent="0.3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 t="str">
        <f t="shared" si="21"/>
        <v>15-30 days</v>
      </c>
      <c r="L1393">
        <v>23</v>
      </c>
      <c r="M1393">
        <v>1</v>
      </c>
      <c r="N1393">
        <v>0</v>
      </c>
      <c r="O1393" t="s">
        <v>25</v>
      </c>
      <c r="P1393" t="s">
        <v>35</v>
      </c>
      <c r="Q1393">
        <v>3.5</v>
      </c>
      <c r="R1393">
        <v>31</v>
      </c>
      <c r="S1393" t="s">
        <v>36</v>
      </c>
    </row>
    <row r="1394" spans="1:19" x14ac:dyDescent="0.3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 t="str">
        <f t="shared" si="21"/>
        <v>15-30 days</v>
      </c>
      <c r="L1394">
        <v>15</v>
      </c>
      <c r="M1394">
        <v>5</v>
      </c>
      <c r="N1394">
        <v>2</v>
      </c>
      <c r="O1394" t="s">
        <v>25</v>
      </c>
      <c r="P1394" t="s">
        <v>26</v>
      </c>
      <c r="Q1394">
        <v>9.1999999999999993</v>
      </c>
      <c r="R1394">
        <v>32</v>
      </c>
      <c r="S1394" t="s">
        <v>36</v>
      </c>
    </row>
    <row r="1395" spans="1:19" x14ac:dyDescent="0.3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 t="str">
        <f t="shared" si="21"/>
        <v>31-60 days</v>
      </c>
      <c r="L1395">
        <v>33</v>
      </c>
      <c r="M1395">
        <v>4</v>
      </c>
      <c r="N1395">
        <v>1</v>
      </c>
      <c r="O1395" t="s">
        <v>25</v>
      </c>
      <c r="P1395" t="s">
        <v>26</v>
      </c>
      <c r="Q1395">
        <v>2.8</v>
      </c>
      <c r="R1395">
        <v>15</v>
      </c>
      <c r="S1395" t="s">
        <v>27</v>
      </c>
    </row>
    <row r="1396" spans="1:19" x14ac:dyDescent="0.3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 t="str">
        <f t="shared" si="21"/>
        <v>31-60 days</v>
      </c>
      <c r="L1396">
        <v>35</v>
      </c>
      <c r="M1396">
        <v>3</v>
      </c>
      <c r="N1396">
        <v>0</v>
      </c>
      <c r="O1396" t="s">
        <v>25</v>
      </c>
      <c r="P1396" t="s">
        <v>26</v>
      </c>
      <c r="Q1396">
        <v>5.6</v>
      </c>
      <c r="R1396">
        <v>22</v>
      </c>
      <c r="S1396" t="s">
        <v>27</v>
      </c>
    </row>
    <row r="1397" spans="1:19" x14ac:dyDescent="0.3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 t="str">
        <f t="shared" si="21"/>
        <v>0-7 days</v>
      </c>
      <c r="L1397">
        <v>5</v>
      </c>
      <c r="M1397">
        <v>5</v>
      </c>
      <c r="N1397">
        <v>2</v>
      </c>
      <c r="O1397" t="s">
        <v>54</v>
      </c>
      <c r="P1397" t="s">
        <v>55</v>
      </c>
      <c r="Q1397">
        <v>11.8</v>
      </c>
      <c r="R1397">
        <v>45</v>
      </c>
      <c r="S1397" t="s">
        <v>27</v>
      </c>
    </row>
    <row r="1398" spans="1:19" x14ac:dyDescent="0.3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 t="str">
        <f t="shared" si="21"/>
        <v>31-60 days</v>
      </c>
      <c r="L1398">
        <v>34</v>
      </c>
      <c r="M1398">
        <v>4</v>
      </c>
      <c r="N1398">
        <v>2</v>
      </c>
      <c r="O1398" t="s">
        <v>54</v>
      </c>
      <c r="P1398" t="s">
        <v>55</v>
      </c>
      <c r="Q1398">
        <v>2.9</v>
      </c>
      <c r="R1398">
        <v>10</v>
      </c>
      <c r="S1398" t="s">
        <v>27</v>
      </c>
    </row>
    <row r="1399" spans="1:19" x14ac:dyDescent="0.3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 t="str">
        <f t="shared" si="21"/>
        <v>8-14 days</v>
      </c>
      <c r="L1399">
        <v>9</v>
      </c>
      <c r="M1399">
        <v>3</v>
      </c>
      <c r="N1399">
        <v>0</v>
      </c>
      <c r="O1399" t="s">
        <v>25</v>
      </c>
      <c r="P1399" t="s">
        <v>26</v>
      </c>
      <c r="Q1399">
        <v>7.5</v>
      </c>
      <c r="R1399">
        <v>10</v>
      </c>
      <c r="S1399" t="s">
        <v>27</v>
      </c>
    </row>
    <row r="1400" spans="1:19" x14ac:dyDescent="0.3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 t="str">
        <f t="shared" si="21"/>
        <v>31-60 days</v>
      </c>
      <c r="L1400">
        <v>34</v>
      </c>
      <c r="M1400">
        <v>3</v>
      </c>
      <c r="N1400">
        <v>0</v>
      </c>
      <c r="O1400" t="s">
        <v>25</v>
      </c>
      <c r="P1400" t="s">
        <v>35</v>
      </c>
      <c r="Q1400">
        <v>1.4</v>
      </c>
      <c r="R1400">
        <v>9</v>
      </c>
      <c r="S1400" t="s">
        <v>27</v>
      </c>
    </row>
    <row r="1401" spans="1:19" x14ac:dyDescent="0.3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 t="str">
        <f t="shared" si="21"/>
        <v>31-60 days</v>
      </c>
      <c r="L1401">
        <v>56</v>
      </c>
      <c r="M1401">
        <v>6</v>
      </c>
      <c r="N1401">
        <v>0</v>
      </c>
      <c r="O1401" t="s">
        <v>54</v>
      </c>
      <c r="P1401" t="s">
        <v>55</v>
      </c>
      <c r="Q1401">
        <v>6</v>
      </c>
      <c r="R1401">
        <v>23</v>
      </c>
      <c r="S1401" t="s">
        <v>27</v>
      </c>
    </row>
    <row r="1402" spans="1:19" x14ac:dyDescent="0.3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 t="str">
        <f t="shared" si="21"/>
        <v>31-60 days</v>
      </c>
      <c r="L1402">
        <v>32</v>
      </c>
      <c r="M1402">
        <v>1</v>
      </c>
      <c r="N1402">
        <v>0</v>
      </c>
      <c r="O1402" t="s">
        <v>25</v>
      </c>
      <c r="P1402" t="s">
        <v>35</v>
      </c>
      <c r="Q1402">
        <v>18.5</v>
      </c>
      <c r="R1402">
        <v>43</v>
      </c>
      <c r="S1402" t="s">
        <v>36</v>
      </c>
    </row>
    <row r="1403" spans="1:19" x14ac:dyDescent="0.3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 t="str">
        <f t="shared" si="21"/>
        <v>31-60 days</v>
      </c>
      <c r="L1403">
        <v>46</v>
      </c>
      <c r="M1403">
        <v>3</v>
      </c>
      <c r="N1403">
        <v>2</v>
      </c>
      <c r="O1403" t="s">
        <v>25</v>
      </c>
      <c r="P1403" t="s">
        <v>35</v>
      </c>
      <c r="Q1403">
        <v>33.799999999999997</v>
      </c>
      <c r="R1403">
        <v>28</v>
      </c>
      <c r="S1403" t="s">
        <v>27</v>
      </c>
    </row>
    <row r="1404" spans="1:19" x14ac:dyDescent="0.3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 t="str">
        <f t="shared" si="21"/>
        <v>15-30 days</v>
      </c>
      <c r="L1404">
        <v>18</v>
      </c>
      <c r="M1404">
        <v>2</v>
      </c>
      <c r="N1404">
        <v>0</v>
      </c>
      <c r="O1404" t="s">
        <v>25</v>
      </c>
      <c r="P1404" t="s">
        <v>35</v>
      </c>
      <c r="Q1404">
        <v>8</v>
      </c>
      <c r="R1404">
        <v>37</v>
      </c>
      <c r="S1404" t="s">
        <v>27</v>
      </c>
    </row>
    <row r="1405" spans="1:19" x14ac:dyDescent="0.3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 t="str">
        <f t="shared" si="21"/>
        <v>31-60 days</v>
      </c>
      <c r="L1405">
        <v>56</v>
      </c>
      <c r="M1405">
        <v>2</v>
      </c>
      <c r="N1405">
        <v>0</v>
      </c>
      <c r="O1405" t="s">
        <v>25</v>
      </c>
      <c r="P1405" t="s">
        <v>35</v>
      </c>
      <c r="Q1405">
        <v>11.5</v>
      </c>
      <c r="R1405">
        <v>3</v>
      </c>
      <c r="S1405" t="s">
        <v>27</v>
      </c>
    </row>
    <row r="1406" spans="1:19" x14ac:dyDescent="0.3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 t="str">
        <f t="shared" si="21"/>
        <v>31-60 days</v>
      </c>
      <c r="L1406">
        <v>49</v>
      </c>
      <c r="M1406">
        <v>1</v>
      </c>
      <c r="N1406">
        <v>0</v>
      </c>
      <c r="O1406" t="s">
        <v>25</v>
      </c>
      <c r="P1406" t="s">
        <v>26</v>
      </c>
      <c r="Q1406">
        <v>3.6</v>
      </c>
      <c r="R1406">
        <v>16</v>
      </c>
      <c r="S1406" t="s">
        <v>27</v>
      </c>
    </row>
    <row r="1407" spans="1:19" x14ac:dyDescent="0.3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 t="str">
        <f t="shared" si="21"/>
        <v>31-60 days</v>
      </c>
      <c r="L1407">
        <v>55</v>
      </c>
      <c r="M1407">
        <v>4</v>
      </c>
      <c r="N1407">
        <v>1</v>
      </c>
      <c r="O1407" t="s">
        <v>54</v>
      </c>
      <c r="P1407" t="s">
        <v>55</v>
      </c>
      <c r="Q1407">
        <v>11</v>
      </c>
      <c r="R1407">
        <v>18</v>
      </c>
      <c r="S1407" t="s">
        <v>36</v>
      </c>
    </row>
    <row r="1408" spans="1:19" x14ac:dyDescent="0.3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 t="str">
        <f t="shared" si="21"/>
        <v>31-60 days</v>
      </c>
      <c r="L1408">
        <v>45</v>
      </c>
      <c r="M1408">
        <v>1</v>
      </c>
      <c r="N1408">
        <v>1</v>
      </c>
      <c r="O1408" t="s">
        <v>25</v>
      </c>
      <c r="P1408" t="s">
        <v>35</v>
      </c>
      <c r="Q1408">
        <v>20.6</v>
      </c>
      <c r="R1408">
        <v>43</v>
      </c>
      <c r="S1408" t="s">
        <v>27</v>
      </c>
    </row>
    <row r="1409" spans="1:19" x14ac:dyDescent="0.3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 t="str">
        <f t="shared" si="21"/>
        <v>31-60 days</v>
      </c>
      <c r="L1409">
        <v>39</v>
      </c>
      <c r="M1409">
        <v>4</v>
      </c>
      <c r="N1409">
        <v>1</v>
      </c>
      <c r="O1409" t="s">
        <v>25</v>
      </c>
      <c r="P1409" t="s">
        <v>26</v>
      </c>
      <c r="Q1409">
        <v>9.1999999999999993</v>
      </c>
      <c r="R1409">
        <v>27</v>
      </c>
      <c r="S1409" t="s">
        <v>36</v>
      </c>
    </row>
    <row r="1410" spans="1:19" x14ac:dyDescent="0.3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 t="str">
        <f t="shared" si="21"/>
        <v>31-60 days</v>
      </c>
      <c r="L1410">
        <v>32</v>
      </c>
      <c r="M1410">
        <v>3</v>
      </c>
      <c r="N1410">
        <v>2</v>
      </c>
      <c r="O1410" t="s">
        <v>25</v>
      </c>
      <c r="P1410" t="s">
        <v>26</v>
      </c>
      <c r="Q1410">
        <v>17.100000000000001</v>
      </c>
      <c r="R1410">
        <v>25</v>
      </c>
      <c r="S1410" t="s">
        <v>36</v>
      </c>
    </row>
    <row r="1411" spans="1:19" x14ac:dyDescent="0.3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 t="str">
        <f t="shared" ref="K1411:K1474" si="22">IF(L1411&lt;=7,"0-7 days",IF(L1411&lt;=14,"8-14 days",IF(L1411&lt;=30,"15-30 days","31-60 days")))</f>
        <v>31-60 days</v>
      </c>
      <c r="L1411">
        <v>56</v>
      </c>
      <c r="M1411">
        <v>4</v>
      </c>
      <c r="N1411">
        <v>1</v>
      </c>
      <c r="O1411" t="s">
        <v>25</v>
      </c>
      <c r="P1411" t="s">
        <v>35</v>
      </c>
      <c r="Q1411">
        <v>5.6</v>
      </c>
      <c r="R1411">
        <v>27</v>
      </c>
      <c r="S1411" t="s">
        <v>36</v>
      </c>
    </row>
    <row r="1412" spans="1:19" x14ac:dyDescent="0.3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 t="str">
        <f t="shared" si="22"/>
        <v>31-60 days</v>
      </c>
      <c r="L1412">
        <v>51</v>
      </c>
      <c r="M1412">
        <v>2</v>
      </c>
      <c r="N1412">
        <v>0</v>
      </c>
      <c r="O1412" t="s">
        <v>25</v>
      </c>
      <c r="P1412" t="s">
        <v>35</v>
      </c>
      <c r="Q1412">
        <v>2</v>
      </c>
      <c r="R1412">
        <v>23</v>
      </c>
      <c r="S1412" t="s">
        <v>36</v>
      </c>
    </row>
    <row r="1413" spans="1:19" x14ac:dyDescent="0.3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 t="str">
        <f t="shared" si="22"/>
        <v>15-30 days</v>
      </c>
      <c r="L1413">
        <v>25</v>
      </c>
      <c r="M1413">
        <v>1</v>
      </c>
      <c r="N1413">
        <v>1</v>
      </c>
      <c r="O1413" t="s">
        <v>25</v>
      </c>
      <c r="P1413" t="s">
        <v>26</v>
      </c>
      <c r="Q1413">
        <v>6.9</v>
      </c>
      <c r="R1413">
        <v>47</v>
      </c>
      <c r="S1413" t="s">
        <v>27</v>
      </c>
    </row>
    <row r="1414" spans="1:19" x14ac:dyDescent="0.3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 t="str">
        <f t="shared" si="22"/>
        <v>0-7 days</v>
      </c>
      <c r="L1414">
        <v>5</v>
      </c>
      <c r="M1414">
        <v>1</v>
      </c>
      <c r="N1414">
        <v>0</v>
      </c>
      <c r="O1414" t="s">
        <v>25</v>
      </c>
      <c r="P1414" t="s">
        <v>26</v>
      </c>
      <c r="Q1414">
        <v>5.5</v>
      </c>
      <c r="R1414">
        <v>47</v>
      </c>
      <c r="S1414" t="s">
        <v>36</v>
      </c>
    </row>
    <row r="1415" spans="1:19" x14ac:dyDescent="0.3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 t="str">
        <f t="shared" si="22"/>
        <v>0-7 days</v>
      </c>
      <c r="L1415">
        <v>0</v>
      </c>
      <c r="M1415">
        <v>3</v>
      </c>
      <c r="N1415">
        <v>2</v>
      </c>
      <c r="O1415" t="s">
        <v>54</v>
      </c>
      <c r="P1415" t="s">
        <v>55</v>
      </c>
      <c r="Q1415">
        <v>16.399999999999999</v>
      </c>
      <c r="R1415">
        <v>37</v>
      </c>
      <c r="S1415" t="s">
        <v>27</v>
      </c>
    </row>
    <row r="1416" spans="1:19" x14ac:dyDescent="0.3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 t="str">
        <f t="shared" si="22"/>
        <v>8-14 days</v>
      </c>
      <c r="L1416">
        <v>14</v>
      </c>
      <c r="M1416">
        <v>3</v>
      </c>
      <c r="N1416">
        <v>0</v>
      </c>
      <c r="O1416" t="s">
        <v>54</v>
      </c>
      <c r="P1416" t="s">
        <v>55</v>
      </c>
      <c r="R1416">
        <v>36</v>
      </c>
      <c r="S1416" t="s">
        <v>36</v>
      </c>
    </row>
    <row r="1417" spans="1:19" x14ac:dyDescent="0.3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 t="str">
        <f t="shared" si="22"/>
        <v>0-7 days</v>
      </c>
      <c r="L1417">
        <v>3</v>
      </c>
      <c r="M1417">
        <v>4</v>
      </c>
      <c r="N1417">
        <v>0</v>
      </c>
      <c r="O1417" t="s">
        <v>54</v>
      </c>
      <c r="P1417" t="s">
        <v>55</v>
      </c>
      <c r="Q1417">
        <v>3.4</v>
      </c>
      <c r="R1417">
        <v>20</v>
      </c>
      <c r="S1417" t="s">
        <v>36</v>
      </c>
    </row>
    <row r="1418" spans="1:19" x14ac:dyDescent="0.3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 t="str">
        <f t="shared" si="22"/>
        <v>8-14 days</v>
      </c>
      <c r="L1418">
        <v>12</v>
      </c>
      <c r="M1418">
        <v>1</v>
      </c>
      <c r="N1418">
        <v>0</v>
      </c>
      <c r="O1418" t="s">
        <v>25</v>
      </c>
      <c r="P1418" t="s">
        <v>35</v>
      </c>
      <c r="Q1418">
        <v>12.2</v>
      </c>
      <c r="R1418">
        <v>30</v>
      </c>
      <c r="S1418" t="s">
        <v>27</v>
      </c>
    </row>
    <row r="1419" spans="1:19" x14ac:dyDescent="0.3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 t="str">
        <f t="shared" si="22"/>
        <v>0-7 days</v>
      </c>
      <c r="L1419">
        <v>6</v>
      </c>
      <c r="M1419">
        <v>4</v>
      </c>
      <c r="N1419">
        <v>2</v>
      </c>
      <c r="O1419" t="s">
        <v>54</v>
      </c>
      <c r="P1419" t="s">
        <v>55</v>
      </c>
      <c r="Q1419">
        <v>14.5</v>
      </c>
      <c r="R1419">
        <v>3</v>
      </c>
      <c r="S1419" t="s">
        <v>27</v>
      </c>
    </row>
    <row r="1420" spans="1:19" x14ac:dyDescent="0.3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 t="str">
        <f t="shared" si="22"/>
        <v>31-60 days</v>
      </c>
      <c r="L1420">
        <v>59</v>
      </c>
      <c r="M1420">
        <v>2</v>
      </c>
      <c r="N1420">
        <v>0</v>
      </c>
      <c r="O1420" t="s">
        <v>25</v>
      </c>
      <c r="P1420" t="s">
        <v>35</v>
      </c>
      <c r="Q1420">
        <v>6.2</v>
      </c>
      <c r="R1420">
        <v>20</v>
      </c>
      <c r="S1420" t="s">
        <v>36</v>
      </c>
    </row>
    <row r="1421" spans="1:19" x14ac:dyDescent="0.3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 t="str">
        <f t="shared" si="22"/>
        <v>0-7 days</v>
      </c>
      <c r="L1421">
        <v>5</v>
      </c>
      <c r="M1421">
        <v>1</v>
      </c>
      <c r="N1421">
        <v>0</v>
      </c>
      <c r="O1421" t="s">
        <v>25</v>
      </c>
      <c r="P1421" t="s">
        <v>35</v>
      </c>
      <c r="Q1421">
        <v>9.6999999999999993</v>
      </c>
      <c r="R1421">
        <v>8</v>
      </c>
      <c r="S1421" t="s">
        <v>36</v>
      </c>
    </row>
    <row r="1422" spans="1:19" x14ac:dyDescent="0.3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 t="str">
        <f t="shared" si="22"/>
        <v>31-60 days</v>
      </c>
      <c r="L1422">
        <v>38</v>
      </c>
      <c r="M1422">
        <v>3</v>
      </c>
      <c r="N1422">
        <v>0</v>
      </c>
      <c r="O1422" t="s">
        <v>54</v>
      </c>
      <c r="P1422" t="s">
        <v>55</v>
      </c>
      <c r="Q1422">
        <v>13.4</v>
      </c>
      <c r="R1422">
        <v>31</v>
      </c>
      <c r="S1422" t="s">
        <v>36</v>
      </c>
    </row>
    <row r="1423" spans="1:19" x14ac:dyDescent="0.3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 t="str">
        <f t="shared" si="22"/>
        <v>15-30 days</v>
      </c>
      <c r="L1423">
        <v>21</v>
      </c>
      <c r="M1423">
        <v>0</v>
      </c>
      <c r="N1423">
        <v>0</v>
      </c>
      <c r="O1423" t="s">
        <v>25</v>
      </c>
      <c r="P1423" t="s">
        <v>26</v>
      </c>
      <c r="R1423">
        <v>24</v>
      </c>
      <c r="S1423" t="s">
        <v>36</v>
      </c>
    </row>
    <row r="1424" spans="1:19" x14ac:dyDescent="0.3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 t="str">
        <f t="shared" si="22"/>
        <v>8-14 days</v>
      </c>
      <c r="L1424">
        <v>10</v>
      </c>
      <c r="M1424">
        <v>4</v>
      </c>
      <c r="N1424">
        <v>1</v>
      </c>
      <c r="O1424" t="s">
        <v>25</v>
      </c>
      <c r="P1424" t="s">
        <v>50</v>
      </c>
      <c r="Q1424">
        <v>9.9</v>
      </c>
      <c r="R1424">
        <v>34</v>
      </c>
      <c r="S1424" t="s">
        <v>27</v>
      </c>
    </row>
    <row r="1425" spans="1:19" x14ac:dyDescent="0.3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 t="str">
        <f t="shared" si="22"/>
        <v>31-60 days</v>
      </c>
      <c r="L1425">
        <v>42</v>
      </c>
      <c r="M1425">
        <v>1</v>
      </c>
      <c r="N1425">
        <v>0</v>
      </c>
      <c r="O1425" t="s">
        <v>25</v>
      </c>
      <c r="P1425" t="s">
        <v>35</v>
      </c>
      <c r="Q1425">
        <v>11.7</v>
      </c>
      <c r="R1425">
        <v>32</v>
      </c>
      <c r="S1425" t="s">
        <v>27</v>
      </c>
    </row>
    <row r="1426" spans="1:19" x14ac:dyDescent="0.3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 t="str">
        <f t="shared" si="22"/>
        <v>31-60 days</v>
      </c>
      <c r="L1426">
        <v>59</v>
      </c>
      <c r="M1426">
        <v>3</v>
      </c>
      <c r="N1426">
        <v>0</v>
      </c>
      <c r="O1426" t="s">
        <v>25</v>
      </c>
      <c r="P1426" t="s">
        <v>26</v>
      </c>
      <c r="Q1426">
        <v>14.4</v>
      </c>
      <c r="R1426">
        <v>38</v>
      </c>
      <c r="S1426" t="s">
        <v>36</v>
      </c>
    </row>
    <row r="1427" spans="1:19" x14ac:dyDescent="0.3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 t="str">
        <f t="shared" si="22"/>
        <v>31-60 days</v>
      </c>
      <c r="L1427">
        <v>48</v>
      </c>
      <c r="M1427">
        <v>5</v>
      </c>
      <c r="N1427">
        <v>1</v>
      </c>
      <c r="O1427" t="s">
        <v>25</v>
      </c>
      <c r="P1427" t="s">
        <v>50</v>
      </c>
      <c r="Q1427">
        <v>3.4</v>
      </c>
      <c r="R1427">
        <v>17</v>
      </c>
      <c r="S1427" t="s">
        <v>27</v>
      </c>
    </row>
    <row r="1428" spans="1:19" x14ac:dyDescent="0.3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 t="str">
        <f t="shared" si="22"/>
        <v>31-60 days</v>
      </c>
      <c r="L1428">
        <v>59</v>
      </c>
      <c r="M1428">
        <v>2</v>
      </c>
      <c r="N1428">
        <v>1</v>
      </c>
      <c r="O1428" t="s">
        <v>25</v>
      </c>
      <c r="P1428" t="s">
        <v>35</v>
      </c>
      <c r="Q1428">
        <v>1.1000000000000001</v>
      </c>
      <c r="R1428">
        <v>5</v>
      </c>
      <c r="S1428" t="s">
        <v>36</v>
      </c>
    </row>
    <row r="1429" spans="1:19" x14ac:dyDescent="0.3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 t="str">
        <f t="shared" si="22"/>
        <v>31-60 days</v>
      </c>
      <c r="L1429">
        <v>36</v>
      </c>
      <c r="M1429">
        <v>5</v>
      </c>
      <c r="N1429">
        <v>0</v>
      </c>
      <c r="O1429" t="s">
        <v>25</v>
      </c>
      <c r="P1429" t="s">
        <v>26</v>
      </c>
      <c r="Q1429">
        <v>13.2</v>
      </c>
      <c r="R1429">
        <v>47</v>
      </c>
      <c r="S1429" t="s">
        <v>27</v>
      </c>
    </row>
    <row r="1430" spans="1:19" x14ac:dyDescent="0.3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 t="str">
        <f t="shared" si="22"/>
        <v>31-60 days</v>
      </c>
      <c r="L1430">
        <v>41</v>
      </c>
      <c r="M1430">
        <v>1</v>
      </c>
      <c r="N1430">
        <v>0</v>
      </c>
      <c r="O1430" t="s">
        <v>25</v>
      </c>
      <c r="P1430" t="s">
        <v>35</v>
      </c>
      <c r="Q1430">
        <v>10.1</v>
      </c>
      <c r="R1430">
        <v>19</v>
      </c>
      <c r="S1430" t="s">
        <v>27</v>
      </c>
    </row>
    <row r="1431" spans="1:19" x14ac:dyDescent="0.3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 t="str">
        <f t="shared" si="22"/>
        <v>8-14 days</v>
      </c>
      <c r="L1431">
        <v>8</v>
      </c>
      <c r="M1431">
        <v>6</v>
      </c>
      <c r="N1431">
        <v>2</v>
      </c>
      <c r="O1431" t="s">
        <v>25</v>
      </c>
      <c r="P1431" t="s">
        <v>50</v>
      </c>
      <c r="Q1431">
        <v>3.2</v>
      </c>
      <c r="R1431">
        <v>25</v>
      </c>
      <c r="S1431" t="s">
        <v>27</v>
      </c>
    </row>
    <row r="1432" spans="1:19" x14ac:dyDescent="0.3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 t="str">
        <f t="shared" si="22"/>
        <v>31-60 days</v>
      </c>
      <c r="L1432">
        <v>51</v>
      </c>
      <c r="M1432">
        <v>0</v>
      </c>
      <c r="N1432">
        <v>0</v>
      </c>
      <c r="O1432" t="s">
        <v>25</v>
      </c>
      <c r="P1432" t="s">
        <v>35</v>
      </c>
      <c r="Q1432">
        <v>13.8</v>
      </c>
      <c r="R1432">
        <v>37</v>
      </c>
      <c r="S1432" t="s">
        <v>27</v>
      </c>
    </row>
    <row r="1433" spans="1:19" x14ac:dyDescent="0.3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 t="str">
        <f t="shared" si="22"/>
        <v>31-60 days</v>
      </c>
      <c r="L1433">
        <v>45</v>
      </c>
      <c r="M1433">
        <v>3</v>
      </c>
      <c r="N1433">
        <v>0</v>
      </c>
      <c r="O1433" t="s">
        <v>25</v>
      </c>
      <c r="P1433" t="s">
        <v>35</v>
      </c>
      <c r="Q1433">
        <v>3.1</v>
      </c>
      <c r="S1433" t="s">
        <v>27</v>
      </c>
    </row>
    <row r="1434" spans="1:19" x14ac:dyDescent="0.3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 t="str">
        <f t="shared" si="22"/>
        <v>15-30 days</v>
      </c>
      <c r="L1434">
        <v>15</v>
      </c>
      <c r="M1434">
        <v>5</v>
      </c>
      <c r="N1434">
        <v>2</v>
      </c>
      <c r="O1434" t="s">
        <v>25</v>
      </c>
      <c r="P1434" t="s">
        <v>35</v>
      </c>
      <c r="Q1434">
        <v>9.5</v>
      </c>
      <c r="R1434">
        <v>13</v>
      </c>
      <c r="S1434" t="s">
        <v>36</v>
      </c>
    </row>
    <row r="1435" spans="1:19" x14ac:dyDescent="0.3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 t="str">
        <f t="shared" si="22"/>
        <v>15-30 days</v>
      </c>
      <c r="L1435">
        <v>21</v>
      </c>
      <c r="M1435">
        <v>2</v>
      </c>
      <c r="N1435">
        <v>1</v>
      </c>
      <c r="O1435" t="s">
        <v>54</v>
      </c>
      <c r="P1435" t="s">
        <v>55</v>
      </c>
      <c r="Q1435">
        <v>13.3</v>
      </c>
      <c r="R1435">
        <v>48</v>
      </c>
      <c r="S1435" t="s">
        <v>36</v>
      </c>
    </row>
    <row r="1436" spans="1:19" x14ac:dyDescent="0.3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 t="str">
        <f t="shared" si="22"/>
        <v>31-60 days</v>
      </c>
      <c r="L1436">
        <v>37</v>
      </c>
      <c r="M1436">
        <v>3</v>
      </c>
      <c r="N1436">
        <v>0</v>
      </c>
      <c r="O1436" t="s">
        <v>54</v>
      </c>
      <c r="P1436" t="s">
        <v>55</v>
      </c>
      <c r="Q1436">
        <v>16.600000000000001</v>
      </c>
      <c r="R1436">
        <v>19</v>
      </c>
      <c r="S1436" t="s">
        <v>36</v>
      </c>
    </row>
    <row r="1437" spans="1:19" x14ac:dyDescent="0.3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 t="str">
        <f t="shared" si="22"/>
        <v>0-7 days</v>
      </c>
      <c r="L1437">
        <v>0</v>
      </c>
      <c r="M1437">
        <v>3</v>
      </c>
      <c r="N1437">
        <v>2</v>
      </c>
      <c r="O1437" t="s">
        <v>25</v>
      </c>
      <c r="P1437" t="s">
        <v>35</v>
      </c>
      <c r="Q1437">
        <v>6.9</v>
      </c>
      <c r="R1437">
        <v>45</v>
      </c>
      <c r="S1437" t="s">
        <v>27</v>
      </c>
    </row>
    <row r="1438" spans="1:19" x14ac:dyDescent="0.3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 t="str">
        <f t="shared" si="22"/>
        <v>31-60 days</v>
      </c>
      <c r="L1438">
        <v>49</v>
      </c>
      <c r="M1438">
        <v>7</v>
      </c>
      <c r="N1438">
        <v>2</v>
      </c>
      <c r="O1438" t="s">
        <v>25</v>
      </c>
      <c r="P1438" t="s">
        <v>50</v>
      </c>
      <c r="Q1438">
        <v>15.8</v>
      </c>
      <c r="R1438">
        <v>29</v>
      </c>
      <c r="S1438" t="s">
        <v>27</v>
      </c>
    </row>
    <row r="1439" spans="1:19" x14ac:dyDescent="0.3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 t="str">
        <f t="shared" si="22"/>
        <v>15-30 days</v>
      </c>
      <c r="L1439">
        <v>17</v>
      </c>
      <c r="M1439">
        <v>1</v>
      </c>
      <c r="N1439">
        <v>0</v>
      </c>
      <c r="O1439" t="s">
        <v>54</v>
      </c>
      <c r="P1439" t="s">
        <v>55</v>
      </c>
      <c r="Q1439">
        <v>7.6</v>
      </c>
      <c r="R1439">
        <v>36</v>
      </c>
      <c r="S1439" t="s">
        <v>27</v>
      </c>
    </row>
    <row r="1440" spans="1:19" x14ac:dyDescent="0.3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 t="str">
        <f t="shared" si="22"/>
        <v>0-7 days</v>
      </c>
      <c r="L1440">
        <v>4</v>
      </c>
      <c r="M1440">
        <v>4</v>
      </c>
      <c r="N1440">
        <v>1</v>
      </c>
      <c r="O1440" t="s">
        <v>25</v>
      </c>
      <c r="P1440" t="s">
        <v>50</v>
      </c>
      <c r="Q1440">
        <v>4.4000000000000004</v>
      </c>
      <c r="R1440">
        <v>36</v>
      </c>
      <c r="S1440" t="s">
        <v>27</v>
      </c>
    </row>
    <row r="1441" spans="1:19" x14ac:dyDescent="0.3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 t="str">
        <f t="shared" si="22"/>
        <v>15-30 days</v>
      </c>
      <c r="L1441">
        <v>20</v>
      </c>
      <c r="M1441">
        <v>2</v>
      </c>
      <c r="N1441">
        <v>1</v>
      </c>
      <c r="O1441" t="s">
        <v>54</v>
      </c>
      <c r="P1441" t="s">
        <v>55</v>
      </c>
      <c r="Q1441">
        <v>5.6</v>
      </c>
      <c r="R1441">
        <v>21</v>
      </c>
      <c r="S1441" t="s">
        <v>27</v>
      </c>
    </row>
    <row r="1442" spans="1:19" x14ac:dyDescent="0.3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 t="str">
        <f t="shared" si="22"/>
        <v>31-60 days</v>
      </c>
      <c r="L1442">
        <v>50</v>
      </c>
      <c r="M1442">
        <v>2</v>
      </c>
      <c r="N1442">
        <v>0</v>
      </c>
      <c r="O1442" t="s">
        <v>54</v>
      </c>
      <c r="P1442" t="s">
        <v>55</v>
      </c>
      <c r="Q1442">
        <v>6.3</v>
      </c>
      <c r="R1442">
        <v>32</v>
      </c>
      <c r="S1442" t="s">
        <v>36</v>
      </c>
    </row>
    <row r="1443" spans="1:19" x14ac:dyDescent="0.3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 t="str">
        <f t="shared" si="22"/>
        <v>15-30 days</v>
      </c>
      <c r="L1443">
        <v>16</v>
      </c>
      <c r="M1443">
        <v>4</v>
      </c>
      <c r="N1443">
        <v>1</v>
      </c>
      <c r="O1443" t="s">
        <v>25</v>
      </c>
      <c r="P1443" t="s">
        <v>35</v>
      </c>
      <c r="Q1443">
        <v>0.5</v>
      </c>
      <c r="R1443">
        <v>47</v>
      </c>
      <c r="S1443" t="s">
        <v>36</v>
      </c>
    </row>
    <row r="1444" spans="1:19" x14ac:dyDescent="0.3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 t="str">
        <f t="shared" si="22"/>
        <v>31-60 days</v>
      </c>
      <c r="L1444">
        <v>32</v>
      </c>
      <c r="M1444">
        <v>1</v>
      </c>
      <c r="N1444">
        <v>0</v>
      </c>
      <c r="O1444" t="s">
        <v>25</v>
      </c>
      <c r="P1444" t="s">
        <v>26</v>
      </c>
      <c r="Q1444">
        <v>14.3</v>
      </c>
      <c r="R1444">
        <v>40</v>
      </c>
      <c r="S1444" t="s">
        <v>36</v>
      </c>
    </row>
    <row r="1445" spans="1:19" x14ac:dyDescent="0.3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 t="str">
        <f t="shared" si="22"/>
        <v>31-60 days</v>
      </c>
      <c r="L1445">
        <v>49</v>
      </c>
      <c r="M1445">
        <v>3</v>
      </c>
      <c r="N1445">
        <v>0</v>
      </c>
      <c r="O1445" t="s">
        <v>25</v>
      </c>
      <c r="P1445" t="s">
        <v>35</v>
      </c>
      <c r="Q1445">
        <v>11.4</v>
      </c>
      <c r="R1445">
        <v>38</v>
      </c>
      <c r="S1445" t="s">
        <v>36</v>
      </c>
    </row>
    <row r="1446" spans="1:19" x14ac:dyDescent="0.3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 t="str">
        <f t="shared" si="22"/>
        <v>0-7 days</v>
      </c>
      <c r="L1446">
        <v>2</v>
      </c>
      <c r="M1446">
        <v>1</v>
      </c>
      <c r="N1446">
        <v>0</v>
      </c>
      <c r="O1446" t="s">
        <v>25</v>
      </c>
      <c r="P1446" t="s">
        <v>26</v>
      </c>
      <c r="Q1446">
        <v>5.6</v>
      </c>
      <c r="R1446">
        <v>33</v>
      </c>
      <c r="S1446" t="s">
        <v>36</v>
      </c>
    </row>
    <row r="1447" spans="1:19" x14ac:dyDescent="0.3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 t="str">
        <f t="shared" si="22"/>
        <v>31-60 days</v>
      </c>
      <c r="L1447">
        <v>46</v>
      </c>
      <c r="M1447">
        <v>1</v>
      </c>
      <c r="N1447">
        <v>0</v>
      </c>
      <c r="O1447" t="s">
        <v>54</v>
      </c>
      <c r="P1447" t="s">
        <v>55</v>
      </c>
      <c r="Q1447">
        <v>12</v>
      </c>
      <c r="R1447">
        <v>24</v>
      </c>
      <c r="S1447" t="s">
        <v>27</v>
      </c>
    </row>
    <row r="1448" spans="1:19" x14ac:dyDescent="0.3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 t="str">
        <f t="shared" si="22"/>
        <v>15-30 days</v>
      </c>
      <c r="L1448">
        <v>17</v>
      </c>
      <c r="M1448">
        <v>6</v>
      </c>
      <c r="N1448">
        <v>2</v>
      </c>
      <c r="O1448" t="s">
        <v>25</v>
      </c>
      <c r="P1448" t="s">
        <v>26</v>
      </c>
      <c r="Q1448">
        <v>3.1</v>
      </c>
      <c r="R1448">
        <v>16</v>
      </c>
      <c r="S1448" t="s">
        <v>36</v>
      </c>
    </row>
    <row r="1449" spans="1:19" x14ac:dyDescent="0.3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 t="str">
        <f t="shared" si="22"/>
        <v>31-60 days</v>
      </c>
      <c r="L1449">
        <v>42</v>
      </c>
      <c r="M1449">
        <v>5</v>
      </c>
      <c r="N1449">
        <v>0</v>
      </c>
      <c r="O1449" t="s">
        <v>54</v>
      </c>
      <c r="P1449" t="s">
        <v>55</v>
      </c>
      <c r="Q1449">
        <v>12.4</v>
      </c>
      <c r="R1449">
        <v>43</v>
      </c>
      <c r="S1449" t="s">
        <v>36</v>
      </c>
    </row>
    <row r="1450" spans="1:19" x14ac:dyDescent="0.3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 t="str">
        <f t="shared" si="22"/>
        <v>8-14 days</v>
      </c>
      <c r="L1450">
        <v>11</v>
      </c>
      <c r="M1450">
        <v>1</v>
      </c>
      <c r="N1450">
        <v>0</v>
      </c>
      <c r="O1450" t="s">
        <v>25</v>
      </c>
      <c r="P1450" t="s">
        <v>50</v>
      </c>
      <c r="Q1450">
        <v>13.9</v>
      </c>
      <c r="R1450">
        <v>19</v>
      </c>
      <c r="S1450" t="s">
        <v>27</v>
      </c>
    </row>
    <row r="1451" spans="1:19" x14ac:dyDescent="0.3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 t="str">
        <f t="shared" si="22"/>
        <v>8-14 days</v>
      </c>
      <c r="L1451">
        <v>8</v>
      </c>
      <c r="M1451">
        <v>3</v>
      </c>
      <c r="N1451">
        <v>0</v>
      </c>
      <c r="O1451" t="s">
        <v>25</v>
      </c>
      <c r="P1451" t="s">
        <v>50</v>
      </c>
      <c r="Q1451">
        <v>2.6</v>
      </c>
      <c r="R1451">
        <v>20</v>
      </c>
      <c r="S1451" t="s">
        <v>36</v>
      </c>
    </row>
    <row r="1452" spans="1:19" x14ac:dyDescent="0.3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 t="str">
        <f t="shared" si="22"/>
        <v>31-60 days</v>
      </c>
      <c r="L1452">
        <v>48</v>
      </c>
      <c r="M1452">
        <v>2</v>
      </c>
      <c r="N1452">
        <v>1</v>
      </c>
      <c r="O1452" t="s">
        <v>25</v>
      </c>
      <c r="P1452" t="s">
        <v>35</v>
      </c>
      <c r="Q1452">
        <v>15</v>
      </c>
      <c r="R1452">
        <v>25</v>
      </c>
      <c r="S1452" t="s">
        <v>27</v>
      </c>
    </row>
    <row r="1453" spans="1:19" x14ac:dyDescent="0.3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 t="str">
        <f t="shared" si="22"/>
        <v>31-60 days</v>
      </c>
      <c r="L1453">
        <v>49</v>
      </c>
      <c r="M1453">
        <v>0</v>
      </c>
      <c r="N1453">
        <v>0</v>
      </c>
      <c r="O1453" t="s">
        <v>25</v>
      </c>
      <c r="P1453" t="s">
        <v>26</v>
      </c>
      <c r="Q1453">
        <v>7.7</v>
      </c>
      <c r="R1453">
        <v>9</v>
      </c>
      <c r="S1453" t="s">
        <v>71</v>
      </c>
    </row>
    <row r="1454" spans="1:19" x14ac:dyDescent="0.3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 t="str">
        <f t="shared" si="22"/>
        <v>31-60 days</v>
      </c>
      <c r="L1454">
        <v>59</v>
      </c>
      <c r="M1454">
        <v>4</v>
      </c>
      <c r="N1454">
        <v>0</v>
      </c>
      <c r="O1454" t="s">
        <v>25</v>
      </c>
      <c r="P1454" t="s">
        <v>35</v>
      </c>
      <c r="Q1454">
        <v>7.7</v>
      </c>
      <c r="R1454">
        <v>21</v>
      </c>
      <c r="S1454" t="s">
        <v>36</v>
      </c>
    </row>
    <row r="1455" spans="1:19" x14ac:dyDescent="0.3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 t="str">
        <f t="shared" si="22"/>
        <v>31-60 days</v>
      </c>
      <c r="L1455">
        <v>41</v>
      </c>
      <c r="M1455">
        <v>4</v>
      </c>
      <c r="N1455">
        <v>1</v>
      </c>
      <c r="O1455" t="s">
        <v>54</v>
      </c>
      <c r="P1455" t="s">
        <v>55</v>
      </c>
      <c r="Q1455">
        <v>2.6</v>
      </c>
      <c r="R1455">
        <v>17</v>
      </c>
      <c r="S1455" t="s">
        <v>27</v>
      </c>
    </row>
    <row r="1456" spans="1:19" x14ac:dyDescent="0.3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 t="str">
        <f t="shared" si="22"/>
        <v>15-30 days</v>
      </c>
      <c r="L1456">
        <v>28</v>
      </c>
      <c r="M1456">
        <v>1</v>
      </c>
      <c r="N1456">
        <v>0</v>
      </c>
      <c r="O1456" t="s">
        <v>25</v>
      </c>
      <c r="P1456" t="s">
        <v>26</v>
      </c>
      <c r="Q1456">
        <v>16.8</v>
      </c>
      <c r="R1456">
        <v>10</v>
      </c>
      <c r="S1456" t="s">
        <v>36</v>
      </c>
    </row>
    <row r="1457" spans="1:19" x14ac:dyDescent="0.3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 t="str">
        <f t="shared" si="22"/>
        <v>8-14 days</v>
      </c>
      <c r="L1457">
        <v>11</v>
      </c>
      <c r="M1457">
        <v>4</v>
      </c>
      <c r="N1457">
        <v>2</v>
      </c>
      <c r="O1457" t="s">
        <v>25</v>
      </c>
      <c r="P1457" t="s">
        <v>35</v>
      </c>
      <c r="Q1457">
        <v>16.899999999999999</v>
      </c>
      <c r="R1457">
        <v>11</v>
      </c>
      <c r="S1457" t="s">
        <v>71</v>
      </c>
    </row>
    <row r="1458" spans="1:19" x14ac:dyDescent="0.3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 t="str">
        <f t="shared" si="22"/>
        <v>15-30 days</v>
      </c>
      <c r="L1458">
        <v>18</v>
      </c>
      <c r="M1458">
        <v>4</v>
      </c>
      <c r="N1458">
        <v>0</v>
      </c>
      <c r="O1458" t="s">
        <v>25</v>
      </c>
      <c r="P1458" t="s">
        <v>35</v>
      </c>
      <c r="Q1458">
        <v>22.3</v>
      </c>
      <c r="R1458">
        <v>25</v>
      </c>
      <c r="S1458" t="s">
        <v>36</v>
      </c>
    </row>
    <row r="1459" spans="1:19" x14ac:dyDescent="0.3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 t="str">
        <f t="shared" si="22"/>
        <v>31-60 days</v>
      </c>
      <c r="L1459">
        <v>39</v>
      </c>
      <c r="M1459">
        <v>2</v>
      </c>
      <c r="N1459">
        <v>0</v>
      </c>
      <c r="O1459" t="s">
        <v>25</v>
      </c>
      <c r="P1459" t="s">
        <v>50</v>
      </c>
      <c r="Q1459">
        <v>18</v>
      </c>
      <c r="R1459">
        <v>36</v>
      </c>
      <c r="S1459" t="s">
        <v>27</v>
      </c>
    </row>
    <row r="1460" spans="1:19" x14ac:dyDescent="0.3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 t="str">
        <f t="shared" si="22"/>
        <v>15-30 days</v>
      </c>
      <c r="L1460">
        <v>21</v>
      </c>
      <c r="M1460">
        <v>3</v>
      </c>
      <c r="N1460">
        <v>1</v>
      </c>
      <c r="O1460" t="s">
        <v>54</v>
      </c>
      <c r="P1460" t="s">
        <v>55</v>
      </c>
      <c r="Q1460">
        <v>10</v>
      </c>
      <c r="R1460">
        <v>24</v>
      </c>
      <c r="S1460" t="s">
        <v>27</v>
      </c>
    </row>
    <row r="1461" spans="1:19" x14ac:dyDescent="0.3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 t="str">
        <f t="shared" si="22"/>
        <v>15-30 days</v>
      </c>
      <c r="L1461">
        <v>29</v>
      </c>
      <c r="M1461">
        <v>1</v>
      </c>
      <c r="N1461">
        <v>0</v>
      </c>
      <c r="O1461" t="s">
        <v>25</v>
      </c>
      <c r="P1461" t="s">
        <v>26</v>
      </c>
      <c r="Q1461">
        <v>10.9</v>
      </c>
      <c r="R1461">
        <v>13</v>
      </c>
      <c r="S1461" t="s">
        <v>27</v>
      </c>
    </row>
    <row r="1462" spans="1:19" x14ac:dyDescent="0.3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 t="str">
        <f t="shared" si="22"/>
        <v>8-14 days</v>
      </c>
      <c r="L1462">
        <v>10</v>
      </c>
      <c r="M1462">
        <v>7</v>
      </c>
      <c r="N1462">
        <v>1</v>
      </c>
      <c r="O1462" t="s">
        <v>25</v>
      </c>
      <c r="P1462" t="s">
        <v>35</v>
      </c>
      <c r="Q1462">
        <v>1.1000000000000001</v>
      </c>
      <c r="R1462">
        <v>18</v>
      </c>
      <c r="S1462" t="s">
        <v>36</v>
      </c>
    </row>
    <row r="1463" spans="1:19" x14ac:dyDescent="0.3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 t="str">
        <f t="shared" si="22"/>
        <v>15-30 days</v>
      </c>
      <c r="L1463">
        <v>26</v>
      </c>
      <c r="M1463">
        <v>5</v>
      </c>
      <c r="N1463">
        <v>0</v>
      </c>
      <c r="O1463" t="s">
        <v>25</v>
      </c>
      <c r="P1463" t="s">
        <v>26</v>
      </c>
      <c r="Q1463">
        <v>0.9</v>
      </c>
      <c r="R1463">
        <v>29</v>
      </c>
      <c r="S1463" t="s">
        <v>27</v>
      </c>
    </row>
    <row r="1464" spans="1:19" x14ac:dyDescent="0.3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 t="str">
        <f t="shared" si="22"/>
        <v>8-14 days</v>
      </c>
      <c r="L1464">
        <v>14</v>
      </c>
      <c r="M1464">
        <v>1</v>
      </c>
      <c r="N1464">
        <v>1</v>
      </c>
      <c r="O1464" t="s">
        <v>54</v>
      </c>
      <c r="P1464" t="s">
        <v>55</v>
      </c>
      <c r="Q1464">
        <v>8.1</v>
      </c>
      <c r="R1464">
        <v>38</v>
      </c>
      <c r="S1464" t="s">
        <v>36</v>
      </c>
    </row>
    <row r="1465" spans="1:19" x14ac:dyDescent="0.3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 t="str">
        <f t="shared" si="22"/>
        <v>0-7 days</v>
      </c>
      <c r="L1465">
        <v>6</v>
      </c>
      <c r="M1465">
        <v>5</v>
      </c>
      <c r="N1465">
        <v>2</v>
      </c>
      <c r="O1465" t="s">
        <v>25</v>
      </c>
      <c r="P1465" t="s">
        <v>35</v>
      </c>
      <c r="Q1465">
        <v>7.9</v>
      </c>
      <c r="R1465">
        <v>36</v>
      </c>
      <c r="S1465" t="s">
        <v>36</v>
      </c>
    </row>
    <row r="1466" spans="1:19" x14ac:dyDescent="0.3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 t="str">
        <f t="shared" si="22"/>
        <v>8-14 days</v>
      </c>
      <c r="L1466">
        <v>8</v>
      </c>
      <c r="M1466">
        <v>1</v>
      </c>
      <c r="N1466">
        <v>0</v>
      </c>
      <c r="O1466" t="s">
        <v>25</v>
      </c>
      <c r="P1466" t="s">
        <v>35</v>
      </c>
      <c r="Q1466">
        <v>4.3</v>
      </c>
      <c r="R1466">
        <v>28</v>
      </c>
      <c r="S1466" t="s">
        <v>36</v>
      </c>
    </row>
    <row r="1467" spans="1:19" x14ac:dyDescent="0.3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 t="str">
        <f t="shared" si="22"/>
        <v>31-60 days</v>
      </c>
      <c r="L1467">
        <v>31</v>
      </c>
      <c r="M1467">
        <v>2</v>
      </c>
      <c r="N1467">
        <v>0</v>
      </c>
      <c r="O1467" t="s">
        <v>25</v>
      </c>
      <c r="P1467" t="s">
        <v>26</v>
      </c>
      <c r="Q1467">
        <v>8.4</v>
      </c>
      <c r="R1467">
        <v>42</v>
      </c>
      <c r="S1467" t="s">
        <v>36</v>
      </c>
    </row>
    <row r="1468" spans="1:19" x14ac:dyDescent="0.3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 t="str">
        <f t="shared" si="22"/>
        <v>15-30 days</v>
      </c>
      <c r="L1468">
        <v>22</v>
      </c>
      <c r="M1468">
        <v>4</v>
      </c>
      <c r="N1468">
        <v>0</v>
      </c>
      <c r="O1468" t="s">
        <v>25</v>
      </c>
      <c r="P1468" t="s">
        <v>35</v>
      </c>
      <c r="Q1468">
        <v>4.9000000000000004</v>
      </c>
      <c r="R1468">
        <v>19</v>
      </c>
      <c r="S1468" t="s">
        <v>36</v>
      </c>
    </row>
    <row r="1469" spans="1:19" x14ac:dyDescent="0.3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 t="str">
        <f t="shared" si="22"/>
        <v>0-7 days</v>
      </c>
      <c r="L1469">
        <v>6</v>
      </c>
      <c r="M1469">
        <v>1</v>
      </c>
      <c r="N1469">
        <v>0</v>
      </c>
      <c r="O1469" t="s">
        <v>25</v>
      </c>
      <c r="P1469" t="s">
        <v>35</v>
      </c>
      <c r="Q1469">
        <v>16.899999999999999</v>
      </c>
      <c r="R1469">
        <v>12</v>
      </c>
      <c r="S1469" t="s">
        <v>36</v>
      </c>
    </row>
    <row r="1470" spans="1:19" x14ac:dyDescent="0.3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 t="str">
        <f t="shared" si="22"/>
        <v>31-60 days</v>
      </c>
      <c r="L1470">
        <v>31</v>
      </c>
      <c r="M1470">
        <v>0</v>
      </c>
      <c r="N1470">
        <v>0</v>
      </c>
      <c r="O1470" t="s">
        <v>25</v>
      </c>
      <c r="P1470" t="s">
        <v>35</v>
      </c>
      <c r="Q1470">
        <v>9.4</v>
      </c>
      <c r="R1470">
        <v>22</v>
      </c>
      <c r="S1470" t="s">
        <v>27</v>
      </c>
    </row>
    <row r="1471" spans="1:19" x14ac:dyDescent="0.3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 t="str">
        <f t="shared" si="22"/>
        <v>8-14 days</v>
      </c>
      <c r="L1471">
        <v>10</v>
      </c>
      <c r="M1471">
        <v>4</v>
      </c>
      <c r="N1471">
        <v>0</v>
      </c>
      <c r="O1471" t="s">
        <v>54</v>
      </c>
      <c r="P1471" t="s">
        <v>55</v>
      </c>
      <c r="Q1471">
        <v>5.4</v>
      </c>
      <c r="R1471">
        <v>39</v>
      </c>
      <c r="S1471" t="s">
        <v>27</v>
      </c>
    </row>
    <row r="1472" spans="1:19" x14ac:dyDescent="0.3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 t="str">
        <f t="shared" si="22"/>
        <v>0-7 days</v>
      </c>
      <c r="L1472">
        <v>0</v>
      </c>
      <c r="M1472">
        <v>4</v>
      </c>
      <c r="N1472">
        <v>1</v>
      </c>
      <c r="O1472" t="s">
        <v>25</v>
      </c>
      <c r="P1472" t="s">
        <v>26</v>
      </c>
      <c r="Q1472">
        <v>16.899999999999999</v>
      </c>
      <c r="R1472">
        <v>33</v>
      </c>
      <c r="S1472" t="s">
        <v>27</v>
      </c>
    </row>
    <row r="1473" spans="1:19" x14ac:dyDescent="0.3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 t="str">
        <f t="shared" si="22"/>
        <v>8-14 days</v>
      </c>
      <c r="L1473">
        <v>8</v>
      </c>
      <c r="M1473">
        <v>4</v>
      </c>
      <c r="N1473">
        <v>0</v>
      </c>
      <c r="O1473" t="s">
        <v>25</v>
      </c>
      <c r="P1473" t="s">
        <v>50</v>
      </c>
      <c r="Q1473">
        <v>3</v>
      </c>
      <c r="R1473">
        <v>37</v>
      </c>
      <c r="S1473" t="s">
        <v>36</v>
      </c>
    </row>
    <row r="1474" spans="1:19" x14ac:dyDescent="0.3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 t="str">
        <f t="shared" si="22"/>
        <v>15-30 days</v>
      </c>
      <c r="L1474">
        <v>27</v>
      </c>
      <c r="M1474">
        <v>4</v>
      </c>
      <c r="N1474">
        <v>0</v>
      </c>
      <c r="O1474" t="s">
        <v>25</v>
      </c>
      <c r="P1474" t="s">
        <v>35</v>
      </c>
      <c r="Q1474">
        <v>28.3</v>
      </c>
      <c r="R1474">
        <v>24</v>
      </c>
      <c r="S1474" t="s">
        <v>36</v>
      </c>
    </row>
    <row r="1475" spans="1:19" x14ac:dyDescent="0.3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 t="str">
        <f t="shared" ref="K1475:K1538" si="23">IF(L1475&lt;=7,"0-7 days",IF(L1475&lt;=14,"8-14 days",IF(L1475&lt;=30,"15-30 days","31-60 days")))</f>
        <v>31-60 days</v>
      </c>
      <c r="L1475">
        <v>58</v>
      </c>
      <c r="M1475">
        <v>4</v>
      </c>
      <c r="N1475">
        <v>2</v>
      </c>
      <c r="O1475" t="s">
        <v>25</v>
      </c>
      <c r="P1475" t="s">
        <v>35</v>
      </c>
      <c r="Q1475">
        <v>10.3</v>
      </c>
      <c r="R1475">
        <v>27</v>
      </c>
      <c r="S1475" t="s">
        <v>27</v>
      </c>
    </row>
    <row r="1476" spans="1:19" x14ac:dyDescent="0.3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 t="str">
        <f t="shared" si="23"/>
        <v>8-14 days</v>
      </c>
      <c r="L1476">
        <v>14</v>
      </c>
      <c r="M1476">
        <v>3</v>
      </c>
      <c r="N1476">
        <v>0</v>
      </c>
      <c r="O1476" t="s">
        <v>25</v>
      </c>
      <c r="P1476" t="s">
        <v>50</v>
      </c>
      <c r="Q1476">
        <v>8</v>
      </c>
      <c r="R1476">
        <v>23</v>
      </c>
      <c r="S1476" t="s">
        <v>36</v>
      </c>
    </row>
    <row r="1477" spans="1:19" x14ac:dyDescent="0.3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 t="str">
        <f t="shared" si="23"/>
        <v>15-30 days</v>
      </c>
      <c r="L1477">
        <v>17</v>
      </c>
      <c r="M1477">
        <v>4</v>
      </c>
      <c r="N1477">
        <v>2</v>
      </c>
      <c r="O1477" t="s">
        <v>25</v>
      </c>
      <c r="P1477" t="s">
        <v>26</v>
      </c>
      <c r="Q1477">
        <v>2.1</v>
      </c>
      <c r="R1477">
        <v>16</v>
      </c>
      <c r="S1477" t="s">
        <v>27</v>
      </c>
    </row>
    <row r="1478" spans="1:19" x14ac:dyDescent="0.3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 t="str">
        <f t="shared" si="23"/>
        <v>8-14 days</v>
      </c>
      <c r="L1478">
        <v>14</v>
      </c>
      <c r="M1478">
        <v>4</v>
      </c>
      <c r="N1478">
        <v>1</v>
      </c>
      <c r="O1478" t="s">
        <v>25</v>
      </c>
      <c r="P1478" t="s">
        <v>35</v>
      </c>
      <c r="Q1478">
        <v>8.6999999999999993</v>
      </c>
      <c r="R1478">
        <v>26</v>
      </c>
      <c r="S1478" t="s">
        <v>36</v>
      </c>
    </row>
    <row r="1479" spans="1:19" x14ac:dyDescent="0.3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 t="str">
        <f t="shared" si="23"/>
        <v>15-30 days</v>
      </c>
      <c r="L1479">
        <v>21</v>
      </c>
      <c r="M1479">
        <v>5</v>
      </c>
      <c r="N1479">
        <v>0</v>
      </c>
      <c r="O1479" t="s">
        <v>54</v>
      </c>
      <c r="P1479" t="s">
        <v>55</v>
      </c>
      <c r="Q1479">
        <v>7.5</v>
      </c>
      <c r="R1479">
        <v>23</v>
      </c>
      <c r="S1479" t="s">
        <v>36</v>
      </c>
    </row>
    <row r="1480" spans="1:19" x14ac:dyDescent="0.3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 t="str">
        <f t="shared" si="23"/>
        <v>31-60 days</v>
      </c>
      <c r="L1480">
        <v>43</v>
      </c>
      <c r="M1480">
        <v>6</v>
      </c>
      <c r="N1480">
        <v>1</v>
      </c>
      <c r="O1480" t="s">
        <v>54</v>
      </c>
      <c r="P1480" t="s">
        <v>55</v>
      </c>
      <c r="Q1480">
        <v>13.2</v>
      </c>
      <c r="R1480">
        <v>20</v>
      </c>
      <c r="S1480" t="s">
        <v>27</v>
      </c>
    </row>
    <row r="1481" spans="1:19" x14ac:dyDescent="0.3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 t="str">
        <f t="shared" si="23"/>
        <v>15-30 days</v>
      </c>
      <c r="L1481">
        <v>19</v>
      </c>
      <c r="M1481">
        <v>2</v>
      </c>
      <c r="N1481">
        <v>2</v>
      </c>
      <c r="O1481" t="s">
        <v>25</v>
      </c>
      <c r="P1481" t="s">
        <v>35</v>
      </c>
      <c r="Q1481">
        <v>7.9</v>
      </c>
      <c r="R1481">
        <v>32</v>
      </c>
      <c r="S1481" t="s">
        <v>27</v>
      </c>
    </row>
    <row r="1482" spans="1:19" x14ac:dyDescent="0.3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 t="str">
        <f t="shared" si="23"/>
        <v>31-60 days</v>
      </c>
      <c r="L1482">
        <v>40</v>
      </c>
      <c r="M1482">
        <v>2</v>
      </c>
      <c r="N1482">
        <v>1</v>
      </c>
      <c r="O1482" t="s">
        <v>25</v>
      </c>
      <c r="P1482" t="s">
        <v>26</v>
      </c>
      <c r="Q1482">
        <v>3.1</v>
      </c>
      <c r="R1482">
        <v>27</v>
      </c>
      <c r="S1482" t="s">
        <v>36</v>
      </c>
    </row>
    <row r="1483" spans="1:19" x14ac:dyDescent="0.3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 t="str">
        <f t="shared" si="23"/>
        <v>31-60 days</v>
      </c>
      <c r="L1483">
        <v>54</v>
      </c>
      <c r="M1483">
        <v>3</v>
      </c>
      <c r="N1483">
        <v>0</v>
      </c>
      <c r="O1483" t="s">
        <v>54</v>
      </c>
      <c r="P1483" t="s">
        <v>55</v>
      </c>
      <c r="Q1483">
        <v>7.1</v>
      </c>
      <c r="R1483">
        <v>40</v>
      </c>
      <c r="S1483" t="s">
        <v>27</v>
      </c>
    </row>
    <row r="1484" spans="1:19" x14ac:dyDescent="0.3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 t="str">
        <f t="shared" si="23"/>
        <v>31-60 days</v>
      </c>
      <c r="L1484">
        <v>57</v>
      </c>
      <c r="M1484">
        <v>2</v>
      </c>
      <c r="N1484">
        <v>0</v>
      </c>
      <c r="O1484" t="s">
        <v>25</v>
      </c>
      <c r="P1484" t="s">
        <v>35</v>
      </c>
      <c r="Q1484">
        <v>4.9000000000000004</v>
      </c>
      <c r="R1484">
        <v>16</v>
      </c>
      <c r="S1484" t="s">
        <v>36</v>
      </c>
    </row>
    <row r="1485" spans="1:19" x14ac:dyDescent="0.3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 t="str">
        <f t="shared" si="23"/>
        <v>31-60 days</v>
      </c>
      <c r="L1485">
        <v>34</v>
      </c>
      <c r="M1485">
        <v>2</v>
      </c>
      <c r="N1485">
        <v>0</v>
      </c>
      <c r="O1485" t="s">
        <v>54</v>
      </c>
      <c r="P1485" t="s">
        <v>55</v>
      </c>
      <c r="Q1485">
        <v>3</v>
      </c>
      <c r="R1485">
        <v>21</v>
      </c>
      <c r="S1485" t="s">
        <v>36</v>
      </c>
    </row>
    <row r="1486" spans="1:19" x14ac:dyDescent="0.3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 t="str">
        <f t="shared" si="23"/>
        <v>31-60 days</v>
      </c>
      <c r="L1486">
        <v>43</v>
      </c>
      <c r="M1486">
        <v>4</v>
      </c>
      <c r="N1486">
        <v>0</v>
      </c>
      <c r="O1486" t="s">
        <v>25</v>
      </c>
      <c r="P1486" t="s">
        <v>26</v>
      </c>
      <c r="Q1486">
        <v>18.7</v>
      </c>
      <c r="R1486">
        <v>6</v>
      </c>
      <c r="S1486" t="s">
        <v>36</v>
      </c>
    </row>
    <row r="1487" spans="1:19" x14ac:dyDescent="0.3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 t="str">
        <f t="shared" si="23"/>
        <v>31-60 days</v>
      </c>
      <c r="L1487">
        <v>56</v>
      </c>
      <c r="M1487">
        <v>3</v>
      </c>
      <c r="N1487">
        <v>0</v>
      </c>
      <c r="O1487" t="s">
        <v>25</v>
      </c>
      <c r="P1487" t="s">
        <v>26</v>
      </c>
      <c r="Q1487">
        <v>1.8</v>
      </c>
      <c r="R1487">
        <v>14</v>
      </c>
      <c r="S1487" t="s">
        <v>27</v>
      </c>
    </row>
    <row r="1488" spans="1:19" x14ac:dyDescent="0.3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 t="str">
        <f t="shared" si="23"/>
        <v>31-60 days</v>
      </c>
      <c r="L1488">
        <v>47</v>
      </c>
      <c r="M1488">
        <v>4</v>
      </c>
      <c r="N1488">
        <v>2</v>
      </c>
      <c r="O1488" t="s">
        <v>25</v>
      </c>
      <c r="P1488" t="s">
        <v>50</v>
      </c>
      <c r="Q1488">
        <v>17.3</v>
      </c>
      <c r="R1488">
        <v>32</v>
      </c>
      <c r="S1488" t="s">
        <v>27</v>
      </c>
    </row>
    <row r="1489" spans="1:19" x14ac:dyDescent="0.3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 t="str">
        <f t="shared" si="23"/>
        <v>15-30 days</v>
      </c>
      <c r="L1489">
        <v>18</v>
      </c>
      <c r="M1489">
        <v>4</v>
      </c>
      <c r="N1489">
        <v>1</v>
      </c>
      <c r="O1489" t="s">
        <v>25</v>
      </c>
      <c r="P1489" t="s">
        <v>50</v>
      </c>
      <c r="Q1489">
        <v>9</v>
      </c>
      <c r="R1489">
        <v>34</v>
      </c>
      <c r="S1489" t="s">
        <v>71</v>
      </c>
    </row>
    <row r="1490" spans="1:19" x14ac:dyDescent="0.3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 t="str">
        <f t="shared" si="23"/>
        <v>8-14 days</v>
      </c>
      <c r="L1490">
        <v>8</v>
      </c>
      <c r="M1490">
        <v>1</v>
      </c>
      <c r="N1490">
        <v>0</v>
      </c>
      <c r="O1490" t="s">
        <v>25</v>
      </c>
      <c r="P1490" t="s">
        <v>35</v>
      </c>
      <c r="Q1490">
        <v>13.9</v>
      </c>
      <c r="R1490">
        <v>33</v>
      </c>
      <c r="S1490" t="s">
        <v>36</v>
      </c>
    </row>
    <row r="1491" spans="1:19" x14ac:dyDescent="0.3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 t="str">
        <f t="shared" si="23"/>
        <v>0-7 days</v>
      </c>
      <c r="L1491">
        <v>7</v>
      </c>
      <c r="M1491">
        <v>3</v>
      </c>
      <c r="N1491">
        <v>0</v>
      </c>
      <c r="O1491" t="s">
        <v>25</v>
      </c>
      <c r="P1491" t="s">
        <v>35</v>
      </c>
      <c r="Q1491">
        <v>19.7</v>
      </c>
      <c r="R1491">
        <v>40</v>
      </c>
      <c r="S1491" t="s">
        <v>27</v>
      </c>
    </row>
    <row r="1492" spans="1:19" x14ac:dyDescent="0.3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 t="str">
        <f t="shared" si="23"/>
        <v>31-60 days</v>
      </c>
      <c r="L1492">
        <v>53</v>
      </c>
      <c r="M1492">
        <v>1</v>
      </c>
      <c r="N1492">
        <v>0</v>
      </c>
      <c r="O1492" t="s">
        <v>25</v>
      </c>
      <c r="P1492" t="s">
        <v>35</v>
      </c>
      <c r="Q1492">
        <v>5.4</v>
      </c>
      <c r="R1492">
        <v>31</v>
      </c>
      <c r="S1492" t="s">
        <v>27</v>
      </c>
    </row>
    <row r="1493" spans="1:19" x14ac:dyDescent="0.3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 t="str">
        <f t="shared" si="23"/>
        <v>31-60 days</v>
      </c>
      <c r="L1493">
        <v>33</v>
      </c>
      <c r="M1493">
        <v>1</v>
      </c>
      <c r="N1493">
        <v>0</v>
      </c>
      <c r="O1493" t="s">
        <v>25</v>
      </c>
      <c r="P1493" t="s">
        <v>26</v>
      </c>
      <c r="Q1493">
        <v>9.4</v>
      </c>
      <c r="R1493">
        <v>26</v>
      </c>
      <c r="S1493" t="s">
        <v>36</v>
      </c>
    </row>
    <row r="1494" spans="1:19" x14ac:dyDescent="0.3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 t="str">
        <f t="shared" si="23"/>
        <v>15-30 days</v>
      </c>
      <c r="L1494">
        <v>18</v>
      </c>
      <c r="M1494">
        <v>4</v>
      </c>
      <c r="N1494">
        <v>1</v>
      </c>
      <c r="O1494" t="s">
        <v>54</v>
      </c>
      <c r="P1494" t="s">
        <v>55</v>
      </c>
      <c r="Q1494">
        <v>5.8</v>
      </c>
      <c r="R1494">
        <v>33</v>
      </c>
      <c r="S1494" t="s">
        <v>36</v>
      </c>
    </row>
    <row r="1495" spans="1:19" x14ac:dyDescent="0.3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 t="str">
        <f t="shared" si="23"/>
        <v>15-30 days</v>
      </c>
      <c r="L1495">
        <v>21</v>
      </c>
      <c r="M1495">
        <v>2</v>
      </c>
      <c r="N1495">
        <v>0</v>
      </c>
      <c r="O1495" t="s">
        <v>25</v>
      </c>
      <c r="P1495" t="s">
        <v>26</v>
      </c>
      <c r="Q1495">
        <v>7.5</v>
      </c>
      <c r="R1495">
        <v>17</v>
      </c>
      <c r="S1495" t="s">
        <v>36</v>
      </c>
    </row>
    <row r="1496" spans="1:19" x14ac:dyDescent="0.3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 t="str">
        <f t="shared" si="23"/>
        <v>15-30 days</v>
      </c>
      <c r="L1496">
        <v>17</v>
      </c>
      <c r="M1496">
        <v>3</v>
      </c>
      <c r="N1496">
        <v>0</v>
      </c>
      <c r="O1496" t="s">
        <v>25</v>
      </c>
      <c r="P1496" t="s">
        <v>35</v>
      </c>
      <c r="Q1496">
        <v>13.3</v>
      </c>
      <c r="R1496">
        <v>7</v>
      </c>
      <c r="S1496" t="s">
        <v>27</v>
      </c>
    </row>
    <row r="1497" spans="1:19" x14ac:dyDescent="0.3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 t="str">
        <f t="shared" si="23"/>
        <v>31-60 days</v>
      </c>
      <c r="L1497">
        <v>48</v>
      </c>
      <c r="M1497">
        <v>2</v>
      </c>
      <c r="N1497">
        <v>0</v>
      </c>
      <c r="O1497" t="s">
        <v>54</v>
      </c>
      <c r="P1497" t="s">
        <v>55</v>
      </c>
      <c r="Q1497">
        <v>8.4</v>
      </c>
      <c r="R1497">
        <v>21</v>
      </c>
      <c r="S1497" t="s">
        <v>27</v>
      </c>
    </row>
    <row r="1498" spans="1:19" x14ac:dyDescent="0.3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 t="str">
        <f t="shared" si="23"/>
        <v>31-60 days</v>
      </c>
      <c r="L1498">
        <v>37</v>
      </c>
      <c r="M1498">
        <v>3</v>
      </c>
      <c r="N1498">
        <v>0</v>
      </c>
      <c r="O1498" t="s">
        <v>25</v>
      </c>
      <c r="P1498" t="s">
        <v>35</v>
      </c>
      <c r="Q1498">
        <v>9.3000000000000007</v>
      </c>
      <c r="R1498">
        <v>22</v>
      </c>
      <c r="S1498" t="s">
        <v>27</v>
      </c>
    </row>
    <row r="1499" spans="1:19" x14ac:dyDescent="0.3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 t="str">
        <f t="shared" si="23"/>
        <v>31-60 days</v>
      </c>
      <c r="L1499">
        <v>53</v>
      </c>
      <c r="M1499">
        <v>3</v>
      </c>
      <c r="N1499">
        <v>0</v>
      </c>
      <c r="O1499" t="s">
        <v>25</v>
      </c>
      <c r="P1499" t="s">
        <v>35</v>
      </c>
      <c r="Q1499">
        <v>4.0999999999999996</v>
      </c>
      <c r="R1499">
        <v>27</v>
      </c>
      <c r="S1499" t="s">
        <v>27</v>
      </c>
    </row>
    <row r="1500" spans="1:19" x14ac:dyDescent="0.3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 t="str">
        <f t="shared" si="23"/>
        <v>15-30 days</v>
      </c>
      <c r="L1500">
        <v>18</v>
      </c>
      <c r="M1500">
        <v>5</v>
      </c>
      <c r="N1500">
        <v>0</v>
      </c>
      <c r="O1500" t="s">
        <v>25</v>
      </c>
      <c r="P1500" t="s">
        <v>35</v>
      </c>
      <c r="Q1500">
        <v>8.1</v>
      </c>
      <c r="R1500">
        <v>17</v>
      </c>
      <c r="S1500" t="s">
        <v>36</v>
      </c>
    </row>
    <row r="1501" spans="1:19" x14ac:dyDescent="0.3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 t="str">
        <f t="shared" si="23"/>
        <v>15-30 days</v>
      </c>
      <c r="L1501">
        <v>28</v>
      </c>
      <c r="M1501">
        <v>2</v>
      </c>
      <c r="N1501">
        <v>1</v>
      </c>
      <c r="O1501" t="s">
        <v>54</v>
      </c>
      <c r="P1501" t="s">
        <v>55</v>
      </c>
      <c r="Q1501">
        <v>6.2</v>
      </c>
      <c r="R1501">
        <v>19</v>
      </c>
      <c r="S1501" t="s">
        <v>27</v>
      </c>
    </row>
    <row r="1502" spans="1:19" x14ac:dyDescent="0.3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 t="str">
        <f t="shared" si="23"/>
        <v>0-7 days</v>
      </c>
      <c r="L1502">
        <v>7</v>
      </c>
      <c r="M1502">
        <v>5</v>
      </c>
      <c r="N1502">
        <v>1</v>
      </c>
      <c r="O1502" t="s">
        <v>25</v>
      </c>
      <c r="P1502" t="s">
        <v>50</v>
      </c>
      <c r="Q1502">
        <v>8.9</v>
      </c>
      <c r="R1502">
        <v>34</v>
      </c>
      <c r="S1502" t="s">
        <v>36</v>
      </c>
    </row>
    <row r="1503" spans="1:19" x14ac:dyDescent="0.3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 t="str">
        <f t="shared" si="23"/>
        <v>31-60 days</v>
      </c>
      <c r="L1503">
        <v>59</v>
      </c>
      <c r="M1503">
        <v>2</v>
      </c>
      <c r="N1503">
        <v>1</v>
      </c>
      <c r="O1503" t="s">
        <v>25</v>
      </c>
      <c r="P1503" t="s">
        <v>35</v>
      </c>
      <c r="Q1503">
        <v>3.8</v>
      </c>
      <c r="R1503">
        <v>12</v>
      </c>
      <c r="S1503" t="s">
        <v>36</v>
      </c>
    </row>
    <row r="1504" spans="1:19" x14ac:dyDescent="0.3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 t="str">
        <f t="shared" si="23"/>
        <v>31-60 days</v>
      </c>
      <c r="L1504">
        <v>31</v>
      </c>
      <c r="M1504">
        <v>2</v>
      </c>
      <c r="N1504">
        <v>1</v>
      </c>
      <c r="O1504" t="s">
        <v>25</v>
      </c>
      <c r="P1504" t="s">
        <v>35</v>
      </c>
      <c r="Q1504">
        <v>5.5</v>
      </c>
      <c r="R1504">
        <v>24</v>
      </c>
      <c r="S1504" t="s">
        <v>36</v>
      </c>
    </row>
    <row r="1505" spans="1:19" x14ac:dyDescent="0.3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 t="str">
        <f t="shared" si="23"/>
        <v>31-60 days</v>
      </c>
      <c r="L1505">
        <v>33</v>
      </c>
      <c r="M1505">
        <v>3</v>
      </c>
      <c r="N1505">
        <v>1</v>
      </c>
      <c r="O1505" t="s">
        <v>25</v>
      </c>
      <c r="P1505" t="s">
        <v>35</v>
      </c>
      <c r="Q1505">
        <v>10.4</v>
      </c>
      <c r="R1505">
        <v>19</v>
      </c>
      <c r="S1505" t="s">
        <v>36</v>
      </c>
    </row>
    <row r="1506" spans="1:19" x14ac:dyDescent="0.3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 t="str">
        <f t="shared" si="23"/>
        <v>15-30 days</v>
      </c>
      <c r="L1506">
        <v>25</v>
      </c>
      <c r="M1506">
        <v>1</v>
      </c>
      <c r="N1506">
        <v>0</v>
      </c>
      <c r="O1506" t="s">
        <v>25</v>
      </c>
      <c r="P1506" t="s">
        <v>35</v>
      </c>
      <c r="Q1506">
        <v>12.8</v>
      </c>
      <c r="R1506">
        <v>7</v>
      </c>
      <c r="S1506" t="s">
        <v>27</v>
      </c>
    </row>
    <row r="1507" spans="1:19" x14ac:dyDescent="0.3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 t="str">
        <f t="shared" si="23"/>
        <v>15-30 days</v>
      </c>
      <c r="L1507">
        <v>16</v>
      </c>
      <c r="M1507">
        <v>4</v>
      </c>
      <c r="N1507">
        <v>1</v>
      </c>
      <c r="O1507" t="s">
        <v>25</v>
      </c>
      <c r="P1507" t="s">
        <v>26</v>
      </c>
      <c r="Q1507">
        <v>9.8000000000000007</v>
      </c>
      <c r="R1507">
        <v>21</v>
      </c>
      <c r="S1507" t="s">
        <v>27</v>
      </c>
    </row>
    <row r="1508" spans="1:19" x14ac:dyDescent="0.3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 t="str">
        <f t="shared" si="23"/>
        <v>31-60 days</v>
      </c>
      <c r="L1508">
        <v>57</v>
      </c>
      <c r="M1508">
        <v>3</v>
      </c>
      <c r="N1508">
        <v>0</v>
      </c>
      <c r="O1508" t="s">
        <v>25</v>
      </c>
      <c r="P1508" t="s">
        <v>26</v>
      </c>
      <c r="Q1508">
        <v>7</v>
      </c>
      <c r="R1508">
        <v>16</v>
      </c>
      <c r="S1508" t="s">
        <v>27</v>
      </c>
    </row>
    <row r="1509" spans="1:19" x14ac:dyDescent="0.3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 t="str">
        <f t="shared" si="23"/>
        <v>15-30 days</v>
      </c>
      <c r="L1509">
        <v>29</v>
      </c>
      <c r="M1509">
        <v>5</v>
      </c>
      <c r="N1509">
        <v>2</v>
      </c>
      <c r="O1509" t="s">
        <v>25</v>
      </c>
      <c r="P1509" t="s">
        <v>35</v>
      </c>
      <c r="Q1509">
        <v>5.2</v>
      </c>
      <c r="R1509">
        <v>21</v>
      </c>
      <c r="S1509" t="s">
        <v>36</v>
      </c>
    </row>
    <row r="1510" spans="1:19" x14ac:dyDescent="0.3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 t="str">
        <f t="shared" si="23"/>
        <v>31-60 days</v>
      </c>
      <c r="L1510">
        <v>41</v>
      </c>
      <c r="M1510">
        <v>2</v>
      </c>
      <c r="N1510">
        <v>1</v>
      </c>
      <c r="O1510" t="s">
        <v>25</v>
      </c>
      <c r="P1510" t="s">
        <v>35</v>
      </c>
      <c r="Q1510">
        <v>1.7</v>
      </c>
      <c r="R1510">
        <v>26</v>
      </c>
      <c r="S1510" t="s">
        <v>27</v>
      </c>
    </row>
    <row r="1511" spans="1:19" x14ac:dyDescent="0.3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 t="str">
        <f t="shared" si="23"/>
        <v>0-7 days</v>
      </c>
      <c r="L1511">
        <v>2</v>
      </c>
      <c r="M1511">
        <v>3</v>
      </c>
      <c r="N1511">
        <v>0</v>
      </c>
      <c r="O1511" t="s">
        <v>25</v>
      </c>
      <c r="P1511" t="s">
        <v>35</v>
      </c>
      <c r="Q1511">
        <v>19</v>
      </c>
      <c r="R1511">
        <v>2</v>
      </c>
      <c r="S1511" t="s">
        <v>36</v>
      </c>
    </row>
    <row r="1512" spans="1:19" x14ac:dyDescent="0.3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 t="str">
        <f t="shared" si="23"/>
        <v>15-30 days</v>
      </c>
      <c r="L1512">
        <v>16</v>
      </c>
      <c r="M1512">
        <v>2</v>
      </c>
      <c r="N1512">
        <v>0</v>
      </c>
      <c r="O1512" t="s">
        <v>25</v>
      </c>
      <c r="P1512" t="s">
        <v>26</v>
      </c>
      <c r="Q1512">
        <v>16.5</v>
      </c>
      <c r="R1512">
        <v>37</v>
      </c>
      <c r="S1512" t="s">
        <v>36</v>
      </c>
    </row>
    <row r="1513" spans="1:19" x14ac:dyDescent="0.3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 t="str">
        <f t="shared" si="23"/>
        <v>31-60 days</v>
      </c>
      <c r="L1513">
        <v>49</v>
      </c>
      <c r="M1513">
        <v>5</v>
      </c>
      <c r="N1513">
        <v>0</v>
      </c>
      <c r="O1513" t="s">
        <v>25</v>
      </c>
      <c r="P1513" t="s">
        <v>35</v>
      </c>
      <c r="Q1513">
        <v>20.8</v>
      </c>
      <c r="R1513">
        <v>59</v>
      </c>
      <c r="S1513" t="s">
        <v>36</v>
      </c>
    </row>
    <row r="1514" spans="1:19" x14ac:dyDescent="0.3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 t="str">
        <f t="shared" si="23"/>
        <v>0-7 days</v>
      </c>
      <c r="L1514">
        <v>5</v>
      </c>
      <c r="M1514">
        <v>3</v>
      </c>
      <c r="N1514">
        <v>0</v>
      </c>
      <c r="O1514" t="s">
        <v>25</v>
      </c>
      <c r="P1514" t="s">
        <v>50</v>
      </c>
      <c r="Q1514">
        <v>20.399999999999999</v>
      </c>
      <c r="R1514">
        <v>15</v>
      </c>
      <c r="S1514" t="s">
        <v>36</v>
      </c>
    </row>
    <row r="1515" spans="1:19" x14ac:dyDescent="0.3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 t="str">
        <f t="shared" si="23"/>
        <v>0-7 days</v>
      </c>
      <c r="L1515">
        <v>6</v>
      </c>
      <c r="M1515">
        <v>1</v>
      </c>
      <c r="N1515">
        <v>0</v>
      </c>
      <c r="O1515" t="s">
        <v>25</v>
      </c>
      <c r="P1515" t="s">
        <v>35</v>
      </c>
      <c r="Q1515">
        <v>10.7</v>
      </c>
      <c r="R1515">
        <v>19</v>
      </c>
      <c r="S1515" t="s">
        <v>36</v>
      </c>
    </row>
    <row r="1516" spans="1:19" x14ac:dyDescent="0.3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 t="str">
        <f t="shared" si="23"/>
        <v>31-60 days</v>
      </c>
      <c r="L1516">
        <v>49</v>
      </c>
      <c r="M1516">
        <v>8</v>
      </c>
      <c r="N1516">
        <v>3</v>
      </c>
      <c r="O1516" t="s">
        <v>25</v>
      </c>
      <c r="P1516" t="s">
        <v>26</v>
      </c>
      <c r="Q1516">
        <v>32.200000000000003</v>
      </c>
      <c r="R1516">
        <v>16</v>
      </c>
      <c r="S1516" t="s">
        <v>27</v>
      </c>
    </row>
    <row r="1517" spans="1:19" x14ac:dyDescent="0.3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 t="str">
        <f t="shared" si="23"/>
        <v>15-30 days</v>
      </c>
      <c r="L1517">
        <v>18</v>
      </c>
      <c r="M1517">
        <v>3</v>
      </c>
      <c r="N1517">
        <v>0</v>
      </c>
      <c r="O1517" t="s">
        <v>25</v>
      </c>
      <c r="P1517" t="s">
        <v>35</v>
      </c>
      <c r="Q1517">
        <v>7.7</v>
      </c>
      <c r="R1517">
        <v>14</v>
      </c>
      <c r="S1517" t="s">
        <v>36</v>
      </c>
    </row>
    <row r="1518" spans="1:19" x14ac:dyDescent="0.3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 t="str">
        <f t="shared" si="23"/>
        <v>15-30 days</v>
      </c>
      <c r="L1518">
        <v>16</v>
      </c>
      <c r="M1518">
        <v>5</v>
      </c>
      <c r="N1518">
        <v>2</v>
      </c>
      <c r="O1518" t="s">
        <v>54</v>
      </c>
      <c r="P1518" t="s">
        <v>55</v>
      </c>
      <c r="Q1518">
        <v>9.4</v>
      </c>
      <c r="R1518">
        <v>47</v>
      </c>
      <c r="S1518" t="s">
        <v>36</v>
      </c>
    </row>
    <row r="1519" spans="1:19" x14ac:dyDescent="0.3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 t="str">
        <f t="shared" si="23"/>
        <v>31-60 days</v>
      </c>
      <c r="L1519">
        <v>34</v>
      </c>
      <c r="M1519">
        <v>2</v>
      </c>
      <c r="N1519">
        <v>0</v>
      </c>
      <c r="O1519" t="s">
        <v>54</v>
      </c>
      <c r="P1519" t="s">
        <v>55</v>
      </c>
      <c r="Q1519">
        <v>5.3</v>
      </c>
      <c r="R1519">
        <v>22</v>
      </c>
      <c r="S1519" t="s">
        <v>71</v>
      </c>
    </row>
    <row r="1520" spans="1:19" x14ac:dyDescent="0.3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 t="str">
        <f t="shared" si="23"/>
        <v>8-14 days</v>
      </c>
      <c r="L1520">
        <v>11</v>
      </c>
      <c r="M1520">
        <v>4</v>
      </c>
      <c r="N1520">
        <v>0</v>
      </c>
      <c r="O1520" t="s">
        <v>25</v>
      </c>
      <c r="P1520" t="s">
        <v>50</v>
      </c>
      <c r="Q1520">
        <v>2.9</v>
      </c>
      <c r="R1520">
        <v>33</v>
      </c>
      <c r="S1520" t="s">
        <v>36</v>
      </c>
    </row>
    <row r="1521" spans="1:19" x14ac:dyDescent="0.3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 t="str">
        <f t="shared" si="23"/>
        <v>0-7 days</v>
      </c>
      <c r="L1521">
        <v>2</v>
      </c>
      <c r="M1521">
        <v>2</v>
      </c>
      <c r="N1521">
        <v>0</v>
      </c>
      <c r="O1521" t="s">
        <v>54</v>
      </c>
      <c r="P1521" t="s">
        <v>55</v>
      </c>
      <c r="Q1521">
        <v>6.2</v>
      </c>
      <c r="R1521">
        <v>38</v>
      </c>
      <c r="S1521" t="s">
        <v>36</v>
      </c>
    </row>
    <row r="1522" spans="1:19" x14ac:dyDescent="0.3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 t="str">
        <f t="shared" si="23"/>
        <v>0-7 days</v>
      </c>
      <c r="L1522">
        <v>0</v>
      </c>
      <c r="M1522">
        <v>4</v>
      </c>
      <c r="N1522">
        <v>0</v>
      </c>
      <c r="O1522" t="s">
        <v>25</v>
      </c>
      <c r="P1522" t="s">
        <v>50</v>
      </c>
      <c r="Q1522">
        <v>5.9</v>
      </c>
      <c r="R1522">
        <v>37</v>
      </c>
      <c r="S1522" t="s">
        <v>36</v>
      </c>
    </row>
    <row r="1523" spans="1:19" x14ac:dyDescent="0.3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 t="str">
        <f t="shared" si="23"/>
        <v>0-7 days</v>
      </c>
      <c r="L1523">
        <v>4</v>
      </c>
      <c r="M1523">
        <v>5</v>
      </c>
      <c r="N1523">
        <v>1</v>
      </c>
      <c r="O1523" t="s">
        <v>25</v>
      </c>
      <c r="P1523" t="s">
        <v>35</v>
      </c>
      <c r="Q1523">
        <v>14</v>
      </c>
      <c r="R1523">
        <v>38</v>
      </c>
      <c r="S1523" t="s">
        <v>36</v>
      </c>
    </row>
    <row r="1524" spans="1:19" x14ac:dyDescent="0.3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 t="str">
        <f t="shared" si="23"/>
        <v>8-14 days</v>
      </c>
      <c r="L1524">
        <v>9</v>
      </c>
      <c r="M1524">
        <v>4</v>
      </c>
      <c r="N1524">
        <v>1</v>
      </c>
      <c r="O1524" t="s">
        <v>25</v>
      </c>
      <c r="P1524" t="s">
        <v>50</v>
      </c>
      <c r="Q1524">
        <v>10</v>
      </c>
      <c r="R1524">
        <v>11</v>
      </c>
      <c r="S1524" t="s">
        <v>36</v>
      </c>
    </row>
    <row r="1525" spans="1:19" x14ac:dyDescent="0.3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 t="str">
        <f t="shared" si="23"/>
        <v>31-60 days</v>
      </c>
      <c r="L1525">
        <v>42</v>
      </c>
      <c r="M1525">
        <v>6</v>
      </c>
      <c r="N1525">
        <v>1</v>
      </c>
      <c r="O1525" t="s">
        <v>25</v>
      </c>
      <c r="P1525" t="s">
        <v>35</v>
      </c>
      <c r="Q1525">
        <v>11.9</v>
      </c>
      <c r="R1525">
        <v>36</v>
      </c>
      <c r="S1525" t="s">
        <v>27</v>
      </c>
    </row>
    <row r="1526" spans="1:19" x14ac:dyDescent="0.3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 t="str">
        <f t="shared" si="23"/>
        <v>15-30 days</v>
      </c>
      <c r="L1526">
        <v>18</v>
      </c>
      <c r="M1526">
        <v>3</v>
      </c>
      <c r="N1526">
        <v>0</v>
      </c>
      <c r="O1526" t="s">
        <v>54</v>
      </c>
      <c r="P1526" t="s">
        <v>55</v>
      </c>
      <c r="Q1526">
        <v>10.7</v>
      </c>
      <c r="R1526">
        <v>21</v>
      </c>
      <c r="S1526" t="s">
        <v>36</v>
      </c>
    </row>
    <row r="1527" spans="1:19" x14ac:dyDescent="0.3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 t="str">
        <f t="shared" si="23"/>
        <v>0-7 days</v>
      </c>
      <c r="L1527">
        <v>4</v>
      </c>
      <c r="M1527">
        <v>1</v>
      </c>
      <c r="N1527">
        <v>0</v>
      </c>
      <c r="O1527" t="s">
        <v>25</v>
      </c>
      <c r="P1527" t="s">
        <v>26</v>
      </c>
      <c r="Q1527">
        <v>10.9</v>
      </c>
      <c r="R1527">
        <v>44</v>
      </c>
      <c r="S1527" t="s">
        <v>27</v>
      </c>
    </row>
    <row r="1528" spans="1:19" x14ac:dyDescent="0.3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 t="str">
        <f t="shared" si="23"/>
        <v>0-7 days</v>
      </c>
      <c r="L1528">
        <v>0</v>
      </c>
      <c r="M1528">
        <v>3</v>
      </c>
      <c r="N1528">
        <v>0</v>
      </c>
      <c r="O1528" t="s">
        <v>54</v>
      </c>
      <c r="P1528" t="s">
        <v>55</v>
      </c>
      <c r="Q1528">
        <v>5.5</v>
      </c>
      <c r="R1528">
        <v>16</v>
      </c>
      <c r="S1528" t="s">
        <v>27</v>
      </c>
    </row>
    <row r="1529" spans="1:19" x14ac:dyDescent="0.3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 t="str">
        <f t="shared" si="23"/>
        <v>15-30 days</v>
      </c>
      <c r="L1529">
        <v>29</v>
      </c>
      <c r="M1529">
        <v>5</v>
      </c>
      <c r="N1529">
        <v>1</v>
      </c>
      <c r="O1529" t="s">
        <v>25</v>
      </c>
      <c r="P1529" t="s">
        <v>26</v>
      </c>
      <c r="Q1529">
        <v>10.5</v>
      </c>
      <c r="R1529">
        <v>12</v>
      </c>
      <c r="S1529" t="s">
        <v>27</v>
      </c>
    </row>
    <row r="1530" spans="1:19" x14ac:dyDescent="0.3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 t="str">
        <f t="shared" si="23"/>
        <v>31-60 days</v>
      </c>
      <c r="L1530">
        <v>51</v>
      </c>
      <c r="M1530">
        <v>5</v>
      </c>
      <c r="N1530">
        <v>1</v>
      </c>
      <c r="O1530" t="s">
        <v>25</v>
      </c>
      <c r="P1530" t="s">
        <v>26</v>
      </c>
      <c r="Q1530">
        <v>14.6</v>
      </c>
      <c r="R1530">
        <v>25</v>
      </c>
      <c r="S1530" t="s">
        <v>27</v>
      </c>
    </row>
    <row r="1531" spans="1:19" x14ac:dyDescent="0.3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 t="str">
        <f t="shared" si="23"/>
        <v>15-30 days</v>
      </c>
      <c r="L1531">
        <v>20</v>
      </c>
      <c r="M1531">
        <v>2</v>
      </c>
      <c r="N1531">
        <v>0</v>
      </c>
      <c r="O1531" t="s">
        <v>25</v>
      </c>
      <c r="P1531" t="s">
        <v>26</v>
      </c>
      <c r="Q1531">
        <v>18.399999999999999</v>
      </c>
      <c r="R1531">
        <v>32</v>
      </c>
      <c r="S1531" t="s">
        <v>27</v>
      </c>
    </row>
    <row r="1532" spans="1:19" x14ac:dyDescent="0.3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 t="str">
        <f t="shared" si="23"/>
        <v>0-7 days</v>
      </c>
      <c r="L1532">
        <v>3</v>
      </c>
      <c r="M1532">
        <v>3</v>
      </c>
      <c r="N1532">
        <v>1</v>
      </c>
      <c r="O1532" t="s">
        <v>25</v>
      </c>
      <c r="P1532" t="s">
        <v>35</v>
      </c>
      <c r="Q1532">
        <v>16.3</v>
      </c>
      <c r="R1532">
        <v>5</v>
      </c>
      <c r="S1532" t="s">
        <v>36</v>
      </c>
    </row>
    <row r="1533" spans="1:19" x14ac:dyDescent="0.3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 t="str">
        <f t="shared" si="23"/>
        <v>8-14 days</v>
      </c>
      <c r="L1533">
        <v>13</v>
      </c>
      <c r="M1533">
        <v>2</v>
      </c>
      <c r="N1533">
        <v>0</v>
      </c>
      <c r="O1533" t="s">
        <v>25</v>
      </c>
      <c r="P1533" t="s">
        <v>26</v>
      </c>
      <c r="Q1533">
        <v>13.1</v>
      </c>
      <c r="R1533">
        <v>20</v>
      </c>
      <c r="S1533" t="s">
        <v>36</v>
      </c>
    </row>
    <row r="1534" spans="1:19" x14ac:dyDescent="0.3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 t="str">
        <f t="shared" si="23"/>
        <v>15-30 days</v>
      </c>
      <c r="L1534">
        <v>30</v>
      </c>
      <c r="M1534">
        <v>3</v>
      </c>
      <c r="N1534">
        <v>1</v>
      </c>
      <c r="O1534" t="s">
        <v>25</v>
      </c>
      <c r="P1534" t="s">
        <v>35</v>
      </c>
      <c r="Q1534">
        <v>9.9</v>
      </c>
      <c r="R1534">
        <v>13</v>
      </c>
      <c r="S1534" t="s">
        <v>36</v>
      </c>
    </row>
    <row r="1535" spans="1:19" x14ac:dyDescent="0.3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 t="str">
        <f t="shared" si="23"/>
        <v>8-14 days</v>
      </c>
      <c r="L1535">
        <v>11</v>
      </c>
      <c r="M1535">
        <v>6</v>
      </c>
      <c r="N1535">
        <v>1</v>
      </c>
      <c r="O1535" t="s">
        <v>25</v>
      </c>
      <c r="P1535" t="s">
        <v>35</v>
      </c>
      <c r="R1535">
        <v>35</v>
      </c>
      <c r="S1535" t="s">
        <v>71</v>
      </c>
    </row>
    <row r="1536" spans="1:19" x14ac:dyDescent="0.3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 t="str">
        <f t="shared" si="23"/>
        <v>31-60 days</v>
      </c>
      <c r="L1536">
        <v>59</v>
      </c>
      <c r="M1536">
        <v>1</v>
      </c>
      <c r="N1536">
        <v>0</v>
      </c>
      <c r="O1536" t="s">
        <v>54</v>
      </c>
      <c r="P1536" t="s">
        <v>55</v>
      </c>
      <c r="Q1536">
        <v>10.9</v>
      </c>
      <c r="R1536">
        <v>19</v>
      </c>
      <c r="S1536" t="s">
        <v>36</v>
      </c>
    </row>
    <row r="1537" spans="1:19" x14ac:dyDescent="0.3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 t="str">
        <f t="shared" si="23"/>
        <v>31-60 days</v>
      </c>
      <c r="L1537">
        <v>46</v>
      </c>
      <c r="M1537">
        <v>4</v>
      </c>
      <c r="N1537">
        <v>0</v>
      </c>
      <c r="O1537" t="s">
        <v>25</v>
      </c>
      <c r="P1537" t="s">
        <v>35</v>
      </c>
      <c r="Q1537">
        <v>21.4</v>
      </c>
      <c r="R1537">
        <v>37</v>
      </c>
      <c r="S1537" t="s">
        <v>27</v>
      </c>
    </row>
    <row r="1538" spans="1:19" x14ac:dyDescent="0.3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 t="str">
        <f t="shared" si="23"/>
        <v>15-30 days</v>
      </c>
      <c r="L1538">
        <v>21</v>
      </c>
      <c r="M1538">
        <v>3</v>
      </c>
      <c r="N1538">
        <v>1</v>
      </c>
      <c r="O1538" t="s">
        <v>25</v>
      </c>
      <c r="P1538" t="s">
        <v>35</v>
      </c>
      <c r="Q1538">
        <v>7.3</v>
      </c>
      <c r="R1538">
        <v>17</v>
      </c>
      <c r="S1538" t="s">
        <v>36</v>
      </c>
    </row>
    <row r="1539" spans="1:19" x14ac:dyDescent="0.3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 t="str">
        <f t="shared" ref="K1539:K1602" si="24">IF(L1539&lt;=7,"0-7 days",IF(L1539&lt;=14,"8-14 days",IF(L1539&lt;=30,"15-30 days","31-60 days")))</f>
        <v>31-60 days</v>
      </c>
      <c r="L1539">
        <v>58</v>
      </c>
      <c r="M1539">
        <v>3</v>
      </c>
      <c r="N1539">
        <v>1</v>
      </c>
      <c r="O1539" t="s">
        <v>25</v>
      </c>
      <c r="P1539" t="s">
        <v>26</v>
      </c>
      <c r="Q1539">
        <v>24.4</v>
      </c>
      <c r="R1539">
        <v>28</v>
      </c>
      <c r="S1539" t="s">
        <v>27</v>
      </c>
    </row>
    <row r="1540" spans="1:19" x14ac:dyDescent="0.3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 t="str">
        <f t="shared" si="24"/>
        <v>15-30 days</v>
      </c>
      <c r="L1540">
        <v>19</v>
      </c>
      <c r="M1540">
        <v>0</v>
      </c>
      <c r="N1540">
        <v>0</v>
      </c>
      <c r="O1540" t="s">
        <v>25</v>
      </c>
      <c r="P1540" t="s">
        <v>35</v>
      </c>
      <c r="Q1540">
        <v>11.2</v>
      </c>
      <c r="R1540">
        <v>10</v>
      </c>
      <c r="S1540" t="s">
        <v>36</v>
      </c>
    </row>
    <row r="1541" spans="1:19" x14ac:dyDescent="0.3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 t="str">
        <f t="shared" si="24"/>
        <v>8-14 days</v>
      </c>
      <c r="L1541">
        <v>8</v>
      </c>
      <c r="M1541">
        <v>1</v>
      </c>
      <c r="N1541">
        <v>0</v>
      </c>
      <c r="O1541" t="s">
        <v>25</v>
      </c>
      <c r="P1541" t="s">
        <v>35</v>
      </c>
      <c r="Q1541">
        <v>19</v>
      </c>
      <c r="R1541">
        <v>24</v>
      </c>
      <c r="S1541" t="s">
        <v>36</v>
      </c>
    </row>
    <row r="1542" spans="1:19" x14ac:dyDescent="0.3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 t="str">
        <f t="shared" si="24"/>
        <v>31-60 days</v>
      </c>
      <c r="L1542">
        <v>57</v>
      </c>
      <c r="M1542">
        <v>7</v>
      </c>
      <c r="N1542">
        <v>2</v>
      </c>
      <c r="O1542" t="s">
        <v>25</v>
      </c>
      <c r="P1542" t="s">
        <v>26</v>
      </c>
      <c r="Q1542">
        <v>5.8</v>
      </c>
      <c r="R1542">
        <v>13</v>
      </c>
      <c r="S1542" t="s">
        <v>27</v>
      </c>
    </row>
    <row r="1543" spans="1:19" x14ac:dyDescent="0.3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 t="str">
        <f t="shared" si="24"/>
        <v>31-60 days</v>
      </c>
      <c r="L1543">
        <v>58</v>
      </c>
      <c r="M1543">
        <v>4</v>
      </c>
      <c r="N1543">
        <v>0</v>
      </c>
      <c r="O1543" t="s">
        <v>25</v>
      </c>
      <c r="P1543" t="s">
        <v>35</v>
      </c>
      <c r="Q1543">
        <v>5.3</v>
      </c>
      <c r="R1543">
        <v>42</v>
      </c>
      <c r="S1543" t="s">
        <v>36</v>
      </c>
    </row>
    <row r="1544" spans="1:19" x14ac:dyDescent="0.3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 t="str">
        <f t="shared" si="24"/>
        <v>15-30 days</v>
      </c>
      <c r="L1544">
        <v>19</v>
      </c>
      <c r="M1544">
        <v>2</v>
      </c>
      <c r="N1544">
        <v>0</v>
      </c>
      <c r="O1544" t="s">
        <v>25</v>
      </c>
      <c r="P1544" t="s">
        <v>26</v>
      </c>
      <c r="Q1544">
        <v>3.2</v>
      </c>
      <c r="R1544">
        <v>37</v>
      </c>
      <c r="S1544" t="s">
        <v>27</v>
      </c>
    </row>
    <row r="1545" spans="1:19" x14ac:dyDescent="0.3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 t="str">
        <f t="shared" si="24"/>
        <v>31-60 days</v>
      </c>
      <c r="L1545">
        <v>36</v>
      </c>
      <c r="M1545">
        <v>5</v>
      </c>
      <c r="N1545">
        <v>0</v>
      </c>
      <c r="O1545" t="s">
        <v>25</v>
      </c>
      <c r="P1545" t="s">
        <v>26</v>
      </c>
      <c r="Q1545">
        <v>21.2</v>
      </c>
      <c r="R1545">
        <v>27</v>
      </c>
      <c r="S1545" t="s">
        <v>71</v>
      </c>
    </row>
    <row r="1546" spans="1:19" x14ac:dyDescent="0.3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 t="str">
        <f t="shared" si="24"/>
        <v>8-14 days</v>
      </c>
      <c r="L1546">
        <v>10</v>
      </c>
      <c r="M1546">
        <v>4</v>
      </c>
      <c r="N1546">
        <v>0</v>
      </c>
      <c r="O1546" t="s">
        <v>54</v>
      </c>
      <c r="P1546" t="s">
        <v>55</v>
      </c>
      <c r="Q1546">
        <v>11.2</v>
      </c>
      <c r="R1546">
        <v>36</v>
      </c>
      <c r="S1546" t="s">
        <v>27</v>
      </c>
    </row>
    <row r="1547" spans="1:19" x14ac:dyDescent="0.3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 t="str">
        <f t="shared" si="24"/>
        <v>31-60 days</v>
      </c>
      <c r="L1547">
        <v>39</v>
      </c>
      <c r="M1547">
        <v>2</v>
      </c>
      <c r="N1547">
        <v>1</v>
      </c>
      <c r="O1547" t="s">
        <v>25</v>
      </c>
      <c r="P1547" t="s">
        <v>35</v>
      </c>
      <c r="Q1547">
        <v>14.4</v>
      </c>
      <c r="R1547">
        <v>19</v>
      </c>
      <c r="S1547" t="s">
        <v>27</v>
      </c>
    </row>
    <row r="1548" spans="1:19" x14ac:dyDescent="0.3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 t="str">
        <f t="shared" si="24"/>
        <v>31-60 days</v>
      </c>
      <c r="L1548">
        <v>42</v>
      </c>
      <c r="M1548">
        <v>2</v>
      </c>
      <c r="N1548">
        <v>0</v>
      </c>
      <c r="O1548" t="s">
        <v>54</v>
      </c>
      <c r="P1548" t="s">
        <v>55</v>
      </c>
      <c r="Q1548">
        <v>9.4</v>
      </c>
      <c r="R1548">
        <v>32</v>
      </c>
      <c r="S1548" t="s">
        <v>27</v>
      </c>
    </row>
    <row r="1549" spans="1:19" x14ac:dyDescent="0.3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 t="str">
        <f t="shared" si="24"/>
        <v>31-60 days</v>
      </c>
      <c r="L1549">
        <v>43</v>
      </c>
      <c r="M1549">
        <v>3</v>
      </c>
      <c r="N1549">
        <v>0</v>
      </c>
      <c r="O1549" t="s">
        <v>25</v>
      </c>
      <c r="P1549" t="s">
        <v>26</v>
      </c>
      <c r="Q1549">
        <v>10</v>
      </c>
      <c r="R1549">
        <v>24</v>
      </c>
      <c r="S1549" t="s">
        <v>36</v>
      </c>
    </row>
    <row r="1550" spans="1:19" x14ac:dyDescent="0.3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 t="str">
        <f t="shared" si="24"/>
        <v>31-60 days</v>
      </c>
      <c r="L1550">
        <v>34</v>
      </c>
      <c r="M1550">
        <v>3</v>
      </c>
      <c r="N1550">
        <v>0</v>
      </c>
      <c r="O1550" t="s">
        <v>25</v>
      </c>
      <c r="P1550" t="s">
        <v>35</v>
      </c>
      <c r="Q1550">
        <v>2.8</v>
      </c>
      <c r="R1550">
        <v>30</v>
      </c>
      <c r="S1550" t="s">
        <v>36</v>
      </c>
    </row>
    <row r="1551" spans="1:19" x14ac:dyDescent="0.3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 t="str">
        <f t="shared" si="24"/>
        <v>31-60 days</v>
      </c>
      <c r="L1551">
        <v>42</v>
      </c>
      <c r="M1551">
        <v>2</v>
      </c>
      <c r="N1551">
        <v>1</v>
      </c>
      <c r="O1551" t="s">
        <v>25</v>
      </c>
      <c r="P1551" t="s">
        <v>35</v>
      </c>
      <c r="Q1551">
        <v>11.3</v>
      </c>
      <c r="R1551">
        <v>26</v>
      </c>
      <c r="S1551" t="s">
        <v>36</v>
      </c>
    </row>
    <row r="1552" spans="1:19" x14ac:dyDescent="0.3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 t="str">
        <f t="shared" si="24"/>
        <v>31-60 days</v>
      </c>
      <c r="L1552">
        <v>33</v>
      </c>
      <c r="M1552">
        <v>3</v>
      </c>
      <c r="N1552">
        <v>0</v>
      </c>
      <c r="O1552" t="s">
        <v>54</v>
      </c>
      <c r="P1552" t="s">
        <v>55</v>
      </c>
      <c r="Q1552">
        <v>15.5</v>
      </c>
      <c r="R1552">
        <v>24</v>
      </c>
      <c r="S1552" t="s">
        <v>27</v>
      </c>
    </row>
    <row r="1553" spans="1:19" x14ac:dyDescent="0.3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 t="str">
        <f t="shared" si="24"/>
        <v>31-60 days</v>
      </c>
      <c r="L1553">
        <v>50</v>
      </c>
      <c r="M1553">
        <v>4</v>
      </c>
      <c r="N1553">
        <v>1</v>
      </c>
      <c r="O1553" t="s">
        <v>54</v>
      </c>
      <c r="P1553" t="s">
        <v>55</v>
      </c>
      <c r="Q1553">
        <v>1.4</v>
      </c>
      <c r="R1553">
        <v>5</v>
      </c>
      <c r="S1553" t="s">
        <v>27</v>
      </c>
    </row>
    <row r="1554" spans="1:19" x14ac:dyDescent="0.3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 t="str">
        <f t="shared" si="24"/>
        <v>8-14 days</v>
      </c>
      <c r="L1554">
        <v>10</v>
      </c>
      <c r="M1554">
        <v>2</v>
      </c>
      <c r="N1554">
        <v>0</v>
      </c>
      <c r="O1554" t="s">
        <v>25</v>
      </c>
      <c r="P1554" t="s">
        <v>50</v>
      </c>
      <c r="Q1554">
        <v>6.6</v>
      </c>
      <c r="R1554">
        <v>18</v>
      </c>
      <c r="S1554" t="s">
        <v>27</v>
      </c>
    </row>
    <row r="1555" spans="1:19" x14ac:dyDescent="0.3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 t="str">
        <f t="shared" si="24"/>
        <v>15-30 days</v>
      </c>
      <c r="L1555">
        <v>29</v>
      </c>
      <c r="M1555">
        <v>4</v>
      </c>
      <c r="N1555">
        <v>0</v>
      </c>
      <c r="O1555" t="s">
        <v>25</v>
      </c>
      <c r="P1555" t="s">
        <v>35</v>
      </c>
      <c r="Q1555">
        <v>4.9000000000000004</v>
      </c>
      <c r="R1555">
        <v>45</v>
      </c>
      <c r="S1555" t="s">
        <v>36</v>
      </c>
    </row>
    <row r="1556" spans="1:19" x14ac:dyDescent="0.3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 t="str">
        <f t="shared" si="24"/>
        <v>15-30 days</v>
      </c>
      <c r="L1556">
        <v>25</v>
      </c>
      <c r="M1556">
        <v>4</v>
      </c>
      <c r="N1556">
        <v>0</v>
      </c>
      <c r="O1556" t="s">
        <v>25</v>
      </c>
      <c r="P1556" t="s">
        <v>26</v>
      </c>
      <c r="Q1556">
        <v>12.9</v>
      </c>
      <c r="R1556">
        <v>24</v>
      </c>
      <c r="S1556" t="s">
        <v>36</v>
      </c>
    </row>
    <row r="1557" spans="1:19" x14ac:dyDescent="0.3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 t="str">
        <f t="shared" si="24"/>
        <v>31-60 days</v>
      </c>
      <c r="L1557">
        <v>32</v>
      </c>
      <c r="M1557">
        <v>3</v>
      </c>
      <c r="N1557">
        <v>0</v>
      </c>
      <c r="O1557" t="s">
        <v>25</v>
      </c>
      <c r="P1557" t="s">
        <v>26</v>
      </c>
      <c r="Q1557">
        <v>12.5</v>
      </c>
      <c r="R1557">
        <v>17</v>
      </c>
      <c r="S1557" t="s">
        <v>71</v>
      </c>
    </row>
    <row r="1558" spans="1:19" x14ac:dyDescent="0.3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 t="str">
        <f t="shared" si="24"/>
        <v>8-14 days</v>
      </c>
      <c r="L1558">
        <v>8</v>
      </c>
      <c r="M1558">
        <v>0</v>
      </c>
      <c r="N1558">
        <v>0</v>
      </c>
      <c r="O1558" t="s">
        <v>25</v>
      </c>
      <c r="P1558" t="s">
        <v>35</v>
      </c>
      <c r="Q1558">
        <v>14.4</v>
      </c>
      <c r="S1558" t="s">
        <v>36</v>
      </c>
    </row>
    <row r="1559" spans="1:19" x14ac:dyDescent="0.3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 t="str">
        <f t="shared" si="24"/>
        <v>15-30 days</v>
      </c>
      <c r="L1559">
        <v>19</v>
      </c>
      <c r="M1559">
        <v>3</v>
      </c>
      <c r="N1559">
        <v>1</v>
      </c>
      <c r="O1559" t="s">
        <v>25</v>
      </c>
      <c r="P1559" t="s">
        <v>26</v>
      </c>
      <c r="Q1559">
        <v>0.5</v>
      </c>
      <c r="R1559">
        <v>8</v>
      </c>
      <c r="S1559" t="s">
        <v>36</v>
      </c>
    </row>
    <row r="1560" spans="1:19" x14ac:dyDescent="0.3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 t="str">
        <f t="shared" si="24"/>
        <v>31-60 days</v>
      </c>
      <c r="L1560">
        <v>58</v>
      </c>
      <c r="M1560">
        <v>1</v>
      </c>
      <c r="N1560">
        <v>0</v>
      </c>
      <c r="O1560" t="s">
        <v>25</v>
      </c>
      <c r="P1560" t="s">
        <v>35</v>
      </c>
      <c r="Q1560">
        <v>9.5</v>
      </c>
      <c r="R1560">
        <v>20</v>
      </c>
      <c r="S1560" t="s">
        <v>36</v>
      </c>
    </row>
    <row r="1561" spans="1:19" x14ac:dyDescent="0.3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 t="str">
        <f t="shared" si="24"/>
        <v>0-7 days</v>
      </c>
      <c r="L1561">
        <v>6</v>
      </c>
      <c r="M1561">
        <v>3</v>
      </c>
      <c r="N1561">
        <v>1</v>
      </c>
      <c r="O1561" t="s">
        <v>25</v>
      </c>
      <c r="P1561" t="s">
        <v>35</v>
      </c>
      <c r="Q1561">
        <v>1.8</v>
      </c>
      <c r="R1561">
        <v>27</v>
      </c>
      <c r="S1561" t="s">
        <v>36</v>
      </c>
    </row>
    <row r="1562" spans="1:19" x14ac:dyDescent="0.3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 t="str">
        <f t="shared" si="24"/>
        <v>31-60 days</v>
      </c>
      <c r="L1562">
        <v>38</v>
      </c>
      <c r="M1562">
        <v>3</v>
      </c>
      <c r="N1562">
        <v>1</v>
      </c>
      <c r="O1562" t="s">
        <v>54</v>
      </c>
      <c r="P1562" t="s">
        <v>55</v>
      </c>
      <c r="Q1562">
        <v>10.9</v>
      </c>
      <c r="R1562">
        <v>30</v>
      </c>
      <c r="S1562" t="s">
        <v>27</v>
      </c>
    </row>
    <row r="1563" spans="1:19" x14ac:dyDescent="0.3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 t="str">
        <f t="shared" si="24"/>
        <v>31-60 days</v>
      </c>
      <c r="L1563">
        <v>40</v>
      </c>
      <c r="M1563">
        <v>0</v>
      </c>
      <c r="N1563">
        <v>0</v>
      </c>
      <c r="O1563" t="s">
        <v>25</v>
      </c>
      <c r="P1563" t="s">
        <v>35</v>
      </c>
      <c r="Q1563">
        <v>2.9</v>
      </c>
      <c r="R1563">
        <v>29</v>
      </c>
      <c r="S1563" t="s">
        <v>36</v>
      </c>
    </row>
    <row r="1564" spans="1:19" x14ac:dyDescent="0.3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 t="str">
        <f t="shared" si="24"/>
        <v>15-30 days</v>
      </c>
      <c r="L1564">
        <v>28</v>
      </c>
      <c r="M1564">
        <v>1</v>
      </c>
      <c r="N1564">
        <v>0</v>
      </c>
      <c r="O1564" t="s">
        <v>25</v>
      </c>
      <c r="P1564" t="s">
        <v>35</v>
      </c>
      <c r="Q1564">
        <v>12.3</v>
      </c>
      <c r="R1564">
        <v>42</v>
      </c>
      <c r="S1564" t="s">
        <v>36</v>
      </c>
    </row>
    <row r="1565" spans="1:19" x14ac:dyDescent="0.3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 t="str">
        <f t="shared" si="24"/>
        <v>0-7 days</v>
      </c>
      <c r="L1565">
        <v>2</v>
      </c>
      <c r="M1565">
        <v>1</v>
      </c>
      <c r="N1565">
        <v>0</v>
      </c>
      <c r="O1565" t="s">
        <v>54</v>
      </c>
      <c r="P1565" t="s">
        <v>55</v>
      </c>
      <c r="Q1565">
        <v>3</v>
      </c>
      <c r="R1565">
        <v>17</v>
      </c>
      <c r="S1565" t="s">
        <v>36</v>
      </c>
    </row>
    <row r="1566" spans="1:19" x14ac:dyDescent="0.3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 t="str">
        <f t="shared" si="24"/>
        <v>0-7 days</v>
      </c>
      <c r="L1566">
        <v>2</v>
      </c>
      <c r="M1566">
        <v>4</v>
      </c>
      <c r="N1566">
        <v>1</v>
      </c>
      <c r="O1566" t="s">
        <v>25</v>
      </c>
      <c r="P1566" t="s">
        <v>35</v>
      </c>
      <c r="Q1566">
        <v>4.0999999999999996</v>
      </c>
      <c r="R1566">
        <v>8</v>
      </c>
      <c r="S1566" t="s">
        <v>36</v>
      </c>
    </row>
    <row r="1567" spans="1:19" x14ac:dyDescent="0.3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 t="str">
        <f t="shared" si="24"/>
        <v>15-30 days</v>
      </c>
      <c r="L1567">
        <v>16</v>
      </c>
      <c r="M1567">
        <v>6</v>
      </c>
      <c r="N1567">
        <v>3</v>
      </c>
      <c r="O1567" t="s">
        <v>25</v>
      </c>
      <c r="P1567" t="s">
        <v>50</v>
      </c>
      <c r="Q1567">
        <v>17.7</v>
      </c>
      <c r="R1567">
        <v>21</v>
      </c>
      <c r="S1567" t="s">
        <v>27</v>
      </c>
    </row>
    <row r="1568" spans="1:19" x14ac:dyDescent="0.3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 t="str">
        <f t="shared" si="24"/>
        <v>0-7 days</v>
      </c>
      <c r="L1568">
        <v>6</v>
      </c>
      <c r="M1568">
        <v>6</v>
      </c>
      <c r="N1568">
        <v>1</v>
      </c>
      <c r="O1568" t="s">
        <v>25</v>
      </c>
      <c r="P1568" t="s">
        <v>35</v>
      </c>
      <c r="Q1568">
        <v>8.1999999999999993</v>
      </c>
      <c r="R1568">
        <v>19</v>
      </c>
      <c r="S1568" t="s">
        <v>36</v>
      </c>
    </row>
    <row r="1569" spans="1:19" x14ac:dyDescent="0.3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 t="str">
        <f t="shared" si="24"/>
        <v>0-7 days</v>
      </c>
      <c r="L1569">
        <v>5</v>
      </c>
      <c r="M1569">
        <v>1</v>
      </c>
      <c r="N1569">
        <v>0</v>
      </c>
      <c r="O1569" t="s">
        <v>25</v>
      </c>
      <c r="P1569" t="s">
        <v>26</v>
      </c>
      <c r="Q1569">
        <v>8.4</v>
      </c>
      <c r="R1569">
        <v>27</v>
      </c>
      <c r="S1569" t="s">
        <v>27</v>
      </c>
    </row>
    <row r="1570" spans="1:19" x14ac:dyDescent="0.3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 t="str">
        <f t="shared" si="24"/>
        <v>8-14 days</v>
      </c>
      <c r="L1570">
        <v>9</v>
      </c>
      <c r="M1570">
        <v>2</v>
      </c>
      <c r="N1570">
        <v>0</v>
      </c>
      <c r="O1570" t="s">
        <v>25</v>
      </c>
      <c r="P1570" t="s">
        <v>35</v>
      </c>
      <c r="Q1570">
        <v>4</v>
      </c>
      <c r="R1570">
        <v>22</v>
      </c>
      <c r="S1570" t="s">
        <v>36</v>
      </c>
    </row>
    <row r="1571" spans="1:19" x14ac:dyDescent="0.3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 t="str">
        <f t="shared" si="24"/>
        <v>8-14 days</v>
      </c>
      <c r="L1571">
        <v>11</v>
      </c>
      <c r="M1571">
        <v>5</v>
      </c>
      <c r="N1571">
        <v>2</v>
      </c>
      <c r="O1571" t="s">
        <v>25</v>
      </c>
      <c r="P1571" t="s">
        <v>35</v>
      </c>
      <c r="Q1571">
        <v>16.600000000000001</v>
      </c>
      <c r="R1571">
        <v>26</v>
      </c>
      <c r="S1571" t="s">
        <v>36</v>
      </c>
    </row>
    <row r="1572" spans="1:19" x14ac:dyDescent="0.3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 t="str">
        <f t="shared" si="24"/>
        <v>31-60 days</v>
      </c>
      <c r="L1572">
        <v>51</v>
      </c>
      <c r="M1572">
        <v>2</v>
      </c>
      <c r="N1572">
        <v>0</v>
      </c>
      <c r="O1572" t="s">
        <v>54</v>
      </c>
      <c r="P1572" t="s">
        <v>55</v>
      </c>
      <c r="Q1572">
        <v>11.3</v>
      </c>
      <c r="S1572" t="s">
        <v>27</v>
      </c>
    </row>
    <row r="1573" spans="1:19" x14ac:dyDescent="0.3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 t="str">
        <f t="shared" si="24"/>
        <v>31-60 days</v>
      </c>
      <c r="L1573">
        <v>38</v>
      </c>
      <c r="M1573">
        <v>3</v>
      </c>
      <c r="N1573">
        <v>0</v>
      </c>
      <c r="O1573" t="s">
        <v>25</v>
      </c>
      <c r="P1573" t="s">
        <v>26</v>
      </c>
      <c r="Q1573">
        <v>10.7</v>
      </c>
      <c r="R1573">
        <v>35</v>
      </c>
      <c r="S1573" t="s">
        <v>36</v>
      </c>
    </row>
    <row r="1574" spans="1:19" x14ac:dyDescent="0.3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 t="str">
        <f t="shared" si="24"/>
        <v>0-7 days</v>
      </c>
      <c r="L1574">
        <v>1</v>
      </c>
      <c r="M1574">
        <v>2</v>
      </c>
      <c r="N1574">
        <v>1</v>
      </c>
      <c r="O1574" t="s">
        <v>25</v>
      </c>
      <c r="P1574" t="s">
        <v>50</v>
      </c>
      <c r="Q1574">
        <v>3.5</v>
      </c>
      <c r="R1574">
        <v>25</v>
      </c>
      <c r="S1574" t="s">
        <v>71</v>
      </c>
    </row>
    <row r="1575" spans="1:19" x14ac:dyDescent="0.3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 t="str">
        <f t="shared" si="24"/>
        <v>31-60 days</v>
      </c>
      <c r="L1575">
        <v>38</v>
      </c>
      <c r="M1575">
        <v>1</v>
      </c>
      <c r="N1575">
        <v>0</v>
      </c>
      <c r="O1575" t="s">
        <v>25</v>
      </c>
      <c r="P1575" t="s">
        <v>35</v>
      </c>
      <c r="Q1575">
        <v>9.5</v>
      </c>
      <c r="R1575">
        <v>27</v>
      </c>
      <c r="S1575" t="s">
        <v>36</v>
      </c>
    </row>
    <row r="1576" spans="1:19" x14ac:dyDescent="0.3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 t="str">
        <f t="shared" si="24"/>
        <v>8-14 days</v>
      </c>
      <c r="L1576">
        <v>8</v>
      </c>
      <c r="M1576">
        <v>1</v>
      </c>
      <c r="N1576">
        <v>0</v>
      </c>
      <c r="O1576" t="s">
        <v>54</v>
      </c>
      <c r="P1576" t="s">
        <v>55</v>
      </c>
      <c r="Q1576">
        <v>35.4</v>
      </c>
      <c r="R1576">
        <v>44</v>
      </c>
      <c r="S1576" t="s">
        <v>71</v>
      </c>
    </row>
    <row r="1577" spans="1:19" x14ac:dyDescent="0.3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 t="str">
        <f t="shared" si="24"/>
        <v>15-30 days</v>
      </c>
      <c r="L1577">
        <v>25</v>
      </c>
      <c r="M1577">
        <v>5</v>
      </c>
      <c r="N1577">
        <v>1</v>
      </c>
      <c r="O1577" t="s">
        <v>54</v>
      </c>
      <c r="P1577" t="s">
        <v>55</v>
      </c>
      <c r="Q1577">
        <v>5.3</v>
      </c>
      <c r="R1577">
        <v>7</v>
      </c>
      <c r="S1577" t="s">
        <v>36</v>
      </c>
    </row>
    <row r="1578" spans="1:19" x14ac:dyDescent="0.3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 t="str">
        <f t="shared" si="24"/>
        <v>0-7 days</v>
      </c>
      <c r="L1578">
        <v>2</v>
      </c>
      <c r="M1578">
        <v>4</v>
      </c>
      <c r="N1578">
        <v>1</v>
      </c>
      <c r="O1578" t="s">
        <v>25</v>
      </c>
      <c r="P1578" t="s">
        <v>35</v>
      </c>
      <c r="Q1578">
        <v>17.399999999999999</v>
      </c>
      <c r="S1578" t="s">
        <v>27</v>
      </c>
    </row>
    <row r="1579" spans="1:19" x14ac:dyDescent="0.3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 t="str">
        <f t="shared" si="24"/>
        <v>0-7 days</v>
      </c>
      <c r="L1579">
        <v>5</v>
      </c>
      <c r="M1579">
        <v>1</v>
      </c>
      <c r="N1579">
        <v>0</v>
      </c>
      <c r="O1579" t="s">
        <v>25</v>
      </c>
      <c r="P1579" t="s">
        <v>35</v>
      </c>
      <c r="Q1579">
        <v>1.2</v>
      </c>
      <c r="R1579">
        <v>24</v>
      </c>
      <c r="S1579" t="s">
        <v>36</v>
      </c>
    </row>
    <row r="1580" spans="1:19" x14ac:dyDescent="0.3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 t="str">
        <f t="shared" si="24"/>
        <v>8-14 days</v>
      </c>
      <c r="L1580">
        <v>8</v>
      </c>
      <c r="M1580">
        <v>1</v>
      </c>
      <c r="N1580">
        <v>0</v>
      </c>
      <c r="O1580" t="s">
        <v>54</v>
      </c>
      <c r="P1580" t="s">
        <v>55</v>
      </c>
      <c r="Q1580">
        <v>14.1</v>
      </c>
      <c r="R1580">
        <v>25</v>
      </c>
      <c r="S1580" t="s">
        <v>71</v>
      </c>
    </row>
    <row r="1581" spans="1:19" x14ac:dyDescent="0.3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 t="str">
        <f t="shared" si="24"/>
        <v>15-30 days</v>
      </c>
      <c r="L1581">
        <v>26</v>
      </c>
      <c r="M1581">
        <v>2</v>
      </c>
      <c r="N1581">
        <v>0</v>
      </c>
      <c r="O1581" t="s">
        <v>25</v>
      </c>
      <c r="P1581" t="s">
        <v>35</v>
      </c>
      <c r="Q1581">
        <v>11.6</v>
      </c>
      <c r="R1581">
        <v>31</v>
      </c>
      <c r="S1581" t="s">
        <v>36</v>
      </c>
    </row>
    <row r="1582" spans="1:19" x14ac:dyDescent="0.3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 t="str">
        <f t="shared" si="24"/>
        <v>15-30 days</v>
      </c>
      <c r="L1582">
        <v>28</v>
      </c>
      <c r="M1582">
        <v>2</v>
      </c>
      <c r="N1582">
        <v>0</v>
      </c>
      <c r="O1582" t="s">
        <v>54</v>
      </c>
      <c r="P1582" t="s">
        <v>55</v>
      </c>
      <c r="Q1582">
        <v>7.6</v>
      </c>
      <c r="R1582">
        <v>16</v>
      </c>
      <c r="S1582" t="s">
        <v>71</v>
      </c>
    </row>
    <row r="1583" spans="1:19" x14ac:dyDescent="0.3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 t="str">
        <f t="shared" si="24"/>
        <v>15-30 days</v>
      </c>
      <c r="L1583">
        <v>21</v>
      </c>
      <c r="M1583">
        <v>1</v>
      </c>
      <c r="N1583">
        <v>1</v>
      </c>
      <c r="O1583" t="s">
        <v>25</v>
      </c>
      <c r="P1583" t="s">
        <v>35</v>
      </c>
      <c r="Q1583">
        <v>11.2</v>
      </c>
      <c r="R1583">
        <v>19</v>
      </c>
      <c r="S1583" t="s">
        <v>71</v>
      </c>
    </row>
    <row r="1584" spans="1:19" x14ac:dyDescent="0.3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 t="str">
        <f t="shared" si="24"/>
        <v>31-60 days</v>
      </c>
      <c r="L1584">
        <v>37</v>
      </c>
      <c r="M1584">
        <v>3</v>
      </c>
      <c r="N1584">
        <v>1</v>
      </c>
      <c r="O1584" t="s">
        <v>25</v>
      </c>
      <c r="P1584" t="s">
        <v>35</v>
      </c>
      <c r="Q1584">
        <v>11.4</v>
      </c>
      <c r="R1584">
        <v>33</v>
      </c>
      <c r="S1584" t="s">
        <v>36</v>
      </c>
    </row>
    <row r="1585" spans="1:19" x14ac:dyDescent="0.3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 t="str">
        <f t="shared" si="24"/>
        <v>31-60 days</v>
      </c>
      <c r="L1585">
        <v>43</v>
      </c>
      <c r="M1585">
        <v>8</v>
      </c>
      <c r="N1585">
        <v>2</v>
      </c>
      <c r="O1585" t="s">
        <v>25</v>
      </c>
      <c r="P1585" t="s">
        <v>26</v>
      </c>
      <c r="Q1585">
        <v>11.3</v>
      </c>
      <c r="R1585">
        <v>23</v>
      </c>
      <c r="S1585" t="s">
        <v>27</v>
      </c>
    </row>
    <row r="1586" spans="1:19" x14ac:dyDescent="0.3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 t="str">
        <f t="shared" si="24"/>
        <v>31-60 days</v>
      </c>
      <c r="L1586">
        <v>44</v>
      </c>
      <c r="M1586">
        <v>5</v>
      </c>
      <c r="N1586">
        <v>0</v>
      </c>
      <c r="O1586" t="s">
        <v>25</v>
      </c>
      <c r="P1586" t="s">
        <v>35</v>
      </c>
      <c r="Q1586">
        <v>6.7</v>
      </c>
      <c r="R1586">
        <v>14</v>
      </c>
      <c r="S1586" t="s">
        <v>27</v>
      </c>
    </row>
    <row r="1587" spans="1:19" x14ac:dyDescent="0.3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 t="str">
        <f t="shared" si="24"/>
        <v>31-60 days</v>
      </c>
      <c r="L1587">
        <v>35</v>
      </c>
      <c r="M1587">
        <v>1</v>
      </c>
      <c r="N1587">
        <v>1</v>
      </c>
      <c r="O1587" t="s">
        <v>25</v>
      </c>
      <c r="P1587" t="s">
        <v>26</v>
      </c>
      <c r="Q1587">
        <v>6.1</v>
      </c>
      <c r="R1587">
        <v>33</v>
      </c>
      <c r="S1587" t="s">
        <v>27</v>
      </c>
    </row>
    <row r="1588" spans="1:19" x14ac:dyDescent="0.3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 t="str">
        <f t="shared" si="24"/>
        <v>31-60 days</v>
      </c>
      <c r="L1588">
        <v>33</v>
      </c>
      <c r="M1588">
        <v>3</v>
      </c>
      <c r="N1588">
        <v>0</v>
      </c>
      <c r="O1588" t="s">
        <v>54</v>
      </c>
      <c r="P1588" t="s">
        <v>55</v>
      </c>
      <c r="Q1588">
        <v>4.8</v>
      </c>
      <c r="R1588">
        <v>32</v>
      </c>
      <c r="S1588" t="s">
        <v>36</v>
      </c>
    </row>
    <row r="1589" spans="1:19" x14ac:dyDescent="0.3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 t="str">
        <f t="shared" si="24"/>
        <v>15-30 days</v>
      </c>
      <c r="L1589">
        <v>29</v>
      </c>
      <c r="M1589">
        <v>4</v>
      </c>
      <c r="N1589">
        <v>2</v>
      </c>
      <c r="O1589" t="s">
        <v>25</v>
      </c>
      <c r="P1589" t="s">
        <v>35</v>
      </c>
      <c r="Q1589">
        <v>2.5</v>
      </c>
      <c r="R1589">
        <v>27</v>
      </c>
      <c r="S1589" t="s">
        <v>27</v>
      </c>
    </row>
    <row r="1590" spans="1:19" x14ac:dyDescent="0.3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 t="str">
        <f t="shared" si="24"/>
        <v>8-14 days</v>
      </c>
      <c r="L1590">
        <v>14</v>
      </c>
      <c r="M1590">
        <v>2</v>
      </c>
      <c r="N1590">
        <v>1</v>
      </c>
      <c r="O1590" t="s">
        <v>54</v>
      </c>
      <c r="P1590" t="s">
        <v>55</v>
      </c>
      <c r="Q1590">
        <v>8.3000000000000007</v>
      </c>
      <c r="R1590">
        <v>29</v>
      </c>
      <c r="S1590" t="s">
        <v>36</v>
      </c>
    </row>
    <row r="1591" spans="1:19" x14ac:dyDescent="0.3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 t="str">
        <f t="shared" si="24"/>
        <v>15-30 days</v>
      </c>
      <c r="L1591">
        <v>29</v>
      </c>
      <c r="M1591">
        <v>4</v>
      </c>
      <c r="N1591">
        <v>2</v>
      </c>
      <c r="O1591" t="s">
        <v>25</v>
      </c>
      <c r="P1591" t="s">
        <v>35</v>
      </c>
      <c r="Q1591">
        <v>16</v>
      </c>
      <c r="R1591">
        <v>31</v>
      </c>
      <c r="S1591" t="s">
        <v>27</v>
      </c>
    </row>
    <row r="1592" spans="1:19" x14ac:dyDescent="0.3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 t="str">
        <f t="shared" si="24"/>
        <v>0-7 days</v>
      </c>
      <c r="L1592">
        <v>0</v>
      </c>
      <c r="M1592">
        <v>1</v>
      </c>
      <c r="N1592">
        <v>0</v>
      </c>
      <c r="O1592" t="s">
        <v>54</v>
      </c>
      <c r="P1592" t="s">
        <v>55</v>
      </c>
      <c r="Q1592">
        <v>5.9</v>
      </c>
      <c r="R1592">
        <v>24</v>
      </c>
      <c r="S1592" t="s">
        <v>27</v>
      </c>
    </row>
    <row r="1593" spans="1:19" x14ac:dyDescent="0.3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 t="str">
        <f t="shared" si="24"/>
        <v>31-60 days</v>
      </c>
      <c r="L1593">
        <v>58</v>
      </c>
      <c r="M1593">
        <v>3</v>
      </c>
      <c r="N1593">
        <v>0</v>
      </c>
      <c r="O1593" t="s">
        <v>25</v>
      </c>
      <c r="P1593" t="s">
        <v>35</v>
      </c>
      <c r="Q1593">
        <v>3.5</v>
      </c>
      <c r="R1593">
        <v>28</v>
      </c>
      <c r="S1593" t="s">
        <v>27</v>
      </c>
    </row>
    <row r="1594" spans="1:19" x14ac:dyDescent="0.3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 t="str">
        <f t="shared" si="24"/>
        <v>15-30 days</v>
      </c>
      <c r="L1594">
        <v>22</v>
      </c>
      <c r="M1594">
        <v>3</v>
      </c>
      <c r="N1594">
        <v>1</v>
      </c>
      <c r="O1594" t="s">
        <v>54</v>
      </c>
      <c r="P1594" t="s">
        <v>55</v>
      </c>
      <c r="Q1594">
        <v>4.9000000000000004</v>
      </c>
      <c r="R1594">
        <v>12</v>
      </c>
      <c r="S1594" t="s">
        <v>27</v>
      </c>
    </row>
    <row r="1595" spans="1:19" x14ac:dyDescent="0.3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 t="str">
        <f t="shared" si="24"/>
        <v>31-60 days</v>
      </c>
      <c r="L1595">
        <v>46</v>
      </c>
      <c r="M1595">
        <v>6</v>
      </c>
      <c r="N1595">
        <v>1</v>
      </c>
      <c r="O1595" t="s">
        <v>54</v>
      </c>
      <c r="P1595" t="s">
        <v>55</v>
      </c>
      <c r="Q1595">
        <v>9.3000000000000007</v>
      </c>
      <c r="R1595">
        <v>22</v>
      </c>
      <c r="S1595" t="s">
        <v>27</v>
      </c>
    </row>
    <row r="1596" spans="1:19" x14ac:dyDescent="0.3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 t="str">
        <f t="shared" si="24"/>
        <v>31-60 days</v>
      </c>
      <c r="L1596">
        <v>58</v>
      </c>
      <c r="M1596">
        <v>1</v>
      </c>
      <c r="N1596">
        <v>0</v>
      </c>
      <c r="O1596" t="s">
        <v>54</v>
      </c>
      <c r="P1596" t="s">
        <v>55</v>
      </c>
      <c r="R1596">
        <v>35</v>
      </c>
      <c r="S1596" t="s">
        <v>27</v>
      </c>
    </row>
    <row r="1597" spans="1:19" x14ac:dyDescent="0.3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 t="str">
        <f t="shared" si="24"/>
        <v>15-30 days</v>
      </c>
      <c r="L1597">
        <v>30</v>
      </c>
      <c r="M1597">
        <v>4</v>
      </c>
      <c r="N1597">
        <v>1</v>
      </c>
      <c r="O1597" t="s">
        <v>25</v>
      </c>
      <c r="P1597" t="s">
        <v>35</v>
      </c>
      <c r="Q1597">
        <v>4.5</v>
      </c>
      <c r="S1597" t="s">
        <v>27</v>
      </c>
    </row>
    <row r="1598" spans="1:19" x14ac:dyDescent="0.3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 t="str">
        <f t="shared" si="24"/>
        <v>31-60 days</v>
      </c>
      <c r="L1598">
        <v>52</v>
      </c>
      <c r="M1598">
        <v>5</v>
      </c>
      <c r="N1598">
        <v>1</v>
      </c>
      <c r="O1598" t="s">
        <v>25</v>
      </c>
      <c r="P1598" t="s">
        <v>50</v>
      </c>
      <c r="Q1598">
        <v>8.4</v>
      </c>
      <c r="R1598">
        <v>26</v>
      </c>
      <c r="S1598" t="s">
        <v>36</v>
      </c>
    </row>
    <row r="1599" spans="1:19" x14ac:dyDescent="0.3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 t="str">
        <f t="shared" si="24"/>
        <v>15-30 days</v>
      </c>
      <c r="L1599">
        <v>29</v>
      </c>
      <c r="M1599">
        <v>4</v>
      </c>
      <c r="N1599">
        <v>0</v>
      </c>
      <c r="O1599" t="s">
        <v>54</v>
      </c>
      <c r="P1599" t="s">
        <v>55</v>
      </c>
      <c r="Q1599">
        <v>7.5</v>
      </c>
      <c r="R1599">
        <v>15</v>
      </c>
      <c r="S1599" t="s">
        <v>36</v>
      </c>
    </row>
    <row r="1600" spans="1:19" x14ac:dyDescent="0.3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 t="str">
        <f t="shared" si="24"/>
        <v>8-14 days</v>
      </c>
      <c r="L1600">
        <v>8</v>
      </c>
      <c r="M1600">
        <v>1</v>
      </c>
      <c r="N1600">
        <v>0</v>
      </c>
      <c r="O1600" t="s">
        <v>25</v>
      </c>
      <c r="P1600" t="s">
        <v>26</v>
      </c>
      <c r="Q1600">
        <v>12.3</v>
      </c>
      <c r="R1600">
        <v>21</v>
      </c>
      <c r="S1600" t="s">
        <v>36</v>
      </c>
    </row>
    <row r="1601" spans="1:19" x14ac:dyDescent="0.3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 t="str">
        <f t="shared" si="24"/>
        <v>0-7 days</v>
      </c>
      <c r="L1601">
        <v>1</v>
      </c>
      <c r="M1601">
        <v>4</v>
      </c>
      <c r="N1601">
        <v>1</v>
      </c>
      <c r="O1601" t="s">
        <v>25</v>
      </c>
      <c r="P1601" t="s">
        <v>26</v>
      </c>
      <c r="Q1601">
        <v>20.100000000000001</v>
      </c>
      <c r="R1601">
        <v>9</v>
      </c>
      <c r="S1601" t="s">
        <v>36</v>
      </c>
    </row>
    <row r="1602" spans="1:19" x14ac:dyDescent="0.3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 t="str">
        <f t="shared" si="24"/>
        <v>8-14 days</v>
      </c>
      <c r="L1602">
        <v>8</v>
      </c>
      <c r="M1602">
        <v>3</v>
      </c>
      <c r="N1602">
        <v>0</v>
      </c>
      <c r="O1602" t="s">
        <v>25</v>
      </c>
      <c r="P1602" t="s">
        <v>26</v>
      </c>
      <c r="Q1602">
        <v>5.8</v>
      </c>
      <c r="R1602">
        <v>32</v>
      </c>
      <c r="S1602" t="s">
        <v>36</v>
      </c>
    </row>
    <row r="1603" spans="1:19" x14ac:dyDescent="0.3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 t="str">
        <f t="shared" ref="K1603:K1666" si="25">IF(L1603&lt;=7,"0-7 days",IF(L1603&lt;=14,"8-14 days",IF(L1603&lt;=30,"15-30 days","31-60 days")))</f>
        <v>31-60 days</v>
      </c>
      <c r="L1603">
        <v>57</v>
      </c>
      <c r="M1603">
        <v>0</v>
      </c>
      <c r="N1603">
        <v>0</v>
      </c>
      <c r="O1603" t="s">
        <v>54</v>
      </c>
      <c r="P1603" t="s">
        <v>55</v>
      </c>
      <c r="Q1603">
        <v>5.0999999999999996</v>
      </c>
      <c r="R1603">
        <v>25</v>
      </c>
      <c r="S1603" t="s">
        <v>27</v>
      </c>
    </row>
    <row r="1604" spans="1:19" x14ac:dyDescent="0.3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 t="str">
        <f t="shared" si="25"/>
        <v>15-30 days</v>
      </c>
      <c r="L1604">
        <v>28</v>
      </c>
      <c r="M1604">
        <v>5</v>
      </c>
      <c r="N1604">
        <v>2</v>
      </c>
      <c r="O1604" t="s">
        <v>54</v>
      </c>
      <c r="P1604" t="s">
        <v>55</v>
      </c>
      <c r="Q1604">
        <v>9.1999999999999993</v>
      </c>
      <c r="R1604">
        <v>14</v>
      </c>
      <c r="S1604" t="s">
        <v>27</v>
      </c>
    </row>
    <row r="1605" spans="1:19" x14ac:dyDescent="0.3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 t="str">
        <f t="shared" si="25"/>
        <v>15-30 days</v>
      </c>
      <c r="L1605">
        <v>19</v>
      </c>
      <c r="M1605">
        <v>4</v>
      </c>
      <c r="N1605">
        <v>2</v>
      </c>
      <c r="O1605" t="s">
        <v>54</v>
      </c>
      <c r="P1605" t="s">
        <v>55</v>
      </c>
      <c r="Q1605">
        <v>10.5</v>
      </c>
      <c r="R1605">
        <v>23</v>
      </c>
      <c r="S1605" t="s">
        <v>36</v>
      </c>
    </row>
    <row r="1606" spans="1:19" x14ac:dyDescent="0.3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 t="str">
        <f t="shared" si="25"/>
        <v>15-30 days</v>
      </c>
      <c r="L1606">
        <v>27</v>
      </c>
      <c r="M1606">
        <v>0</v>
      </c>
      <c r="N1606">
        <v>0</v>
      </c>
      <c r="O1606" t="s">
        <v>25</v>
      </c>
      <c r="P1606" t="s">
        <v>35</v>
      </c>
      <c r="Q1606">
        <v>12.7</v>
      </c>
      <c r="R1606">
        <v>32</v>
      </c>
      <c r="S1606" t="s">
        <v>36</v>
      </c>
    </row>
    <row r="1607" spans="1:19" x14ac:dyDescent="0.3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 t="str">
        <f t="shared" si="25"/>
        <v>15-30 days</v>
      </c>
      <c r="L1607">
        <v>15</v>
      </c>
      <c r="M1607">
        <v>1</v>
      </c>
      <c r="N1607">
        <v>0</v>
      </c>
      <c r="O1607" t="s">
        <v>25</v>
      </c>
      <c r="P1607" t="s">
        <v>35</v>
      </c>
      <c r="Q1607">
        <v>2.1</v>
      </c>
      <c r="R1607">
        <v>25</v>
      </c>
      <c r="S1607" t="s">
        <v>27</v>
      </c>
    </row>
    <row r="1608" spans="1:19" x14ac:dyDescent="0.3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 t="str">
        <f t="shared" si="25"/>
        <v>31-60 days</v>
      </c>
      <c r="L1608">
        <v>53</v>
      </c>
      <c r="M1608">
        <v>1</v>
      </c>
      <c r="N1608">
        <v>1</v>
      </c>
      <c r="O1608" t="s">
        <v>54</v>
      </c>
      <c r="P1608" t="s">
        <v>55</v>
      </c>
      <c r="Q1608">
        <v>27.3</v>
      </c>
      <c r="R1608">
        <v>17</v>
      </c>
      <c r="S1608" t="s">
        <v>27</v>
      </c>
    </row>
    <row r="1609" spans="1:19" x14ac:dyDescent="0.3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 t="str">
        <f t="shared" si="25"/>
        <v>31-60 days</v>
      </c>
      <c r="L1609">
        <v>60</v>
      </c>
      <c r="M1609">
        <v>1</v>
      </c>
      <c r="N1609">
        <v>0</v>
      </c>
      <c r="O1609" t="s">
        <v>25</v>
      </c>
      <c r="P1609" t="s">
        <v>35</v>
      </c>
      <c r="Q1609">
        <v>6.9</v>
      </c>
      <c r="R1609">
        <v>36</v>
      </c>
      <c r="S1609" t="s">
        <v>27</v>
      </c>
    </row>
    <row r="1610" spans="1:19" x14ac:dyDescent="0.3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 t="str">
        <f t="shared" si="25"/>
        <v>0-7 days</v>
      </c>
      <c r="L1610">
        <v>5</v>
      </c>
      <c r="M1610">
        <v>0</v>
      </c>
      <c r="N1610">
        <v>0</v>
      </c>
      <c r="O1610" t="s">
        <v>25</v>
      </c>
      <c r="P1610" t="s">
        <v>35</v>
      </c>
      <c r="Q1610">
        <v>5.4</v>
      </c>
      <c r="R1610">
        <v>29</v>
      </c>
      <c r="S1610" t="s">
        <v>36</v>
      </c>
    </row>
    <row r="1611" spans="1:19" x14ac:dyDescent="0.3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 t="str">
        <f t="shared" si="25"/>
        <v>31-60 days</v>
      </c>
      <c r="L1611">
        <v>43</v>
      </c>
      <c r="M1611">
        <v>3</v>
      </c>
      <c r="N1611">
        <v>0</v>
      </c>
      <c r="O1611" t="s">
        <v>54</v>
      </c>
      <c r="P1611" t="s">
        <v>55</v>
      </c>
      <c r="Q1611">
        <v>3.5</v>
      </c>
      <c r="R1611">
        <v>16</v>
      </c>
      <c r="S1611" t="s">
        <v>36</v>
      </c>
    </row>
    <row r="1612" spans="1:19" x14ac:dyDescent="0.3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 t="str">
        <f t="shared" si="25"/>
        <v>15-30 days</v>
      </c>
      <c r="L1612">
        <v>20</v>
      </c>
      <c r="M1612">
        <v>2</v>
      </c>
      <c r="N1612">
        <v>1</v>
      </c>
      <c r="O1612" t="s">
        <v>54</v>
      </c>
      <c r="P1612" t="s">
        <v>55</v>
      </c>
      <c r="Q1612">
        <v>6</v>
      </c>
      <c r="R1612">
        <v>25</v>
      </c>
      <c r="S1612" t="s">
        <v>36</v>
      </c>
    </row>
    <row r="1613" spans="1:19" x14ac:dyDescent="0.3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 t="str">
        <f t="shared" si="25"/>
        <v>0-7 days</v>
      </c>
      <c r="L1613">
        <v>2</v>
      </c>
      <c r="M1613">
        <v>3</v>
      </c>
      <c r="N1613">
        <v>0</v>
      </c>
      <c r="O1613" t="s">
        <v>25</v>
      </c>
      <c r="P1613" t="s">
        <v>35</v>
      </c>
      <c r="Q1613">
        <v>2.4</v>
      </c>
      <c r="R1613">
        <v>2</v>
      </c>
      <c r="S1613" t="s">
        <v>27</v>
      </c>
    </row>
    <row r="1614" spans="1:19" x14ac:dyDescent="0.3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 t="str">
        <f t="shared" si="25"/>
        <v>31-60 days</v>
      </c>
      <c r="L1614">
        <v>56</v>
      </c>
      <c r="M1614">
        <v>1</v>
      </c>
      <c r="N1614">
        <v>0</v>
      </c>
      <c r="O1614" t="s">
        <v>25</v>
      </c>
      <c r="P1614" t="s">
        <v>26</v>
      </c>
      <c r="Q1614">
        <v>17.3</v>
      </c>
      <c r="R1614">
        <v>28</v>
      </c>
      <c r="S1614" t="s">
        <v>27</v>
      </c>
    </row>
    <row r="1615" spans="1:19" x14ac:dyDescent="0.3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 t="str">
        <f t="shared" si="25"/>
        <v>0-7 days</v>
      </c>
      <c r="L1615">
        <v>3</v>
      </c>
      <c r="M1615">
        <v>1</v>
      </c>
      <c r="N1615">
        <v>0</v>
      </c>
      <c r="O1615" t="s">
        <v>54</v>
      </c>
      <c r="P1615" t="s">
        <v>55</v>
      </c>
      <c r="Q1615">
        <v>7.6</v>
      </c>
      <c r="R1615">
        <v>55</v>
      </c>
      <c r="S1615" t="s">
        <v>27</v>
      </c>
    </row>
    <row r="1616" spans="1:19" x14ac:dyDescent="0.3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 t="str">
        <f t="shared" si="25"/>
        <v>8-14 days</v>
      </c>
      <c r="L1616">
        <v>12</v>
      </c>
      <c r="M1616">
        <v>4</v>
      </c>
      <c r="N1616">
        <v>0</v>
      </c>
      <c r="O1616" t="s">
        <v>54</v>
      </c>
      <c r="P1616" t="s">
        <v>55</v>
      </c>
      <c r="Q1616">
        <v>5.2</v>
      </c>
      <c r="R1616">
        <v>37</v>
      </c>
      <c r="S1616" t="s">
        <v>36</v>
      </c>
    </row>
    <row r="1617" spans="1:19" x14ac:dyDescent="0.3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 t="str">
        <f t="shared" si="25"/>
        <v>0-7 days</v>
      </c>
      <c r="L1617">
        <v>1</v>
      </c>
      <c r="M1617">
        <v>3</v>
      </c>
      <c r="N1617">
        <v>0</v>
      </c>
      <c r="O1617" t="s">
        <v>25</v>
      </c>
      <c r="P1617" t="s">
        <v>35</v>
      </c>
      <c r="Q1617">
        <v>15.3</v>
      </c>
      <c r="R1617">
        <v>23</v>
      </c>
      <c r="S1617" t="s">
        <v>36</v>
      </c>
    </row>
    <row r="1618" spans="1:19" x14ac:dyDescent="0.3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 t="str">
        <f t="shared" si="25"/>
        <v>15-30 days</v>
      </c>
      <c r="L1618">
        <v>28</v>
      </c>
      <c r="M1618">
        <v>0</v>
      </c>
      <c r="N1618">
        <v>0</v>
      </c>
      <c r="O1618" t="s">
        <v>54</v>
      </c>
      <c r="P1618" t="s">
        <v>55</v>
      </c>
      <c r="Q1618">
        <v>7.3</v>
      </c>
      <c r="R1618">
        <v>27</v>
      </c>
      <c r="S1618" t="s">
        <v>36</v>
      </c>
    </row>
    <row r="1619" spans="1:19" x14ac:dyDescent="0.3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 t="str">
        <f t="shared" si="25"/>
        <v>31-60 days</v>
      </c>
      <c r="L1619">
        <v>36</v>
      </c>
      <c r="M1619">
        <v>1</v>
      </c>
      <c r="N1619">
        <v>0</v>
      </c>
      <c r="O1619" t="s">
        <v>54</v>
      </c>
      <c r="P1619" t="s">
        <v>55</v>
      </c>
      <c r="Q1619">
        <v>5.0999999999999996</v>
      </c>
      <c r="R1619">
        <v>31</v>
      </c>
      <c r="S1619" t="s">
        <v>36</v>
      </c>
    </row>
    <row r="1620" spans="1:19" x14ac:dyDescent="0.3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 t="str">
        <f t="shared" si="25"/>
        <v>15-30 days</v>
      </c>
      <c r="L1620">
        <v>19</v>
      </c>
      <c r="M1620">
        <v>2</v>
      </c>
      <c r="N1620">
        <v>1</v>
      </c>
      <c r="O1620" t="s">
        <v>54</v>
      </c>
      <c r="P1620" t="s">
        <v>55</v>
      </c>
      <c r="Q1620">
        <v>22.5</v>
      </c>
      <c r="R1620">
        <v>31</v>
      </c>
      <c r="S1620" t="s">
        <v>27</v>
      </c>
    </row>
    <row r="1621" spans="1:19" x14ac:dyDescent="0.3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 t="str">
        <f t="shared" si="25"/>
        <v>0-7 days</v>
      </c>
      <c r="L1621">
        <v>4</v>
      </c>
      <c r="M1621">
        <v>5</v>
      </c>
      <c r="N1621">
        <v>2</v>
      </c>
      <c r="O1621" t="s">
        <v>25</v>
      </c>
      <c r="P1621" t="s">
        <v>50</v>
      </c>
      <c r="Q1621">
        <v>6.2</v>
      </c>
      <c r="R1621">
        <v>23</v>
      </c>
      <c r="S1621" t="s">
        <v>36</v>
      </c>
    </row>
    <row r="1622" spans="1:19" x14ac:dyDescent="0.3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 t="str">
        <f t="shared" si="25"/>
        <v>0-7 days</v>
      </c>
      <c r="L1622">
        <v>7</v>
      </c>
      <c r="M1622">
        <v>1</v>
      </c>
      <c r="N1622">
        <v>0</v>
      </c>
      <c r="O1622" t="s">
        <v>25</v>
      </c>
      <c r="P1622" t="s">
        <v>35</v>
      </c>
      <c r="Q1622">
        <v>1.5</v>
      </c>
      <c r="R1622">
        <v>2</v>
      </c>
      <c r="S1622" t="s">
        <v>36</v>
      </c>
    </row>
    <row r="1623" spans="1:19" x14ac:dyDescent="0.3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 t="str">
        <f t="shared" si="25"/>
        <v>31-60 days</v>
      </c>
      <c r="L1623">
        <v>56</v>
      </c>
      <c r="M1623">
        <v>0</v>
      </c>
      <c r="N1623">
        <v>0</v>
      </c>
      <c r="O1623" t="s">
        <v>25</v>
      </c>
      <c r="P1623" t="s">
        <v>35</v>
      </c>
      <c r="Q1623">
        <v>8.4</v>
      </c>
      <c r="R1623">
        <v>21</v>
      </c>
      <c r="S1623" t="s">
        <v>36</v>
      </c>
    </row>
    <row r="1624" spans="1:19" x14ac:dyDescent="0.3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 t="str">
        <f t="shared" si="25"/>
        <v>31-60 days</v>
      </c>
      <c r="L1624">
        <v>49</v>
      </c>
      <c r="M1624">
        <v>2</v>
      </c>
      <c r="N1624">
        <v>0</v>
      </c>
      <c r="O1624" t="s">
        <v>25</v>
      </c>
      <c r="P1624" t="s">
        <v>50</v>
      </c>
      <c r="Q1624">
        <v>7.7</v>
      </c>
      <c r="R1624">
        <v>18</v>
      </c>
      <c r="S1624" t="s">
        <v>36</v>
      </c>
    </row>
    <row r="1625" spans="1:19" x14ac:dyDescent="0.3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 t="str">
        <f t="shared" si="25"/>
        <v>31-60 days</v>
      </c>
      <c r="L1625">
        <v>57</v>
      </c>
      <c r="M1625">
        <v>3</v>
      </c>
      <c r="N1625">
        <v>0</v>
      </c>
      <c r="O1625" t="s">
        <v>25</v>
      </c>
      <c r="P1625" t="s">
        <v>35</v>
      </c>
      <c r="Q1625">
        <v>5.3</v>
      </c>
      <c r="R1625">
        <v>24</v>
      </c>
      <c r="S1625" t="s">
        <v>71</v>
      </c>
    </row>
    <row r="1626" spans="1:19" x14ac:dyDescent="0.3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 t="str">
        <f t="shared" si="25"/>
        <v>31-60 days</v>
      </c>
      <c r="L1626">
        <v>32</v>
      </c>
      <c r="M1626">
        <v>6</v>
      </c>
      <c r="N1626">
        <v>1</v>
      </c>
      <c r="O1626" t="s">
        <v>25</v>
      </c>
      <c r="P1626" t="s">
        <v>35</v>
      </c>
      <c r="Q1626">
        <v>4.7</v>
      </c>
      <c r="R1626">
        <v>16</v>
      </c>
      <c r="S1626" t="s">
        <v>27</v>
      </c>
    </row>
    <row r="1627" spans="1:19" x14ac:dyDescent="0.3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 t="str">
        <f t="shared" si="25"/>
        <v>31-60 days</v>
      </c>
      <c r="L1627">
        <v>33</v>
      </c>
      <c r="M1627">
        <v>4</v>
      </c>
      <c r="N1627">
        <v>1</v>
      </c>
      <c r="O1627" t="s">
        <v>25</v>
      </c>
      <c r="P1627" t="s">
        <v>35</v>
      </c>
      <c r="Q1627">
        <v>8.9</v>
      </c>
      <c r="R1627">
        <v>31</v>
      </c>
      <c r="S1627" t="s">
        <v>36</v>
      </c>
    </row>
    <row r="1628" spans="1:19" x14ac:dyDescent="0.3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 t="str">
        <f t="shared" si="25"/>
        <v>31-60 days</v>
      </c>
      <c r="L1628">
        <v>47</v>
      </c>
      <c r="M1628">
        <v>2</v>
      </c>
      <c r="N1628">
        <v>0</v>
      </c>
      <c r="O1628" t="s">
        <v>25</v>
      </c>
      <c r="P1628" t="s">
        <v>35</v>
      </c>
      <c r="Q1628">
        <v>6.2</v>
      </c>
      <c r="R1628">
        <v>47</v>
      </c>
      <c r="S1628" t="s">
        <v>36</v>
      </c>
    </row>
    <row r="1629" spans="1:19" x14ac:dyDescent="0.3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 t="str">
        <f t="shared" si="25"/>
        <v>31-60 days</v>
      </c>
      <c r="L1629">
        <v>37</v>
      </c>
      <c r="M1629">
        <v>2</v>
      </c>
      <c r="N1629">
        <v>0</v>
      </c>
      <c r="O1629" t="s">
        <v>25</v>
      </c>
      <c r="P1629" t="s">
        <v>35</v>
      </c>
      <c r="Q1629">
        <v>6.9</v>
      </c>
      <c r="R1629">
        <v>35</v>
      </c>
      <c r="S1629" t="s">
        <v>36</v>
      </c>
    </row>
    <row r="1630" spans="1:19" x14ac:dyDescent="0.3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 t="str">
        <f t="shared" si="25"/>
        <v>15-30 days</v>
      </c>
      <c r="L1630">
        <v>26</v>
      </c>
      <c r="M1630">
        <v>5</v>
      </c>
      <c r="N1630">
        <v>1</v>
      </c>
      <c r="O1630" t="s">
        <v>54</v>
      </c>
      <c r="P1630" t="s">
        <v>55</v>
      </c>
      <c r="Q1630">
        <v>10.199999999999999</v>
      </c>
      <c r="R1630">
        <v>24</v>
      </c>
      <c r="S1630" t="s">
        <v>27</v>
      </c>
    </row>
    <row r="1631" spans="1:19" x14ac:dyDescent="0.3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 t="str">
        <f t="shared" si="25"/>
        <v>15-30 days</v>
      </c>
      <c r="L1631">
        <v>17</v>
      </c>
      <c r="M1631">
        <v>1</v>
      </c>
      <c r="N1631">
        <v>0</v>
      </c>
      <c r="O1631" t="s">
        <v>54</v>
      </c>
      <c r="P1631" t="s">
        <v>55</v>
      </c>
      <c r="Q1631">
        <v>6.7</v>
      </c>
      <c r="R1631">
        <v>41</v>
      </c>
      <c r="S1631" t="s">
        <v>27</v>
      </c>
    </row>
    <row r="1632" spans="1:19" x14ac:dyDescent="0.3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 t="str">
        <f t="shared" si="25"/>
        <v>15-30 days</v>
      </c>
      <c r="L1632">
        <v>29</v>
      </c>
      <c r="M1632">
        <v>4</v>
      </c>
      <c r="N1632">
        <v>1</v>
      </c>
      <c r="O1632" t="s">
        <v>25</v>
      </c>
      <c r="P1632" t="s">
        <v>35</v>
      </c>
      <c r="Q1632">
        <v>5.5</v>
      </c>
      <c r="R1632">
        <v>35</v>
      </c>
      <c r="S1632" t="s">
        <v>36</v>
      </c>
    </row>
    <row r="1633" spans="1:19" x14ac:dyDescent="0.3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 t="str">
        <f t="shared" si="25"/>
        <v>0-7 days</v>
      </c>
      <c r="L1633">
        <v>3</v>
      </c>
      <c r="M1633">
        <v>2</v>
      </c>
      <c r="N1633">
        <v>0</v>
      </c>
      <c r="O1633" t="s">
        <v>25</v>
      </c>
      <c r="P1633" t="s">
        <v>35</v>
      </c>
      <c r="Q1633">
        <v>12.8</v>
      </c>
      <c r="R1633">
        <v>33</v>
      </c>
      <c r="S1633" t="s">
        <v>27</v>
      </c>
    </row>
    <row r="1634" spans="1:19" x14ac:dyDescent="0.3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 t="str">
        <f t="shared" si="25"/>
        <v>8-14 days</v>
      </c>
      <c r="L1634">
        <v>11</v>
      </c>
      <c r="M1634">
        <v>6</v>
      </c>
      <c r="N1634">
        <v>0</v>
      </c>
      <c r="O1634" t="s">
        <v>25</v>
      </c>
      <c r="P1634" t="s">
        <v>50</v>
      </c>
      <c r="Q1634">
        <v>6.2</v>
      </c>
      <c r="R1634">
        <v>18</v>
      </c>
      <c r="S1634" t="s">
        <v>36</v>
      </c>
    </row>
    <row r="1635" spans="1:19" x14ac:dyDescent="0.3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 t="str">
        <f t="shared" si="25"/>
        <v>31-60 days</v>
      </c>
      <c r="L1635">
        <v>44</v>
      </c>
      <c r="M1635">
        <v>7</v>
      </c>
      <c r="N1635">
        <v>2</v>
      </c>
      <c r="O1635" t="s">
        <v>25</v>
      </c>
      <c r="P1635" t="s">
        <v>35</v>
      </c>
      <c r="Q1635">
        <v>5.3</v>
      </c>
      <c r="S1635" t="s">
        <v>36</v>
      </c>
    </row>
    <row r="1636" spans="1:19" x14ac:dyDescent="0.3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 t="str">
        <f t="shared" si="25"/>
        <v>31-60 days</v>
      </c>
      <c r="L1636">
        <v>52</v>
      </c>
      <c r="M1636">
        <v>6</v>
      </c>
      <c r="N1636">
        <v>2</v>
      </c>
      <c r="O1636" t="s">
        <v>54</v>
      </c>
      <c r="P1636" t="s">
        <v>55</v>
      </c>
      <c r="Q1636">
        <v>2.9</v>
      </c>
      <c r="R1636">
        <v>31</v>
      </c>
      <c r="S1636" t="s">
        <v>27</v>
      </c>
    </row>
    <row r="1637" spans="1:19" x14ac:dyDescent="0.3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 t="str">
        <f t="shared" si="25"/>
        <v>0-7 days</v>
      </c>
      <c r="L1637">
        <v>6</v>
      </c>
      <c r="M1637">
        <v>5</v>
      </c>
      <c r="N1637">
        <v>0</v>
      </c>
      <c r="O1637" t="s">
        <v>54</v>
      </c>
      <c r="P1637" t="s">
        <v>55</v>
      </c>
      <c r="Q1637">
        <v>4.3</v>
      </c>
      <c r="R1637">
        <v>48</v>
      </c>
      <c r="S1637" t="s">
        <v>36</v>
      </c>
    </row>
    <row r="1638" spans="1:19" x14ac:dyDescent="0.3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 t="str">
        <f t="shared" si="25"/>
        <v>0-7 days</v>
      </c>
      <c r="L1638">
        <v>5</v>
      </c>
      <c r="M1638">
        <v>4</v>
      </c>
      <c r="N1638">
        <v>1</v>
      </c>
      <c r="O1638" t="s">
        <v>54</v>
      </c>
      <c r="P1638" t="s">
        <v>55</v>
      </c>
      <c r="Q1638">
        <v>3.4</v>
      </c>
      <c r="R1638">
        <v>40</v>
      </c>
      <c r="S1638" t="s">
        <v>36</v>
      </c>
    </row>
    <row r="1639" spans="1:19" x14ac:dyDescent="0.3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 t="str">
        <f t="shared" si="25"/>
        <v>0-7 days</v>
      </c>
      <c r="L1639">
        <v>5</v>
      </c>
      <c r="M1639">
        <v>4</v>
      </c>
      <c r="N1639">
        <v>0</v>
      </c>
      <c r="O1639" t="s">
        <v>54</v>
      </c>
      <c r="P1639" t="s">
        <v>55</v>
      </c>
      <c r="Q1639">
        <v>2.8</v>
      </c>
      <c r="R1639">
        <v>31</v>
      </c>
      <c r="S1639" t="s">
        <v>36</v>
      </c>
    </row>
    <row r="1640" spans="1:19" x14ac:dyDescent="0.3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 t="str">
        <f t="shared" si="25"/>
        <v>31-60 days</v>
      </c>
      <c r="L1640">
        <v>48</v>
      </c>
      <c r="M1640">
        <v>3</v>
      </c>
      <c r="N1640">
        <v>0</v>
      </c>
      <c r="O1640" t="s">
        <v>25</v>
      </c>
      <c r="P1640" t="s">
        <v>35</v>
      </c>
      <c r="Q1640">
        <v>4.7</v>
      </c>
      <c r="R1640">
        <v>26</v>
      </c>
      <c r="S1640" t="s">
        <v>71</v>
      </c>
    </row>
    <row r="1641" spans="1:19" x14ac:dyDescent="0.3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 t="str">
        <f t="shared" si="25"/>
        <v>15-30 days</v>
      </c>
      <c r="L1641">
        <v>18</v>
      </c>
      <c r="M1641">
        <v>5</v>
      </c>
      <c r="N1641">
        <v>0</v>
      </c>
      <c r="O1641" t="s">
        <v>25</v>
      </c>
      <c r="P1641" t="s">
        <v>26</v>
      </c>
      <c r="Q1641">
        <v>10.4</v>
      </c>
      <c r="R1641">
        <v>33</v>
      </c>
      <c r="S1641" t="s">
        <v>36</v>
      </c>
    </row>
    <row r="1642" spans="1:19" x14ac:dyDescent="0.3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 t="str">
        <f t="shared" si="25"/>
        <v>15-30 days</v>
      </c>
      <c r="L1642">
        <v>19</v>
      </c>
      <c r="M1642">
        <v>5</v>
      </c>
      <c r="N1642">
        <v>2</v>
      </c>
      <c r="O1642" t="s">
        <v>25</v>
      </c>
      <c r="P1642" t="s">
        <v>26</v>
      </c>
      <c r="Q1642">
        <v>8.1999999999999993</v>
      </c>
      <c r="R1642">
        <v>31</v>
      </c>
      <c r="S1642" t="s">
        <v>27</v>
      </c>
    </row>
    <row r="1643" spans="1:19" x14ac:dyDescent="0.3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 t="str">
        <f t="shared" si="25"/>
        <v>0-7 days</v>
      </c>
      <c r="L1643">
        <v>0</v>
      </c>
      <c r="M1643">
        <v>1</v>
      </c>
      <c r="N1643">
        <v>0</v>
      </c>
      <c r="O1643" t="s">
        <v>25</v>
      </c>
      <c r="P1643" t="s">
        <v>50</v>
      </c>
      <c r="Q1643">
        <v>6.6</v>
      </c>
      <c r="R1643">
        <v>41</v>
      </c>
      <c r="S1643" t="s">
        <v>36</v>
      </c>
    </row>
    <row r="1644" spans="1:19" x14ac:dyDescent="0.3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 t="str">
        <f t="shared" si="25"/>
        <v>31-60 days</v>
      </c>
      <c r="L1644">
        <v>59</v>
      </c>
      <c r="M1644">
        <v>4</v>
      </c>
      <c r="N1644">
        <v>1</v>
      </c>
      <c r="O1644" t="s">
        <v>25</v>
      </c>
      <c r="P1644" t="s">
        <v>50</v>
      </c>
      <c r="Q1644">
        <v>11.2</v>
      </c>
      <c r="R1644">
        <v>13</v>
      </c>
      <c r="S1644" t="s">
        <v>36</v>
      </c>
    </row>
    <row r="1645" spans="1:19" x14ac:dyDescent="0.3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 t="str">
        <f t="shared" si="25"/>
        <v>15-30 days</v>
      </c>
      <c r="L1645">
        <v>26</v>
      </c>
      <c r="M1645">
        <v>0</v>
      </c>
      <c r="N1645">
        <v>0</v>
      </c>
      <c r="O1645" t="s">
        <v>25</v>
      </c>
      <c r="P1645" t="s">
        <v>26</v>
      </c>
      <c r="Q1645">
        <v>5.6</v>
      </c>
      <c r="R1645">
        <v>25</v>
      </c>
      <c r="S1645" t="s">
        <v>36</v>
      </c>
    </row>
    <row r="1646" spans="1:19" x14ac:dyDescent="0.3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 t="str">
        <f t="shared" si="25"/>
        <v>31-60 days</v>
      </c>
      <c r="L1646">
        <v>48</v>
      </c>
      <c r="M1646">
        <v>2</v>
      </c>
      <c r="N1646">
        <v>0</v>
      </c>
      <c r="O1646" t="s">
        <v>25</v>
      </c>
      <c r="P1646" t="s">
        <v>35</v>
      </c>
      <c r="Q1646">
        <v>9.9</v>
      </c>
      <c r="R1646">
        <v>33</v>
      </c>
      <c r="S1646" t="s">
        <v>36</v>
      </c>
    </row>
    <row r="1647" spans="1:19" x14ac:dyDescent="0.3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 t="str">
        <f t="shared" si="25"/>
        <v>31-60 days</v>
      </c>
      <c r="L1647">
        <v>43</v>
      </c>
      <c r="M1647">
        <v>1</v>
      </c>
      <c r="N1647">
        <v>0</v>
      </c>
      <c r="O1647" t="s">
        <v>25</v>
      </c>
      <c r="P1647" t="s">
        <v>50</v>
      </c>
      <c r="Q1647">
        <v>12.5</v>
      </c>
      <c r="R1647">
        <v>40</v>
      </c>
      <c r="S1647" t="s">
        <v>36</v>
      </c>
    </row>
    <row r="1648" spans="1:19" x14ac:dyDescent="0.3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 t="str">
        <f t="shared" si="25"/>
        <v>8-14 days</v>
      </c>
      <c r="L1648">
        <v>8</v>
      </c>
      <c r="M1648">
        <v>2</v>
      </c>
      <c r="N1648">
        <v>1</v>
      </c>
      <c r="O1648" t="s">
        <v>54</v>
      </c>
      <c r="P1648" t="s">
        <v>55</v>
      </c>
      <c r="Q1648">
        <v>1.5</v>
      </c>
      <c r="R1648">
        <v>46</v>
      </c>
      <c r="S1648" t="s">
        <v>36</v>
      </c>
    </row>
    <row r="1649" spans="1:19" x14ac:dyDescent="0.3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 t="str">
        <f t="shared" si="25"/>
        <v>31-60 days</v>
      </c>
      <c r="L1649">
        <v>48</v>
      </c>
      <c r="M1649">
        <v>6</v>
      </c>
      <c r="N1649">
        <v>0</v>
      </c>
      <c r="O1649" t="s">
        <v>25</v>
      </c>
      <c r="P1649" t="s">
        <v>35</v>
      </c>
      <c r="Q1649">
        <v>8.1</v>
      </c>
      <c r="R1649">
        <v>9</v>
      </c>
      <c r="S1649" t="s">
        <v>27</v>
      </c>
    </row>
    <row r="1650" spans="1:19" x14ac:dyDescent="0.3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 t="str">
        <f t="shared" si="25"/>
        <v>31-60 days</v>
      </c>
      <c r="L1650">
        <v>33</v>
      </c>
      <c r="M1650">
        <v>2</v>
      </c>
      <c r="N1650">
        <v>1</v>
      </c>
      <c r="O1650" t="s">
        <v>25</v>
      </c>
      <c r="P1650" t="s">
        <v>35</v>
      </c>
      <c r="Q1650">
        <v>10.8</v>
      </c>
      <c r="R1650">
        <v>17</v>
      </c>
      <c r="S1650" t="s">
        <v>36</v>
      </c>
    </row>
    <row r="1651" spans="1:19" x14ac:dyDescent="0.3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 t="str">
        <f t="shared" si="25"/>
        <v>31-60 days</v>
      </c>
      <c r="L1651">
        <v>36</v>
      </c>
      <c r="M1651">
        <v>4</v>
      </c>
      <c r="N1651">
        <v>1</v>
      </c>
      <c r="O1651" t="s">
        <v>25</v>
      </c>
      <c r="P1651" t="s">
        <v>26</v>
      </c>
      <c r="Q1651">
        <v>10.3</v>
      </c>
      <c r="R1651">
        <v>24</v>
      </c>
      <c r="S1651" t="s">
        <v>36</v>
      </c>
    </row>
    <row r="1652" spans="1:19" x14ac:dyDescent="0.3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 t="str">
        <f t="shared" si="25"/>
        <v>8-14 days</v>
      </c>
      <c r="L1652">
        <v>12</v>
      </c>
      <c r="M1652">
        <v>0</v>
      </c>
      <c r="N1652">
        <v>0</v>
      </c>
      <c r="O1652" t="s">
        <v>25</v>
      </c>
      <c r="P1652" t="s">
        <v>35</v>
      </c>
      <c r="Q1652">
        <v>8.4</v>
      </c>
      <c r="R1652">
        <v>11</v>
      </c>
      <c r="S1652" t="s">
        <v>36</v>
      </c>
    </row>
    <row r="1653" spans="1:19" x14ac:dyDescent="0.3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 t="str">
        <f t="shared" si="25"/>
        <v>31-60 days</v>
      </c>
      <c r="L1653">
        <v>51</v>
      </c>
      <c r="M1653">
        <v>4</v>
      </c>
      <c r="N1653">
        <v>1</v>
      </c>
      <c r="O1653" t="s">
        <v>54</v>
      </c>
      <c r="P1653" t="s">
        <v>55</v>
      </c>
      <c r="Q1653">
        <v>5.8</v>
      </c>
      <c r="S1653" t="s">
        <v>27</v>
      </c>
    </row>
    <row r="1654" spans="1:19" x14ac:dyDescent="0.3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 t="str">
        <f t="shared" si="25"/>
        <v>31-60 days</v>
      </c>
      <c r="L1654">
        <v>56</v>
      </c>
      <c r="M1654">
        <v>4</v>
      </c>
      <c r="N1654">
        <v>1</v>
      </c>
      <c r="O1654" t="s">
        <v>25</v>
      </c>
      <c r="P1654" t="s">
        <v>26</v>
      </c>
      <c r="Q1654">
        <v>7.1</v>
      </c>
      <c r="R1654">
        <v>26</v>
      </c>
      <c r="S1654" t="s">
        <v>27</v>
      </c>
    </row>
    <row r="1655" spans="1:19" x14ac:dyDescent="0.3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 t="str">
        <f t="shared" si="25"/>
        <v>15-30 days</v>
      </c>
      <c r="L1655">
        <v>24</v>
      </c>
      <c r="M1655">
        <v>2</v>
      </c>
      <c r="N1655">
        <v>0</v>
      </c>
      <c r="O1655" t="s">
        <v>54</v>
      </c>
      <c r="P1655" t="s">
        <v>55</v>
      </c>
      <c r="Q1655">
        <v>2</v>
      </c>
      <c r="R1655">
        <v>38</v>
      </c>
      <c r="S1655" t="s">
        <v>27</v>
      </c>
    </row>
    <row r="1656" spans="1:19" x14ac:dyDescent="0.3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 t="str">
        <f t="shared" si="25"/>
        <v>0-7 days</v>
      </c>
      <c r="L1656">
        <v>5</v>
      </c>
      <c r="M1656">
        <v>1</v>
      </c>
      <c r="N1656">
        <v>0</v>
      </c>
      <c r="O1656" t="s">
        <v>54</v>
      </c>
      <c r="P1656" t="s">
        <v>55</v>
      </c>
      <c r="Q1656">
        <v>18</v>
      </c>
      <c r="R1656">
        <v>23</v>
      </c>
      <c r="S1656" t="s">
        <v>36</v>
      </c>
    </row>
    <row r="1657" spans="1:19" x14ac:dyDescent="0.3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 t="str">
        <f t="shared" si="25"/>
        <v>31-60 days</v>
      </c>
      <c r="L1657">
        <v>51</v>
      </c>
      <c r="M1657">
        <v>3</v>
      </c>
      <c r="N1657">
        <v>0</v>
      </c>
      <c r="O1657" t="s">
        <v>54</v>
      </c>
      <c r="P1657" t="s">
        <v>55</v>
      </c>
      <c r="Q1657">
        <v>1.9</v>
      </c>
      <c r="R1657">
        <v>29</v>
      </c>
      <c r="S1657" t="s">
        <v>27</v>
      </c>
    </row>
    <row r="1658" spans="1:19" x14ac:dyDescent="0.3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 t="str">
        <f t="shared" si="25"/>
        <v>31-60 days</v>
      </c>
      <c r="L1658">
        <v>54</v>
      </c>
      <c r="M1658">
        <v>4</v>
      </c>
      <c r="N1658">
        <v>1</v>
      </c>
      <c r="O1658" t="s">
        <v>25</v>
      </c>
      <c r="P1658" t="s">
        <v>35</v>
      </c>
      <c r="Q1658">
        <v>4.9000000000000004</v>
      </c>
      <c r="S1658" t="s">
        <v>36</v>
      </c>
    </row>
    <row r="1659" spans="1:19" x14ac:dyDescent="0.3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 t="str">
        <f t="shared" si="25"/>
        <v>15-30 days</v>
      </c>
      <c r="L1659">
        <v>30</v>
      </c>
      <c r="M1659">
        <v>1</v>
      </c>
      <c r="N1659">
        <v>0</v>
      </c>
      <c r="O1659" t="s">
        <v>25</v>
      </c>
      <c r="P1659" t="s">
        <v>35</v>
      </c>
      <c r="Q1659">
        <v>8.1999999999999993</v>
      </c>
      <c r="R1659">
        <v>13</v>
      </c>
      <c r="S1659" t="s">
        <v>71</v>
      </c>
    </row>
    <row r="1660" spans="1:19" x14ac:dyDescent="0.3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 t="str">
        <f t="shared" si="25"/>
        <v>31-60 days</v>
      </c>
      <c r="L1660">
        <v>35</v>
      </c>
      <c r="M1660">
        <v>4</v>
      </c>
      <c r="N1660">
        <v>0</v>
      </c>
      <c r="O1660" t="s">
        <v>25</v>
      </c>
      <c r="P1660" t="s">
        <v>26</v>
      </c>
      <c r="Q1660">
        <v>2.8</v>
      </c>
      <c r="R1660">
        <v>13</v>
      </c>
      <c r="S1660" t="s">
        <v>27</v>
      </c>
    </row>
    <row r="1661" spans="1:19" x14ac:dyDescent="0.3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 t="str">
        <f t="shared" si="25"/>
        <v>8-14 days</v>
      </c>
      <c r="L1661">
        <v>13</v>
      </c>
      <c r="M1661">
        <v>5</v>
      </c>
      <c r="N1661">
        <v>0</v>
      </c>
      <c r="O1661" t="s">
        <v>54</v>
      </c>
      <c r="P1661" t="s">
        <v>55</v>
      </c>
      <c r="Q1661">
        <v>6.8</v>
      </c>
      <c r="R1661">
        <v>6</v>
      </c>
      <c r="S1661" t="s">
        <v>71</v>
      </c>
    </row>
    <row r="1662" spans="1:19" x14ac:dyDescent="0.3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 t="str">
        <f t="shared" si="25"/>
        <v>0-7 days</v>
      </c>
      <c r="L1662">
        <v>4</v>
      </c>
      <c r="M1662">
        <v>3</v>
      </c>
      <c r="N1662">
        <v>1</v>
      </c>
      <c r="O1662" t="s">
        <v>54</v>
      </c>
      <c r="P1662" t="s">
        <v>55</v>
      </c>
      <c r="Q1662">
        <v>12.9</v>
      </c>
      <c r="R1662">
        <v>36</v>
      </c>
      <c r="S1662" t="s">
        <v>36</v>
      </c>
    </row>
    <row r="1663" spans="1:19" x14ac:dyDescent="0.3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 t="str">
        <f t="shared" si="25"/>
        <v>31-60 days</v>
      </c>
      <c r="L1663">
        <v>57</v>
      </c>
      <c r="M1663">
        <v>5</v>
      </c>
      <c r="N1663">
        <v>2</v>
      </c>
      <c r="O1663" t="s">
        <v>25</v>
      </c>
      <c r="P1663" t="s">
        <v>35</v>
      </c>
      <c r="Q1663">
        <v>11.6</v>
      </c>
      <c r="R1663">
        <v>25</v>
      </c>
      <c r="S1663" t="s">
        <v>27</v>
      </c>
    </row>
    <row r="1664" spans="1:19" x14ac:dyDescent="0.3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 t="str">
        <f t="shared" si="25"/>
        <v>15-30 days</v>
      </c>
      <c r="L1664">
        <v>29</v>
      </c>
      <c r="M1664">
        <v>5</v>
      </c>
      <c r="N1664">
        <v>1</v>
      </c>
      <c r="O1664" t="s">
        <v>25</v>
      </c>
      <c r="P1664" t="s">
        <v>35</v>
      </c>
      <c r="Q1664">
        <v>8.1</v>
      </c>
      <c r="R1664">
        <v>36</v>
      </c>
      <c r="S1664" t="s">
        <v>27</v>
      </c>
    </row>
    <row r="1665" spans="1:19" x14ac:dyDescent="0.3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 t="str">
        <f t="shared" si="25"/>
        <v>15-30 days</v>
      </c>
      <c r="L1665">
        <v>16</v>
      </c>
      <c r="M1665">
        <v>3</v>
      </c>
      <c r="N1665">
        <v>0</v>
      </c>
      <c r="O1665" t="s">
        <v>25</v>
      </c>
      <c r="P1665" t="s">
        <v>35</v>
      </c>
      <c r="Q1665">
        <v>9.1</v>
      </c>
      <c r="R1665">
        <v>23</v>
      </c>
      <c r="S1665" t="s">
        <v>36</v>
      </c>
    </row>
    <row r="1666" spans="1:19" x14ac:dyDescent="0.3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 t="str">
        <f t="shared" si="25"/>
        <v>31-60 days</v>
      </c>
      <c r="L1666">
        <v>42</v>
      </c>
      <c r="M1666">
        <v>6</v>
      </c>
      <c r="N1666">
        <v>3</v>
      </c>
      <c r="O1666" t="s">
        <v>25</v>
      </c>
      <c r="P1666" t="s">
        <v>26</v>
      </c>
      <c r="Q1666">
        <v>0.8</v>
      </c>
      <c r="R1666">
        <v>37</v>
      </c>
      <c r="S1666" t="s">
        <v>27</v>
      </c>
    </row>
    <row r="1667" spans="1:19" x14ac:dyDescent="0.3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 t="str">
        <f t="shared" ref="K1667:K1730" si="26">IF(L1667&lt;=7,"0-7 days",IF(L1667&lt;=14,"8-14 days",IF(L1667&lt;=30,"15-30 days","31-60 days")))</f>
        <v>0-7 days</v>
      </c>
      <c r="L1667">
        <v>1</v>
      </c>
      <c r="M1667">
        <v>0</v>
      </c>
      <c r="N1667">
        <v>0</v>
      </c>
      <c r="O1667" t="s">
        <v>54</v>
      </c>
      <c r="P1667" t="s">
        <v>55</v>
      </c>
      <c r="Q1667">
        <v>3.5</v>
      </c>
      <c r="R1667">
        <v>35</v>
      </c>
      <c r="S1667" t="s">
        <v>36</v>
      </c>
    </row>
    <row r="1668" spans="1:19" x14ac:dyDescent="0.3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 t="str">
        <f t="shared" si="26"/>
        <v>0-7 days</v>
      </c>
      <c r="L1668">
        <v>4</v>
      </c>
      <c r="M1668">
        <v>4</v>
      </c>
      <c r="N1668">
        <v>1</v>
      </c>
      <c r="O1668" t="s">
        <v>25</v>
      </c>
      <c r="P1668" t="s">
        <v>35</v>
      </c>
      <c r="Q1668">
        <v>5.3</v>
      </c>
      <c r="R1668">
        <v>23</v>
      </c>
      <c r="S1668" t="s">
        <v>36</v>
      </c>
    </row>
    <row r="1669" spans="1:19" x14ac:dyDescent="0.3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 t="str">
        <f t="shared" si="26"/>
        <v>8-14 days</v>
      </c>
      <c r="L1669">
        <v>14</v>
      </c>
      <c r="M1669">
        <v>3</v>
      </c>
      <c r="N1669">
        <v>0</v>
      </c>
      <c r="O1669" t="s">
        <v>25</v>
      </c>
      <c r="P1669" t="s">
        <v>35</v>
      </c>
      <c r="Q1669">
        <v>6.4</v>
      </c>
      <c r="R1669">
        <v>27</v>
      </c>
      <c r="S1669" t="s">
        <v>36</v>
      </c>
    </row>
    <row r="1670" spans="1:19" x14ac:dyDescent="0.3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 t="str">
        <f t="shared" si="26"/>
        <v>15-30 days</v>
      </c>
      <c r="L1670">
        <v>27</v>
      </c>
      <c r="M1670">
        <v>7</v>
      </c>
      <c r="N1670">
        <v>1</v>
      </c>
      <c r="O1670" t="s">
        <v>25</v>
      </c>
      <c r="P1670" t="s">
        <v>50</v>
      </c>
      <c r="Q1670">
        <v>13.3</v>
      </c>
      <c r="R1670">
        <v>29</v>
      </c>
      <c r="S1670" t="s">
        <v>36</v>
      </c>
    </row>
    <row r="1671" spans="1:19" x14ac:dyDescent="0.3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 t="str">
        <f t="shared" si="26"/>
        <v>15-30 days</v>
      </c>
      <c r="L1671">
        <v>22</v>
      </c>
      <c r="M1671">
        <v>1</v>
      </c>
      <c r="N1671">
        <v>0</v>
      </c>
      <c r="O1671" t="s">
        <v>25</v>
      </c>
      <c r="P1671" t="s">
        <v>35</v>
      </c>
      <c r="Q1671">
        <v>23.2</v>
      </c>
      <c r="R1671">
        <v>37</v>
      </c>
      <c r="S1671" t="s">
        <v>27</v>
      </c>
    </row>
    <row r="1672" spans="1:19" x14ac:dyDescent="0.3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 t="str">
        <f t="shared" si="26"/>
        <v>8-14 days</v>
      </c>
      <c r="L1672">
        <v>11</v>
      </c>
      <c r="M1672">
        <v>4</v>
      </c>
      <c r="N1672">
        <v>1</v>
      </c>
      <c r="O1672" t="s">
        <v>25</v>
      </c>
      <c r="P1672" t="s">
        <v>35</v>
      </c>
      <c r="Q1672">
        <v>7.1</v>
      </c>
      <c r="R1672">
        <v>24</v>
      </c>
      <c r="S1672" t="s">
        <v>36</v>
      </c>
    </row>
    <row r="1673" spans="1:19" x14ac:dyDescent="0.3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 t="str">
        <f t="shared" si="26"/>
        <v>15-30 days</v>
      </c>
      <c r="L1673">
        <v>21</v>
      </c>
      <c r="M1673">
        <v>2</v>
      </c>
      <c r="N1673">
        <v>0</v>
      </c>
      <c r="O1673" t="s">
        <v>25</v>
      </c>
      <c r="P1673" t="s">
        <v>35</v>
      </c>
      <c r="Q1673">
        <v>6.9</v>
      </c>
      <c r="R1673">
        <v>29</v>
      </c>
      <c r="S1673" t="s">
        <v>27</v>
      </c>
    </row>
    <row r="1674" spans="1:19" x14ac:dyDescent="0.3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 t="str">
        <f t="shared" si="26"/>
        <v>15-30 days</v>
      </c>
      <c r="L1674">
        <v>20</v>
      </c>
      <c r="M1674">
        <v>2</v>
      </c>
      <c r="N1674">
        <v>1</v>
      </c>
      <c r="O1674" t="s">
        <v>25</v>
      </c>
      <c r="P1674" t="s">
        <v>26</v>
      </c>
      <c r="Q1674">
        <v>8</v>
      </c>
      <c r="R1674">
        <v>8</v>
      </c>
      <c r="S1674" t="s">
        <v>36</v>
      </c>
    </row>
    <row r="1675" spans="1:19" x14ac:dyDescent="0.3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 t="str">
        <f t="shared" si="26"/>
        <v>31-60 days</v>
      </c>
      <c r="L1675">
        <v>32</v>
      </c>
      <c r="M1675">
        <v>2</v>
      </c>
      <c r="N1675">
        <v>1</v>
      </c>
      <c r="O1675" t="s">
        <v>25</v>
      </c>
      <c r="P1675" t="s">
        <v>35</v>
      </c>
      <c r="Q1675">
        <v>4.5999999999999996</v>
      </c>
      <c r="R1675">
        <v>15</v>
      </c>
      <c r="S1675" t="s">
        <v>36</v>
      </c>
    </row>
    <row r="1676" spans="1:19" x14ac:dyDescent="0.3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 t="str">
        <f t="shared" si="26"/>
        <v>31-60 days</v>
      </c>
      <c r="L1676">
        <v>34</v>
      </c>
      <c r="M1676">
        <v>1</v>
      </c>
      <c r="N1676">
        <v>0</v>
      </c>
      <c r="O1676" t="s">
        <v>25</v>
      </c>
      <c r="P1676" t="s">
        <v>35</v>
      </c>
      <c r="Q1676">
        <v>19.399999999999999</v>
      </c>
      <c r="R1676">
        <v>17</v>
      </c>
      <c r="S1676" t="s">
        <v>27</v>
      </c>
    </row>
    <row r="1677" spans="1:19" x14ac:dyDescent="0.3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 t="str">
        <f t="shared" si="26"/>
        <v>31-60 days</v>
      </c>
      <c r="L1677">
        <v>53</v>
      </c>
      <c r="M1677">
        <v>3</v>
      </c>
      <c r="N1677">
        <v>0</v>
      </c>
      <c r="O1677" t="s">
        <v>25</v>
      </c>
      <c r="P1677" t="s">
        <v>26</v>
      </c>
      <c r="Q1677">
        <v>4.2</v>
      </c>
      <c r="R1677">
        <v>30</v>
      </c>
      <c r="S1677" t="s">
        <v>36</v>
      </c>
    </row>
    <row r="1678" spans="1:19" x14ac:dyDescent="0.3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 t="str">
        <f t="shared" si="26"/>
        <v>31-60 days</v>
      </c>
      <c r="L1678">
        <v>49</v>
      </c>
      <c r="M1678">
        <v>0</v>
      </c>
      <c r="N1678">
        <v>0</v>
      </c>
      <c r="O1678" t="s">
        <v>54</v>
      </c>
      <c r="P1678" t="s">
        <v>55</v>
      </c>
      <c r="Q1678">
        <v>4.3</v>
      </c>
      <c r="R1678">
        <v>17</v>
      </c>
      <c r="S1678" t="s">
        <v>27</v>
      </c>
    </row>
    <row r="1679" spans="1:19" x14ac:dyDescent="0.3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 t="str">
        <f t="shared" si="26"/>
        <v>15-30 days</v>
      </c>
      <c r="L1679">
        <v>17</v>
      </c>
      <c r="M1679">
        <v>3</v>
      </c>
      <c r="N1679">
        <v>1</v>
      </c>
      <c r="O1679" t="s">
        <v>25</v>
      </c>
      <c r="P1679" t="s">
        <v>35</v>
      </c>
      <c r="Q1679">
        <v>5.5</v>
      </c>
      <c r="R1679">
        <v>26</v>
      </c>
      <c r="S1679" t="s">
        <v>27</v>
      </c>
    </row>
    <row r="1680" spans="1:19" x14ac:dyDescent="0.3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 t="str">
        <f t="shared" si="26"/>
        <v>31-60 days</v>
      </c>
      <c r="L1680">
        <v>55</v>
      </c>
      <c r="M1680">
        <v>6</v>
      </c>
      <c r="N1680">
        <v>0</v>
      </c>
      <c r="O1680" t="s">
        <v>25</v>
      </c>
      <c r="P1680" t="s">
        <v>35</v>
      </c>
      <c r="Q1680">
        <v>21.2</v>
      </c>
      <c r="R1680">
        <v>23</v>
      </c>
      <c r="S1680" t="s">
        <v>27</v>
      </c>
    </row>
    <row r="1681" spans="1:19" x14ac:dyDescent="0.3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 t="str">
        <f t="shared" si="26"/>
        <v>31-60 days</v>
      </c>
      <c r="L1681">
        <v>31</v>
      </c>
      <c r="M1681">
        <v>6</v>
      </c>
      <c r="N1681">
        <v>0</v>
      </c>
      <c r="O1681" t="s">
        <v>25</v>
      </c>
      <c r="P1681" t="s">
        <v>35</v>
      </c>
      <c r="Q1681">
        <v>10.7</v>
      </c>
      <c r="R1681">
        <v>25</v>
      </c>
      <c r="S1681" t="s">
        <v>27</v>
      </c>
    </row>
    <row r="1682" spans="1:19" x14ac:dyDescent="0.3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 t="str">
        <f t="shared" si="26"/>
        <v>8-14 days</v>
      </c>
      <c r="L1682">
        <v>11</v>
      </c>
      <c r="M1682">
        <v>4</v>
      </c>
      <c r="N1682">
        <v>0</v>
      </c>
      <c r="O1682" t="s">
        <v>54</v>
      </c>
      <c r="P1682" t="s">
        <v>55</v>
      </c>
      <c r="Q1682">
        <v>8</v>
      </c>
      <c r="R1682">
        <v>34</v>
      </c>
      <c r="S1682" t="s">
        <v>27</v>
      </c>
    </row>
    <row r="1683" spans="1:19" x14ac:dyDescent="0.3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 t="str">
        <f t="shared" si="26"/>
        <v>15-30 days</v>
      </c>
      <c r="L1683">
        <v>20</v>
      </c>
      <c r="M1683">
        <v>3</v>
      </c>
      <c r="N1683">
        <v>1</v>
      </c>
      <c r="O1683" t="s">
        <v>25</v>
      </c>
      <c r="P1683" t="s">
        <v>35</v>
      </c>
      <c r="Q1683">
        <v>6.6</v>
      </c>
      <c r="R1683">
        <v>26</v>
      </c>
      <c r="S1683" t="s">
        <v>36</v>
      </c>
    </row>
    <row r="1684" spans="1:19" x14ac:dyDescent="0.3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 t="str">
        <f t="shared" si="26"/>
        <v>31-60 days</v>
      </c>
      <c r="L1684">
        <v>45</v>
      </c>
      <c r="M1684">
        <v>5</v>
      </c>
      <c r="N1684">
        <v>1</v>
      </c>
      <c r="O1684" t="s">
        <v>25</v>
      </c>
      <c r="P1684" t="s">
        <v>26</v>
      </c>
      <c r="Q1684">
        <v>7.6</v>
      </c>
      <c r="R1684">
        <v>22</v>
      </c>
      <c r="S1684" t="s">
        <v>27</v>
      </c>
    </row>
    <row r="1685" spans="1:19" x14ac:dyDescent="0.3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 t="str">
        <f t="shared" si="26"/>
        <v>31-60 days</v>
      </c>
      <c r="L1685">
        <v>50</v>
      </c>
      <c r="M1685">
        <v>1</v>
      </c>
      <c r="N1685">
        <v>0</v>
      </c>
      <c r="O1685" t="s">
        <v>25</v>
      </c>
      <c r="P1685" t="s">
        <v>35</v>
      </c>
      <c r="Q1685">
        <v>3.6</v>
      </c>
      <c r="R1685">
        <v>29</v>
      </c>
      <c r="S1685" t="s">
        <v>36</v>
      </c>
    </row>
    <row r="1686" spans="1:19" x14ac:dyDescent="0.3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 t="str">
        <f t="shared" si="26"/>
        <v>15-30 days</v>
      </c>
      <c r="L1686">
        <v>22</v>
      </c>
      <c r="M1686">
        <v>5</v>
      </c>
      <c r="N1686">
        <v>1</v>
      </c>
      <c r="O1686" t="s">
        <v>25</v>
      </c>
      <c r="P1686" t="s">
        <v>35</v>
      </c>
      <c r="Q1686">
        <v>1.3</v>
      </c>
      <c r="R1686">
        <v>42</v>
      </c>
      <c r="S1686" t="s">
        <v>27</v>
      </c>
    </row>
    <row r="1687" spans="1:19" x14ac:dyDescent="0.3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 t="str">
        <f t="shared" si="26"/>
        <v>8-14 days</v>
      </c>
      <c r="L1687">
        <v>9</v>
      </c>
      <c r="M1687">
        <v>4</v>
      </c>
      <c r="N1687">
        <v>0</v>
      </c>
      <c r="O1687" t="s">
        <v>25</v>
      </c>
      <c r="P1687" t="s">
        <v>50</v>
      </c>
      <c r="R1687">
        <v>25</v>
      </c>
      <c r="S1687" t="s">
        <v>27</v>
      </c>
    </row>
    <row r="1688" spans="1:19" x14ac:dyDescent="0.3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 t="str">
        <f t="shared" si="26"/>
        <v>8-14 days</v>
      </c>
      <c r="L1688">
        <v>11</v>
      </c>
      <c r="M1688">
        <v>1</v>
      </c>
      <c r="N1688">
        <v>0</v>
      </c>
      <c r="O1688" t="s">
        <v>25</v>
      </c>
      <c r="P1688" t="s">
        <v>26</v>
      </c>
      <c r="Q1688">
        <v>3.1</v>
      </c>
      <c r="R1688">
        <v>11</v>
      </c>
      <c r="S1688" t="s">
        <v>36</v>
      </c>
    </row>
    <row r="1689" spans="1:19" x14ac:dyDescent="0.3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 t="str">
        <f t="shared" si="26"/>
        <v>0-7 days</v>
      </c>
      <c r="L1689">
        <v>6</v>
      </c>
      <c r="M1689">
        <v>3</v>
      </c>
      <c r="N1689">
        <v>1</v>
      </c>
      <c r="O1689" t="s">
        <v>54</v>
      </c>
      <c r="P1689" t="s">
        <v>55</v>
      </c>
      <c r="Q1689">
        <v>18.899999999999999</v>
      </c>
      <c r="R1689">
        <v>10</v>
      </c>
      <c r="S1689" t="s">
        <v>36</v>
      </c>
    </row>
    <row r="1690" spans="1:19" x14ac:dyDescent="0.3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 t="str">
        <f t="shared" si="26"/>
        <v>31-60 days</v>
      </c>
      <c r="L1690">
        <v>42</v>
      </c>
      <c r="M1690">
        <v>2</v>
      </c>
      <c r="N1690">
        <v>0</v>
      </c>
      <c r="O1690" t="s">
        <v>54</v>
      </c>
      <c r="P1690" t="s">
        <v>55</v>
      </c>
      <c r="Q1690">
        <v>11</v>
      </c>
      <c r="R1690">
        <v>21</v>
      </c>
      <c r="S1690" t="s">
        <v>36</v>
      </c>
    </row>
    <row r="1691" spans="1:19" x14ac:dyDescent="0.3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 t="str">
        <f t="shared" si="26"/>
        <v>15-30 days</v>
      </c>
      <c r="L1691">
        <v>30</v>
      </c>
      <c r="M1691">
        <v>2</v>
      </c>
      <c r="N1691">
        <v>0</v>
      </c>
      <c r="O1691" t="s">
        <v>25</v>
      </c>
      <c r="P1691" t="s">
        <v>35</v>
      </c>
      <c r="Q1691">
        <v>7.1</v>
      </c>
      <c r="R1691">
        <v>11</v>
      </c>
      <c r="S1691" t="s">
        <v>36</v>
      </c>
    </row>
    <row r="1692" spans="1:19" x14ac:dyDescent="0.3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 t="str">
        <f t="shared" si="26"/>
        <v>15-30 days</v>
      </c>
      <c r="L1692">
        <v>27</v>
      </c>
      <c r="M1692">
        <v>3</v>
      </c>
      <c r="N1692">
        <v>0</v>
      </c>
      <c r="O1692" t="s">
        <v>25</v>
      </c>
      <c r="P1692" t="s">
        <v>35</v>
      </c>
      <c r="Q1692">
        <v>10.3</v>
      </c>
      <c r="R1692">
        <v>2</v>
      </c>
      <c r="S1692" t="s">
        <v>27</v>
      </c>
    </row>
    <row r="1693" spans="1:19" x14ac:dyDescent="0.3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 t="str">
        <f t="shared" si="26"/>
        <v>31-60 days</v>
      </c>
      <c r="L1693">
        <v>40</v>
      </c>
      <c r="M1693">
        <v>4</v>
      </c>
      <c r="N1693">
        <v>0</v>
      </c>
      <c r="O1693" t="s">
        <v>25</v>
      </c>
      <c r="P1693" t="s">
        <v>35</v>
      </c>
      <c r="Q1693">
        <v>8.6999999999999993</v>
      </c>
      <c r="R1693">
        <v>21</v>
      </c>
      <c r="S1693" t="s">
        <v>36</v>
      </c>
    </row>
    <row r="1694" spans="1:19" x14ac:dyDescent="0.3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 t="str">
        <f t="shared" si="26"/>
        <v>31-60 days</v>
      </c>
      <c r="L1694">
        <v>50</v>
      </c>
      <c r="M1694">
        <v>4</v>
      </c>
      <c r="N1694">
        <v>1</v>
      </c>
      <c r="O1694" t="s">
        <v>25</v>
      </c>
      <c r="P1694" t="s">
        <v>35</v>
      </c>
      <c r="Q1694">
        <v>7.7</v>
      </c>
      <c r="R1694">
        <v>28</v>
      </c>
      <c r="S1694" t="s">
        <v>27</v>
      </c>
    </row>
    <row r="1695" spans="1:19" x14ac:dyDescent="0.3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 t="str">
        <f t="shared" si="26"/>
        <v>31-60 days</v>
      </c>
      <c r="L1695">
        <v>48</v>
      </c>
      <c r="M1695">
        <v>3</v>
      </c>
      <c r="N1695">
        <v>1</v>
      </c>
      <c r="O1695" t="s">
        <v>25</v>
      </c>
      <c r="P1695" t="s">
        <v>35</v>
      </c>
      <c r="Q1695">
        <v>8.1</v>
      </c>
      <c r="R1695">
        <v>39</v>
      </c>
      <c r="S1695" t="s">
        <v>27</v>
      </c>
    </row>
    <row r="1696" spans="1:19" x14ac:dyDescent="0.3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 t="str">
        <f t="shared" si="26"/>
        <v>8-14 days</v>
      </c>
      <c r="L1696">
        <v>8</v>
      </c>
      <c r="M1696">
        <v>8</v>
      </c>
      <c r="N1696">
        <v>2</v>
      </c>
      <c r="O1696" t="s">
        <v>25</v>
      </c>
      <c r="P1696" t="s">
        <v>26</v>
      </c>
      <c r="Q1696">
        <v>14.2</v>
      </c>
      <c r="R1696">
        <v>24</v>
      </c>
      <c r="S1696" t="s">
        <v>36</v>
      </c>
    </row>
    <row r="1697" spans="1:19" x14ac:dyDescent="0.3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 t="str">
        <f t="shared" si="26"/>
        <v>31-60 days</v>
      </c>
      <c r="L1697">
        <v>35</v>
      </c>
      <c r="M1697">
        <v>3</v>
      </c>
      <c r="N1697">
        <v>2</v>
      </c>
      <c r="O1697" t="s">
        <v>25</v>
      </c>
      <c r="P1697" t="s">
        <v>26</v>
      </c>
      <c r="Q1697">
        <v>10.5</v>
      </c>
      <c r="R1697">
        <v>27</v>
      </c>
      <c r="S1697" t="s">
        <v>36</v>
      </c>
    </row>
    <row r="1698" spans="1:19" x14ac:dyDescent="0.3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 t="str">
        <f t="shared" si="26"/>
        <v>31-60 days</v>
      </c>
      <c r="L1698">
        <v>53</v>
      </c>
      <c r="M1698">
        <v>3</v>
      </c>
      <c r="N1698">
        <v>1</v>
      </c>
      <c r="O1698" t="s">
        <v>54</v>
      </c>
      <c r="P1698" t="s">
        <v>55</v>
      </c>
      <c r="Q1698">
        <v>7.3</v>
      </c>
      <c r="R1698">
        <v>30</v>
      </c>
      <c r="S1698" t="s">
        <v>27</v>
      </c>
    </row>
    <row r="1699" spans="1:19" x14ac:dyDescent="0.3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 t="str">
        <f t="shared" si="26"/>
        <v>31-60 days</v>
      </c>
      <c r="L1699">
        <v>47</v>
      </c>
      <c r="M1699">
        <v>3</v>
      </c>
      <c r="N1699">
        <v>0</v>
      </c>
      <c r="O1699" t="s">
        <v>25</v>
      </c>
      <c r="P1699" t="s">
        <v>26</v>
      </c>
      <c r="Q1699">
        <v>12.7</v>
      </c>
      <c r="R1699">
        <v>25</v>
      </c>
      <c r="S1699" t="s">
        <v>27</v>
      </c>
    </row>
    <row r="1700" spans="1:19" x14ac:dyDescent="0.3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 t="str">
        <f t="shared" si="26"/>
        <v>15-30 days</v>
      </c>
      <c r="L1700">
        <v>20</v>
      </c>
      <c r="M1700">
        <v>4</v>
      </c>
      <c r="N1700">
        <v>1</v>
      </c>
      <c r="O1700" t="s">
        <v>25</v>
      </c>
      <c r="P1700" t="s">
        <v>35</v>
      </c>
      <c r="Q1700">
        <v>20.3</v>
      </c>
      <c r="R1700">
        <v>17</v>
      </c>
      <c r="S1700" t="s">
        <v>27</v>
      </c>
    </row>
    <row r="1701" spans="1:19" x14ac:dyDescent="0.3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 t="str">
        <f t="shared" si="26"/>
        <v>15-30 days</v>
      </c>
      <c r="L1701">
        <v>23</v>
      </c>
      <c r="M1701">
        <v>1</v>
      </c>
      <c r="N1701">
        <v>0</v>
      </c>
      <c r="O1701" t="s">
        <v>25</v>
      </c>
      <c r="P1701" t="s">
        <v>26</v>
      </c>
      <c r="Q1701">
        <v>7.3</v>
      </c>
      <c r="R1701">
        <v>48</v>
      </c>
      <c r="S1701" t="s">
        <v>36</v>
      </c>
    </row>
    <row r="1702" spans="1:19" x14ac:dyDescent="0.3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 t="str">
        <f t="shared" si="26"/>
        <v>31-60 days</v>
      </c>
      <c r="L1702">
        <v>54</v>
      </c>
      <c r="M1702">
        <v>3</v>
      </c>
      <c r="N1702">
        <v>1</v>
      </c>
      <c r="O1702" t="s">
        <v>25</v>
      </c>
      <c r="P1702" t="s">
        <v>35</v>
      </c>
      <c r="Q1702">
        <v>4.9000000000000004</v>
      </c>
      <c r="R1702">
        <v>13</v>
      </c>
      <c r="S1702" t="s">
        <v>27</v>
      </c>
    </row>
    <row r="1703" spans="1:19" x14ac:dyDescent="0.3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 t="str">
        <f t="shared" si="26"/>
        <v>0-7 days</v>
      </c>
      <c r="L1703">
        <v>2</v>
      </c>
      <c r="M1703">
        <v>4</v>
      </c>
      <c r="N1703">
        <v>0</v>
      </c>
      <c r="O1703" t="s">
        <v>25</v>
      </c>
      <c r="P1703" t="s">
        <v>35</v>
      </c>
      <c r="Q1703">
        <v>13.3</v>
      </c>
      <c r="R1703">
        <v>29</v>
      </c>
      <c r="S1703" t="s">
        <v>27</v>
      </c>
    </row>
    <row r="1704" spans="1:19" x14ac:dyDescent="0.3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 t="str">
        <f t="shared" si="26"/>
        <v>31-60 days</v>
      </c>
      <c r="L1704">
        <v>32</v>
      </c>
      <c r="M1704">
        <v>0</v>
      </c>
      <c r="N1704">
        <v>0</v>
      </c>
      <c r="O1704" t="s">
        <v>25</v>
      </c>
      <c r="P1704" t="s">
        <v>35</v>
      </c>
      <c r="Q1704">
        <v>7.3</v>
      </c>
      <c r="R1704">
        <v>15</v>
      </c>
      <c r="S1704" t="s">
        <v>36</v>
      </c>
    </row>
    <row r="1705" spans="1:19" x14ac:dyDescent="0.3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 t="str">
        <f t="shared" si="26"/>
        <v>0-7 days</v>
      </c>
      <c r="L1705">
        <v>7</v>
      </c>
      <c r="M1705">
        <v>2</v>
      </c>
      <c r="N1705">
        <v>0</v>
      </c>
      <c r="O1705" t="s">
        <v>25</v>
      </c>
      <c r="P1705" t="s">
        <v>35</v>
      </c>
      <c r="Q1705">
        <v>15.9</v>
      </c>
      <c r="R1705">
        <v>25</v>
      </c>
      <c r="S1705" t="s">
        <v>36</v>
      </c>
    </row>
    <row r="1706" spans="1:19" x14ac:dyDescent="0.3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 t="str">
        <f t="shared" si="26"/>
        <v>31-60 days</v>
      </c>
      <c r="L1706">
        <v>54</v>
      </c>
      <c r="M1706">
        <v>2</v>
      </c>
      <c r="N1706">
        <v>1</v>
      </c>
      <c r="O1706" t="s">
        <v>25</v>
      </c>
      <c r="P1706" t="s">
        <v>50</v>
      </c>
      <c r="Q1706">
        <v>3.6</v>
      </c>
      <c r="R1706">
        <v>29</v>
      </c>
      <c r="S1706" t="s">
        <v>36</v>
      </c>
    </row>
    <row r="1707" spans="1:19" x14ac:dyDescent="0.3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 t="str">
        <f t="shared" si="26"/>
        <v>0-7 days</v>
      </c>
      <c r="L1707">
        <v>2</v>
      </c>
      <c r="M1707">
        <v>3</v>
      </c>
      <c r="N1707">
        <v>0</v>
      </c>
      <c r="O1707" t="s">
        <v>25</v>
      </c>
      <c r="P1707" t="s">
        <v>35</v>
      </c>
      <c r="Q1707">
        <v>5.9</v>
      </c>
      <c r="R1707">
        <v>22</v>
      </c>
      <c r="S1707" t="s">
        <v>36</v>
      </c>
    </row>
    <row r="1708" spans="1:19" x14ac:dyDescent="0.3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 t="str">
        <f t="shared" si="26"/>
        <v>0-7 days</v>
      </c>
      <c r="L1708">
        <v>1</v>
      </c>
      <c r="M1708">
        <v>3</v>
      </c>
      <c r="N1708">
        <v>1</v>
      </c>
      <c r="O1708" t="s">
        <v>54</v>
      </c>
      <c r="P1708" t="s">
        <v>55</v>
      </c>
      <c r="Q1708">
        <v>24.3</v>
      </c>
      <c r="R1708">
        <v>11</v>
      </c>
      <c r="S1708" t="s">
        <v>36</v>
      </c>
    </row>
    <row r="1709" spans="1:19" x14ac:dyDescent="0.3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 t="str">
        <f t="shared" si="26"/>
        <v>15-30 days</v>
      </c>
      <c r="L1709">
        <v>20</v>
      </c>
      <c r="M1709">
        <v>5</v>
      </c>
      <c r="N1709">
        <v>1</v>
      </c>
      <c r="O1709" t="s">
        <v>25</v>
      </c>
      <c r="P1709" t="s">
        <v>26</v>
      </c>
      <c r="Q1709">
        <v>5.7</v>
      </c>
      <c r="R1709">
        <v>20</v>
      </c>
      <c r="S1709" t="s">
        <v>27</v>
      </c>
    </row>
    <row r="1710" spans="1:19" x14ac:dyDescent="0.3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 t="str">
        <f t="shared" si="26"/>
        <v>8-14 days</v>
      </c>
      <c r="L1710">
        <v>12</v>
      </c>
      <c r="M1710">
        <v>3</v>
      </c>
      <c r="N1710">
        <v>0</v>
      </c>
      <c r="O1710" t="s">
        <v>54</v>
      </c>
      <c r="P1710" t="s">
        <v>55</v>
      </c>
      <c r="Q1710">
        <v>16.2</v>
      </c>
      <c r="R1710">
        <v>36</v>
      </c>
      <c r="S1710" t="s">
        <v>36</v>
      </c>
    </row>
    <row r="1711" spans="1:19" x14ac:dyDescent="0.3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 t="str">
        <f t="shared" si="26"/>
        <v>15-30 days</v>
      </c>
      <c r="L1711">
        <v>30</v>
      </c>
      <c r="M1711">
        <v>3</v>
      </c>
      <c r="N1711">
        <v>0</v>
      </c>
      <c r="O1711" t="s">
        <v>25</v>
      </c>
      <c r="P1711" t="s">
        <v>35</v>
      </c>
      <c r="Q1711">
        <v>4.8</v>
      </c>
      <c r="R1711">
        <v>7</v>
      </c>
      <c r="S1711" t="s">
        <v>27</v>
      </c>
    </row>
    <row r="1712" spans="1:19" x14ac:dyDescent="0.3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 t="str">
        <f t="shared" si="26"/>
        <v>15-30 days</v>
      </c>
      <c r="L1712">
        <v>18</v>
      </c>
      <c r="M1712">
        <v>4</v>
      </c>
      <c r="N1712">
        <v>1</v>
      </c>
      <c r="O1712" t="s">
        <v>25</v>
      </c>
      <c r="P1712" t="s">
        <v>26</v>
      </c>
      <c r="Q1712">
        <v>12.7</v>
      </c>
      <c r="R1712">
        <v>42</v>
      </c>
      <c r="S1712" t="s">
        <v>27</v>
      </c>
    </row>
    <row r="1713" spans="1:19" x14ac:dyDescent="0.3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 t="str">
        <f t="shared" si="26"/>
        <v>15-30 days</v>
      </c>
      <c r="L1713">
        <v>21</v>
      </c>
      <c r="M1713">
        <v>2</v>
      </c>
      <c r="N1713">
        <v>0</v>
      </c>
      <c r="O1713" t="s">
        <v>25</v>
      </c>
      <c r="P1713" t="s">
        <v>35</v>
      </c>
      <c r="Q1713">
        <v>4.0999999999999996</v>
      </c>
      <c r="R1713">
        <v>25</v>
      </c>
      <c r="S1713" t="s">
        <v>27</v>
      </c>
    </row>
    <row r="1714" spans="1:19" x14ac:dyDescent="0.3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 t="str">
        <f t="shared" si="26"/>
        <v>31-60 days</v>
      </c>
      <c r="L1714">
        <v>34</v>
      </c>
      <c r="M1714">
        <v>0</v>
      </c>
      <c r="N1714">
        <v>0</v>
      </c>
      <c r="O1714" t="s">
        <v>54</v>
      </c>
      <c r="P1714" t="s">
        <v>55</v>
      </c>
      <c r="Q1714">
        <v>13.5</v>
      </c>
      <c r="R1714">
        <v>32</v>
      </c>
      <c r="S1714" t="s">
        <v>36</v>
      </c>
    </row>
    <row r="1715" spans="1:19" x14ac:dyDescent="0.3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 t="str">
        <f t="shared" si="26"/>
        <v>31-60 days</v>
      </c>
      <c r="L1715">
        <v>34</v>
      </c>
      <c r="M1715">
        <v>1</v>
      </c>
      <c r="N1715">
        <v>1</v>
      </c>
      <c r="O1715" t="s">
        <v>25</v>
      </c>
      <c r="P1715" t="s">
        <v>35</v>
      </c>
      <c r="Q1715">
        <v>6.7</v>
      </c>
      <c r="R1715">
        <v>12</v>
      </c>
      <c r="S1715" t="s">
        <v>36</v>
      </c>
    </row>
    <row r="1716" spans="1:19" x14ac:dyDescent="0.3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 t="str">
        <f t="shared" si="26"/>
        <v>31-60 days</v>
      </c>
      <c r="L1716">
        <v>57</v>
      </c>
      <c r="M1716">
        <v>4</v>
      </c>
      <c r="N1716">
        <v>2</v>
      </c>
      <c r="O1716" t="s">
        <v>25</v>
      </c>
      <c r="P1716" t="s">
        <v>35</v>
      </c>
      <c r="Q1716">
        <v>5.8</v>
      </c>
      <c r="R1716">
        <v>22</v>
      </c>
      <c r="S1716" t="s">
        <v>27</v>
      </c>
    </row>
    <row r="1717" spans="1:19" x14ac:dyDescent="0.3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 t="str">
        <f t="shared" si="26"/>
        <v>15-30 days</v>
      </c>
      <c r="L1717">
        <v>29</v>
      </c>
      <c r="M1717">
        <v>2</v>
      </c>
      <c r="N1717">
        <v>0</v>
      </c>
      <c r="O1717" t="s">
        <v>25</v>
      </c>
      <c r="P1717" t="s">
        <v>35</v>
      </c>
      <c r="Q1717">
        <v>6.8</v>
      </c>
      <c r="R1717">
        <v>17</v>
      </c>
      <c r="S1717" t="s">
        <v>36</v>
      </c>
    </row>
    <row r="1718" spans="1:19" x14ac:dyDescent="0.3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 t="str">
        <f t="shared" si="26"/>
        <v>31-60 days</v>
      </c>
      <c r="L1718">
        <v>34</v>
      </c>
      <c r="M1718">
        <v>2</v>
      </c>
      <c r="N1718">
        <v>0</v>
      </c>
      <c r="O1718" t="s">
        <v>54</v>
      </c>
      <c r="P1718" t="s">
        <v>55</v>
      </c>
      <c r="Q1718">
        <v>8.1999999999999993</v>
      </c>
      <c r="R1718">
        <v>27</v>
      </c>
      <c r="S1718" t="s">
        <v>27</v>
      </c>
    </row>
    <row r="1719" spans="1:19" x14ac:dyDescent="0.3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 t="str">
        <f t="shared" si="26"/>
        <v>31-60 days</v>
      </c>
      <c r="L1719">
        <v>41</v>
      </c>
      <c r="M1719">
        <v>3</v>
      </c>
      <c r="N1719">
        <v>1</v>
      </c>
      <c r="O1719" t="s">
        <v>54</v>
      </c>
      <c r="P1719" t="s">
        <v>55</v>
      </c>
      <c r="Q1719">
        <v>9.1999999999999993</v>
      </c>
      <c r="R1719">
        <v>12</v>
      </c>
      <c r="S1719" t="s">
        <v>27</v>
      </c>
    </row>
    <row r="1720" spans="1:19" x14ac:dyDescent="0.3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 t="str">
        <f t="shared" si="26"/>
        <v>8-14 days</v>
      </c>
      <c r="L1720">
        <v>10</v>
      </c>
      <c r="M1720">
        <v>8</v>
      </c>
      <c r="N1720">
        <v>5</v>
      </c>
      <c r="O1720" t="s">
        <v>25</v>
      </c>
      <c r="P1720" t="s">
        <v>26</v>
      </c>
      <c r="Q1720">
        <v>3.3</v>
      </c>
      <c r="R1720">
        <v>17</v>
      </c>
      <c r="S1720" t="s">
        <v>27</v>
      </c>
    </row>
    <row r="1721" spans="1:19" x14ac:dyDescent="0.3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 t="str">
        <f t="shared" si="26"/>
        <v>31-60 days</v>
      </c>
      <c r="L1721">
        <v>40</v>
      </c>
      <c r="M1721">
        <v>1</v>
      </c>
      <c r="N1721">
        <v>0</v>
      </c>
      <c r="O1721" t="s">
        <v>25</v>
      </c>
      <c r="P1721" t="s">
        <v>26</v>
      </c>
      <c r="Q1721">
        <v>9.9</v>
      </c>
      <c r="R1721">
        <v>47</v>
      </c>
      <c r="S1721" t="s">
        <v>27</v>
      </c>
    </row>
    <row r="1722" spans="1:19" x14ac:dyDescent="0.3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 t="str">
        <f t="shared" si="26"/>
        <v>31-60 days</v>
      </c>
      <c r="L1722">
        <v>52</v>
      </c>
      <c r="M1722">
        <v>1</v>
      </c>
      <c r="N1722">
        <v>0</v>
      </c>
      <c r="O1722" t="s">
        <v>25</v>
      </c>
      <c r="P1722" t="s">
        <v>26</v>
      </c>
      <c r="Q1722">
        <v>2.7</v>
      </c>
      <c r="R1722">
        <v>31</v>
      </c>
      <c r="S1722" t="s">
        <v>27</v>
      </c>
    </row>
    <row r="1723" spans="1:19" x14ac:dyDescent="0.3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 t="str">
        <f t="shared" si="26"/>
        <v>15-30 days</v>
      </c>
      <c r="L1723">
        <v>19</v>
      </c>
      <c r="M1723">
        <v>2</v>
      </c>
      <c r="N1723">
        <v>0</v>
      </c>
      <c r="O1723" t="s">
        <v>25</v>
      </c>
      <c r="P1723" t="s">
        <v>35</v>
      </c>
      <c r="Q1723">
        <v>14.8</v>
      </c>
      <c r="R1723">
        <v>28</v>
      </c>
      <c r="S1723" t="s">
        <v>27</v>
      </c>
    </row>
    <row r="1724" spans="1:19" x14ac:dyDescent="0.3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 t="str">
        <f t="shared" si="26"/>
        <v>8-14 days</v>
      </c>
      <c r="L1724">
        <v>10</v>
      </c>
      <c r="M1724">
        <v>3</v>
      </c>
      <c r="N1724">
        <v>0</v>
      </c>
      <c r="O1724" t="s">
        <v>25</v>
      </c>
      <c r="P1724" t="s">
        <v>26</v>
      </c>
      <c r="Q1724">
        <v>10.4</v>
      </c>
      <c r="R1724">
        <v>28</v>
      </c>
      <c r="S1724" t="s">
        <v>27</v>
      </c>
    </row>
    <row r="1725" spans="1:19" x14ac:dyDescent="0.3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 t="str">
        <f t="shared" si="26"/>
        <v>15-30 days</v>
      </c>
      <c r="L1725">
        <v>21</v>
      </c>
      <c r="M1725">
        <v>5</v>
      </c>
      <c r="N1725">
        <v>2</v>
      </c>
      <c r="O1725" t="s">
        <v>54</v>
      </c>
      <c r="P1725" t="s">
        <v>55</v>
      </c>
      <c r="Q1725">
        <v>10.4</v>
      </c>
      <c r="R1725">
        <v>40</v>
      </c>
      <c r="S1725" t="s">
        <v>27</v>
      </c>
    </row>
    <row r="1726" spans="1:19" x14ac:dyDescent="0.3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 t="str">
        <f t="shared" si="26"/>
        <v>15-30 days</v>
      </c>
      <c r="L1726">
        <v>16</v>
      </c>
      <c r="M1726">
        <v>4</v>
      </c>
      <c r="N1726">
        <v>0</v>
      </c>
      <c r="O1726" t="s">
        <v>25</v>
      </c>
      <c r="P1726" t="s">
        <v>35</v>
      </c>
      <c r="Q1726">
        <v>13.4</v>
      </c>
      <c r="R1726">
        <v>23</v>
      </c>
      <c r="S1726" t="s">
        <v>27</v>
      </c>
    </row>
    <row r="1727" spans="1:19" x14ac:dyDescent="0.3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 t="str">
        <f t="shared" si="26"/>
        <v>31-60 days</v>
      </c>
      <c r="L1727">
        <v>35</v>
      </c>
      <c r="M1727">
        <v>2</v>
      </c>
      <c r="N1727">
        <v>1</v>
      </c>
      <c r="O1727" t="s">
        <v>25</v>
      </c>
      <c r="P1727" t="s">
        <v>35</v>
      </c>
      <c r="Q1727">
        <v>10.6</v>
      </c>
      <c r="R1727">
        <v>34</v>
      </c>
      <c r="S1727" t="s">
        <v>27</v>
      </c>
    </row>
    <row r="1728" spans="1:19" x14ac:dyDescent="0.3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 t="str">
        <f t="shared" si="26"/>
        <v>31-60 days</v>
      </c>
      <c r="L1728">
        <v>52</v>
      </c>
      <c r="M1728">
        <v>9</v>
      </c>
      <c r="N1728">
        <v>1</v>
      </c>
      <c r="O1728" t="s">
        <v>54</v>
      </c>
      <c r="P1728" t="s">
        <v>55</v>
      </c>
      <c r="Q1728">
        <v>20.9</v>
      </c>
      <c r="R1728">
        <v>2</v>
      </c>
      <c r="S1728" t="s">
        <v>27</v>
      </c>
    </row>
    <row r="1729" spans="1:19" x14ac:dyDescent="0.3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 t="str">
        <f t="shared" si="26"/>
        <v>31-60 days</v>
      </c>
      <c r="L1729">
        <v>36</v>
      </c>
      <c r="M1729">
        <v>1</v>
      </c>
      <c r="N1729">
        <v>0</v>
      </c>
      <c r="O1729" t="s">
        <v>25</v>
      </c>
      <c r="P1729" t="s">
        <v>35</v>
      </c>
      <c r="Q1729">
        <v>4.2</v>
      </c>
      <c r="R1729">
        <v>23</v>
      </c>
      <c r="S1729" t="s">
        <v>27</v>
      </c>
    </row>
    <row r="1730" spans="1:19" x14ac:dyDescent="0.3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 t="str">
        <f t="shared" si="26"/>
        <v>0-7 days</v>
      </c>
      <c r="L1730">
        <v>7</v>
      </c>
      <c r="M1730">
        <v>8</v>
      </c>
      <c r="N1730">
        <v>2</v>
      </c>
      <c r="O1730" t="s">
        <v>25</v>
      </c>
      <c r="P1730" t="s">
        <v>26</v>
      </c>
      <c r="Q1730">
        <v>3.2</v>
      </c>
      <c r="R1730">
        <v>21</v>
      </c>
      <c r="S1730" t="s">
        <v>27</v>
      </c>
    </row>
    <row r="1731" spans="1:19" x14ac:dyDescent="0.3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 t="str">
        <f t="shared" ref="K1731:K1794" si="27">IF(L1731&lt;=7,"0-7 days",IF(L1731&lt;=14,"8-14 days",IF(L1731&lt;=30,"15-30 days","31-60 days")))</f>
        <v>15-30 days</v>
      </c>
      <c r="L1731">
        <v>19</v>
      </c>
      <c r="M1731">
        <v>4</v>
      </c>
      <c r="N1731">
        <v>1</v>
      </c>
      <c r="O1731" t="s">
        <v>25</v>
      </c>
      <c r="P1731" t="s">
        <v>35</v>
      </c>
      <c r="Q1731">
        <v>21.3</v>
      </c>
      <c r="R1731">
        <v>18</v>
      </c>
      <c r="S1731" t="s">
        <v>36</v>
      </c>
    </row>
    <row r="1732" spans="1:19" x14ac:dyDescent="0.3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 t="str">
        <f t="shared" si="27"/>
        <v>31-60 days</v>
      </c>
      <c r="L1732">
        <v>42</v>
      </c>
      <c r="M1732">
        <v>4</v>
      </c>
      <c r="N1732">
        <v>0</v>
      </c>
      <c r="O1732" t="s">
        <v>25</v>
      </c>
      <c r="P1732" t="s">
        <v>35</v>
      </c>
      <c r="Q1732">
        <v>10.6</v>
      </c>
      <c r="R1732">
        <v>32</v>
      </c>
      <c r="S1732" t="s">
        <v>71</v>
      </c>
    </row>
    <row r="1733" spans="1:19" x14ac:dyDescent="0.3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 t="str">
        <f t="shared" si="27"/>
        <v>15-30 days</v>
      </c>
      <c r="L1733">
        <v>20</v>
      </c>
      <c r="M1733">
        <v>4</v>
      </c>
      <c r="N1733">
        <v>0</v>
      </c>
      <c r="O1733" t="s">
        <v>25</v>
      </c>
      <c r="P1733" t="s">
        <v>26</v>
      </c>
      <c r="Q1733">
        <v>11.4</v>
      </c>
      <c r="R1733">
        <v>23</v>
      </c>
      <c r="S1733" t="s">
        <v>36</v>
      </c>
    </row>
    <row r="1734" spans="1:19" x14ac:dyDescent="0.3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 t="str">
        <f t="shared" si="27"/>
        <v>31-60 days</v>
      </c>
      <c r="L1734">
        <v>35</v>
      </c>
      <c r="M1734">
        <v>4</v>
      </c>
      <c r="N1734">
        <v>0</v>
      </c>
      <c r="O1734" t="s">
        <v>25</v>
      </c>
      <c r="P1734" t="s">
        <v>26</v>
      </c>
      <c r="Q1734">
        <v>3.9</v>
      </c>
      <c r="R1734">
        <v>22</v>
      </c>
      <c r="S1734" t="s">
        <v>36</v>
      </c>
    </row>
    <row r="1735" spans="1:19" x14ac:dyDescent="0.3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 t="str">
        <f t="shared" si="27"/>
        <v>31-60 days</v>
      </c>
      <c r="L1735">
        <v>42</v>
      </c>
      <c r="M1735">
        <v>5</v>
      </c>
      <c r="N1735">
        <v>2</v>
      </c>
      <c r="O1735" t="s">
        <v>54</v>
      </c>
      <c r="P1735" t="s">
        <v>55</v>
      </c>
      <c r="Q1735">
        <v>11</v>
      </c>
      <c r="R1735">
        <v>15</v>
      </c>
      <c r="S1735" t="s">
        <v>27</v>
      </c>
    </row>
    <row r="1736" spans="1:19" x14ac:dyDescent="0.3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 t="str">
        <f t="shared" si="27"/>
        <v>15-30 days</v>
      </c>
      <c r="L1736">
        <v>20</v>
      </c>
      <c r="M1736">
        <v>4</v>
      </c>
      <c r="N1736">
        <v>2</v>
      </c>
      <c r="O1736" t="s">
        <v>54</v>
      </c>
      <c r="P1736" t="s">
        <v>55</v>
      </c>
      <c r="Q1736">
        <v>7.6</v>
      </c>
      <c r="R1736">
        <v>20</v>
      </c>
      <c r="S1736" t="s">
        <v>27</v>
      </c>
    </row>
    <row r="1737" spans="1:19" x14ac:dyDescent="0.3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 t="str">
        <f t="shared" si="27"/>
        <v>31-60 days</v>
      </c>
      <c r="L1737">
        <v>39</v>
      </c>
      <c r="M1737">
        <v>2</v>
      </c>
      <c r="N1737">
        <v>0</v>
      </c>
      <c r="O1737" t="s">
        <v>25</v>
      </c>
      <c r="P1737" t="s">
        <v>26</v>
      </c>
      <c r="Q1737">
        <v>12.5</v>
      </c>
      <c r="R1737">
        <v>2</v>
      </c>
      <c r="S1737" t="s">
        <v>36</v>
      </c>
    </row>
    <row r="1738" spans="1:19" x14ac:dyDescent="0.3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 t="str">
        <f t="shared" si="27"/>
        <v>15-30 days</v>
      </c>
      <c r="L1738">
        <v>24</v>
      </c>
      <c r="M1738">
        <v>4</v>
      </c>
      <c r="N1738">
        <v>2</v>
      </c>
      <c r="O1738" t="s">
        <v>54</v>
      </c>
      <c r="P1738" t="s">
        <v>55</v>
      </c>
      <c r="Q1738">
        <v>8.5</v>
      </c>
      <c r="R1738">
        <v>21</v>
      </c>
      <c r="S1738" t="s">
        <v>71</v>
      </c>
    </row>
    <row r="1739" spans="1:19" x14ac:dyDescent="0.3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 t="str">
        <f t="shared" si="27"/>
        <v>8-14 days</v>
      </c>
      <c r="L1739">
        <v>8</v>
      </c>
      <c r="M1739">
        <v>3</v>
      </c>
      <c r="N1739">
        <v>1</v>
      </c>
      <c r="O1739" t="s">
        <v>25</v>
      </c>
      <c r="P1739" t="s">
        <v>50</v>
      </c>
      <c r="Q1739">
        <v>7.6</v>
      </c>
      <c r="R1739">
        <v>8</v>
      </c>
      <c r="S1739" t="s">
        <v>27</v>
      </c>
    </row>
    <row r="1740" spans="1:19" x14ac:dyDescent="0.3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 t="str">
        <f t="shared" si="27"/>
        <v>15-30 days</v>
      </c>
      <c r="L1740">
        <v>22</v>
      </c>
      <c r="M1740">
        <v>4</v>
      </c>
      <c r="N1740">
        <v>0</v>
      </c>
      <c r="O1740" t="s">
        <v>25</v>
      </c>
      <c r="P1740" t="s">
        <v>26</v>
      </c>
      <c r="Q1740">
        <v>8.6</v>
      </c>
      <c r="R1740">
        <v>41</v>
      </c>
      <c r="S1740" t="s">
        <v>36</v>
      </c>
    </row>
    <row r="1741" spans="1:19" x14ac:dyDescent="0.3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 t="str">
        <f t="shared" si="27"/>
        <v>15-30 days</v>
      </c>
      <c r="L1741">
        <v>26</v>
      </c>
      <c r="M1741">
        <v>4</v>
      </c>
      <c r="N1741">
        <v>1</v>
      </c>
      <c r="O1741" t="s">
        <v>25</v>
      </c>
      <c r="P1741" t="s">
        <v>26</v>
      </c>
      <c r="Q1741">
        <v>5.3</v>
      </c>
      <c r="R1741">
        <v>32</v>
      </c>
      <c r="S1741" t="s">
        <v>36</v>
      </c>
    </row>
    <row r="1742" spans="1:19" x14ac:dyDescent="0.3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 t="str">
        <f t="shared" si="27"/>
        <v>0-7 days</v>
      </c>
      <c r="L1742">
        <v>0</v>
      </c>
      <c r="M1742">
        <v>5</v>
      </c>
      <c r="N1742">
        <v>2</v>
      </c>
      <c r="O1742" t="s">
        <v>25</v>
      </c>
      <c r="P1742" t="s">
        <v>35</v>
      </c>
      <c r="Q1742">
        <v>6.2</v>
      </c>
      <c r="R1742">
        <v>34</v>
      </c>
      <c r="S1742" t="s">
        <v>36</v>
      </c>
    </row>
    <row r="1743" spans="1:19" x14ac:dyDescent="0.3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 t="str">
        <f t="shared" si="27"/>
        <v>31-60 days</v>
      </c>
      <c r="L1743">
        <v>54</v>
      </c>
      <c r="M1743">
        <v>2</v>
      </c>
      <c r="N1743">
        <v>0</v>
      </c>
      <c r="O1743" t="s">
        <v>25</v>
      </c>
      <c r="P1743" t="s">
        <v>26</v>
      </c>
      <c r="Q1743">
        <v>16.7</v>
      </c>
      <c r="R1743">
        <v>9</v>
      </c>
      <c r="S1743" t="s">
        <v>27</v>
      </c>
    </row>
    <row r="1744" spans="1:19" x14ac:dyDescent="0.3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 t="str">
        <f t="shared" si="27"/>
        <v>31-60 days</v>
      </c>
      <c r="L1744">
        <v>32</v>
      </c>
      <c r="M1744">
        <v>4</v>
      </c>
      <c r="N1744">
        <v>2</v>
      </c>
      <c r="O1744" t="s">
        <v>54</v>
      </c>
      <c r="P1744" t="s">
        <v>55</v>
      </c>
      <c r="Q1744">
        <v>11.2</v>
      </c>
      <c r="R1744">
        <v>33</v>
      </c>
      <c r="S1744" t="s">
        <v>36</v>
      </c>
    </row>
    <row r="1745" spans="1:19" x14ac:dyDescent="0.3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 t="str">
        <f t="shared" si="27"/>
        <v>0-7 days</v>
      </c>
      <c r="L1745">
        <v>2</v>
      </c>
      <c r="M1745">
        <v>2</v>
      </c>
      <c r="N1745">
        <v>0</v>
      </c>
      <c r="O1745" t="s">
        <v>54</v>
      </c>
      <c r="P1745" t="s">
        <v>55</v>
      </c>
      <c r="Q1745">
        <v>7.3</v>
      </c>
      <c r="R1745">
        <v>17</v>
      </c>
      <c r="S1745" t="s">
        <v>36</v>
      </c>
    </row>
    <row r="1746" spans="1:19" x14ac:dyDescent="0.3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 t="str">
        <f t="shared" si="27"/>
        <v>31-60 days</v>
      </c>
      <c r="L1746">
        <v>52</v>
      </c>
      <c r="M1746">
        <v>8</v>
      </c>
      <c r="N1746">
        <v>3</v>
      </c>
      <c r="O1746" t="s">
        <v>25</v>
      </c>
      <c r="P1746" t="s">
        <v>50</v>
      </c>
      <c r="Q1746">
        <v>11.1</v>
      </c>
      <c r="R1746">
        <v>27</v>
      </c>
      <c r="S1746" t="s">
        <v>27</v>
      </c>
    </row>
    <row r="1747" spans="1:19" x14ac:dyDescent="0.3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 t="str">
        <f t="shared" si="27"/>
        <v>31-60 days</v>
      </c>
      <c r="L1747">
        <v>52</v>
      </c>
      <c r="M1747">
        <v>2</v>
      </c>
      <c r="N1747">
        <v>1</v>
      </c>
      <c r="O1747" t="s">
        <v>25</v>
      </c>
      <c r="P1747" t="s">
        <v>35</v>
      </c>
      <c r="Q1747">
        <v>10.1</v>
      </c>
      <c r="R1747">
        <v>22</v>
      </c>
      <c r="S1747" t="s">
        <v>27</v>
      </c>
    </row>
    <row r="1748" spans="1:19" x14ac:dyDescent="0.3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 t="str">
        <f t="shared" si="27"/>
        <v>0-7 days</v>
      </c>
      <c r="L1748">
        <v>0</v>
      </c>
      <c r="M1748">
        <v>3</v>
      </c>
      <c r="N1748">
        <v>1</v>
      </c>
      <c r="O1748" t="s">
        <v>25</v>
      </c>
      <c r="P1748" t="s">
        <v>35</v>
      </c>
      <c r="Q1748">
        <v>6.3</v>
      </c>
      <c r="R1748">
        <v>9</v>
      </c>
      <c r="S1748" t="s">
        <v>36</v>
      </c>
    </row>
    <row r="1749" spans="1:19" x14ac:dyDescent="0.3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 t="str">
        <f t="shared" si="27"/>
        <v>8-14 days</v>
      </c>
      <c r="L1749">
        <v>9</v>
      </c>
      <c r="M1749">
        <v>2</v>
      </c>
      <c r="N1749">
        <v>2</v>
      </c>
      <c r="O1749" t="s">
        <v>54</v>
      </c>
      <c r="P1749" t="s">
        <v>55</v>
      </c>
      <c r="Q1749">
        <v>5.3</v>
      </c>
      <c r="R1749">
        <v>13</v>
      </c>
      <c r="S1749" t="s">
        <v>27</v>
      </c>
    </row>
    <row r="1750" spans="1:19" x14ac:dyDescent="0.3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 t="str">
        <f t="shared" si="27"/>
        <v>15-30 days</v>
      </c>
      <c r="L1750">
        <v>22</v>
      </c>
      <c r="M1750">
        <v>4</v>
      </c>
      <c r="N1750">
        <v>0</v>
      </c>
      <c r="O1750" t="s">
        <v>25</v>
      </c>
      <c r="P1750" t="s">
        <v>35</v>
      </c>
      <c r="Q1750">
        <v>6.2</v>
      </c>
      <c r="R1750">
        <v>31</v>
      </c>
      <c r="S1750" t="s">
        <v>27</v>
      </c>
    </row>
    <row r="1751" spans="1:19" x14ac:dyDescent="0.3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 t="str">
        <f t="shared" si="27"/>
        <v>15-30 days</v>
      </c>
      <c r="L1751">
        <v>30</v>
      </c>
      <c r="M1751">
        <v>4</v>
      </c>
      <c r="N1751">
        <v>1</v>
      </c>
      <c r="O1751" t="s">
        <v>25</v>
      </c>
      <c r="P1751" t="s">
        <v>35</v>
      </c>
      <c r="Q1751">
        <v>15.2</v>
      </c>
      <c r="R1751">
        <v>31</v>
      </c>
      <c r="S1751" t="s">
        <v>27</v>
      </c>
    </row>
    <row r="1752" spans="1:19" x14ac:dyDescent="0.3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 t="str">
        <f t="shared" si="27"/>
        <v>31-60 days</v>
      </c>
      <c r="L1752">
        <v>44</v>
      </c>
      <c r="M1752">
        <v>2</v>
      </c>
      <c r="N1752">
        <v>0</v>
      </c>
      <c r="O1752" t="s">
        <v>54</v>
      </c>
      <c r="P1752" t="s">
        <v>55</v>
      </c>
      <c r="Q1752">
        <v>7.2</v>
      </c>
      <c r="R1752">
        <v>9</v>
      </c>
      <c r="S1752" t="s">
        <v>36</v>
      </c>
    </row>
    <row r="1753" spans="1:19" x14ac:dyDescent="0.3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 t="str">
        <f t="shared" si="27"/>
        <v>15-30 days</v>
      </c>
      <c r="L1753">
        <v>25</v>
      </c>
      <c r="M1753">
        <v>1</v>
      </c>
      <c r="N1753">
        <v>1</v>
      </c>
      <c r="O1753" t="s">
        <v>25</v>
      </c>
      <c r="P1753" t="s">
        <v>50</v>
      </c>
      <c r="Q1753">
        <v>16.399999999999999</v>
      </c>
      <c r="R1753">
        <v>37</v>
      </c>
      <c r="S1753" t="s">
        <v>27</v>
      </c>
    </row>
    <row r="1754" spans="1:19" x14ac:dyDescent="0.3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 t="str">
        <f t="shared" si="27"/>
        <v>31-60 days</v>
      </c>
      <c r="L1754">
        <v>37</v>
      </c>
      <c r="M1754">
        <v>2</v>
      </c>
      <c r="N1754">
        <v>0</v>
      </c>
      <c r="O1754" t="s">
        <v>54</v>
      </c>
      <c r="P1754" t="s">
        <v>55</v>
      </c>
      <c r="Q1754">
        <v>5.8</v>
      </c>
      <c r="R1754">
        <v>20</v>
      </c>
      <c r="S1754" t="s">
        <v>27</v>
      </c>
    </row>
    <row r="1755" spans="1:19" x14ac:dyDescent="0.3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 t="str">
        <f t="shared" si="27"/>
        <v>0-7 days</v>
      </c>
      <c r="L1755">
        <v>0</v>
      </c>
      <c r="M1755">
        <v>4</v>
      </c>
      <c r="N1755">
        <v>0</v>
      </c>
      <c r="O1755" t="s">
        <v>25</v>
      </c>
      <c r="P1755" t="s">
        <v>26</v>
      </c>
      <c r="Q1755">
        <v>4.9000000000000004</v>
      </c>
      <c r="R1755">
        <v>10</v>
      </c>
      <c r="S1755" t="s">
        <v>36</v>
      </c>
    </row>
    <row r="1756" spans="1:19" x14ac:dyDescent="0.3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 t="str">
        <f t="shared" si="27"/>
        <v>31-60 days</v>
      </c>
      <c r="L1756">
        <v>40</v>
      </c>
      <c r="M1756">
        <v>4</v>
      </c>
      <c r="N1756">
        <v>0</v>
      </c>
      <c r="O1756" t="s">
        <v>54</v>
      </c>
      <c r="P1756" t="s">
        <v>55</v>
      </c>
      <c r="Q1756">
        <v>7.5</v>
      </c>
      <c r="R1756">
        <v>18</v>
      </c>
      <c r="S1756" t="s">
        <v>27</v>
      </c>
    </row>
    <row r="1757" spans="1:19" x14ac:dyDescent="0.3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 t="str">
        <f t="shared" si="27"/>
        <v>31-60 days</v>
      </c>
      <c r="L1757">
        <v>55</v>
      </c>
      <c r="M1757">
        <v>3</v>
      </c>
      <c r="N1757">
        <v>0</v>
      </c>
      <c r="O1757" t="s">
        <v>54</v>
      </c>
      <c r="P1757" t="s">
        <v>55</v>
      </c>
      <c r="Q1757">
        <v>9.6999999999999993</v>
      </c>
      <c r="R1757">
        <v>9</v>
      </c>
      <c r="S1757" t="s">
        <v>27</v>
      </c>
    </row>
    <row r="1758" spans="1:19" x14ac:dyDescent="0.3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 t="str">
        <f t="shared" si="27"/>
        <v>31-60 days</v>
      </c>
      <c r="L1758">
        <v>32</v>
      </c>
      <c r="M1758">
        <v>3</v>
      </c>
      <c r="N1758">
        <v>0</v>
      </c>
      <c r="O1758" t="s">
        <v>25</v>
      </c>
      <c r="P1758" t="s">
        <v>35</v>
      </c>
      <c r="Q1758">
        <v>8.6</v>
      </c>
      <c r="R1758">
        <v>16</v>
      </c>
      <c r="S1758" t="s">
        <v>27</v>
      </c>
    </row>
    <row r="1759" spans="1:19" x14ac:dyDescent="0.3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 t="str">
        <f t="shared" si="27"/>
        <v>15-30 days</v>
      </c>
      <c r="L1759">
        <v>27</v>
      </c>
      <c r="M1759">
        <v>1</v>
      </c>
      <c r="N1759">
        <v>0</v>
      </c>
      <c r="O1759" t="s">
        <v>25</v>
      </c>
      <c r="P1759" t="s">
        <v>50</v>
      </c>
      <c r="R1759">
        <v>19</v>
      </c>
      <c r="S1759" t="s">
        <v>27</v>
      </c>
    </row>
    <row r="1760" spans="1:19" x14ac:dyDescent="0.3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 t="str">
        <f t="shared" si="27"/>
        <v>15-30 days</v>
      </c>
      <c r="L1760">
        <v>18</v>
      </c>
      <c r="M1760">
        <v>3</v>
      </c>
      <c r="N1760">
        <v>2</v>
      </c>
      <c r="O1760" t="s">
        <v>25</v>
      </c>
      <c r="P1760" t="s">
        <v>26</v>
      </c>
      <c r="Q1760">
        <v>10.7</v>
      </c>
      <c r="R1760">
        <v>30</v>
      </c>
      <c r="S1760" t="s">
        <v>27</v>
      </c>
    </row>
    <row r="1761" spans="1:19" x14ac:dyDescent="0.3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 t="str">
        <f t="shared" si="27"/>
        <v>31-60 days</v>
      </c>
      <c r="L1761">
        <v>58</v>
      </c>
      <c r="M1761">
        <v>6</v>
      </c>
      <c r="N1761">
        <v>1</v>
      </c>
      <c r="O1761" t="s">
        <v>25</v>
      </c>
      <c r="P1761" t="s">
        <v>26</v>
      </c>
      <c r="Q1761">
        <v>12.2</v>
      </c>
      <c r="R1761">
        <v>33</v>
      </c>
      <c r="S1761" t="s">
        <v>27</v>
      </c>
    </row>
    <row r="1762" spans="1:19" x14ac:dyDescent="0.3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 t="str">
        <f t="shared" si="27"/>
        <v>0-7 days</v>
      </c>
      <c r="L1762">
        <v>2</v>
      </c>
      <c r="M1762">
        <v>2</v>
      </c>
      <c r="N1762">
        <v>2</v>
      </c>
      <c r="O1762" t="s">
        <v>25</v>
      </c>
      <c r="P1762" t="s">
        <v>50</v>
      </c>
      <c r="Q1762">
        <v>4</v>
      </c>
      <c r="R1762">
        <v>36</v>
      </c>
      <c r="S1762" t="s">
        <v>36</v>
      </c>
    </row>
    <row r="1763" spans="1:19" x14ac:dyDescent="0.3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 t="str">
        <f t="shared" si="27"/>
        <v>15-30 days</v>
      </c>
      <c r="L1763">
        <v>17</v>
      </c>
      <c r="M1763">
        <v>3</v>
      </c>
      <c r="N1763">
        <v>0</v>
      </c>
      <c r="O1763" t="s">
        <v>25</v>
      </c>
      <c r="P1763" t="s">
        <v>26</v>
      </c>
      <c r="Q1763">
        <v>5.5</v>
      </c>
      <c r="R1763">
        <v>33</v>
      </c>
      <c r="S1763" t="s">
        <v>36</v>
      </c>
    </row>
    <row r="1764" spans="1:19" x14ac:dyDescent="0.3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 t="str">
        <f t="shared" si="27"/>
        <v>8-14 days</v>
      </c>
      <c r="L1764">
        <v>8</v>
      </c>
      <c r="M1764">
        <v>5</v>
      </c>
      <c r="N1764">
        <v>1</v>
      </c>
      <c r="O1764" t="s">
        <v>25</v>
      </c>
      <c r="P1764" t="s">
        <v>35</v>
      </c>
      <c r="Q1764">
        <v>8.9</v>
      </c>
      <c r="R1764">
        <v>3</v>
      </c>
      <c r="S1764" t="s">
        <v>36</v>
      </c>
    </row>
    <row r="1765" spans="1:19" x14ac:dyDescent="0.3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 t="str">
        <f t="shared" si="27"/>
        <v>31-60 days</v>
      </c>
      <c r="L1765">
        <v>52</v>
      </c>
      <c r="M1765">
        <v>2</v>
      </c>
      <c r="N1765">
        <v>1</v>
      </c>
      <c r="O1765" t="s">
        <v>54</v>
      </c>
      <c r="P1765" t="s">
        <v>55</v>
      </c>
      <c r="Q1765">
        <v>6.3</v>
      </c>
      <c r="R1765">
        <v>8</v>
      </c>
      <c r="S1765" t="s">
        <v>27</v>
      </c>
    </row>
    <row r="1766" spans="1:19" x14ac:dyDescent="0.3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 t="str">
        <f t="shared" si="27"/>
        <v>15-30 days</v>
      </c>
      <c r="L1766">
        <v>29</v>
      </c>
      <c r="M1766">
        <v>7</v>
      </c>
      <c r="N1766">
        <v>2</v>
      </c>
      <c r="O1766" t="s">
        <v>25</v>
      </c>
      <c r="P1766" t="s">
        <v>35</v>
      </c>
      <c r="Q1766">
        <v>7.6</v>
      </c>
      <c r="R1766">
        <v>36</v>
      </c>
      <c r="S1766" t="s">
        <v>36</v>
      </c>
    </row>
    <row r="1767" spans="1:19" x14ac:dyDescent="0.3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 t="str">
        <f t="shared" si="27"/>
        <v>31-60 days</v>
      </c>
      <c r="L1767">
        <v>56</v>
      </c>
      <c r="M1767">
        <v>5</v>
      </c>
      <c r="N1767">
        <v>0</v>
      </c>
      <c r="O1767" t="s">
        <v>25</v>
      </c>
      <c r="P1767" t="s">
        <v>50</v>
      </c>
      <c r="Q1767">
        <v>8.1999999999999993</v>
      </c>
      <c r="R1767">
        <v>19</v>
      </c>
      <c r="S1767" t="s">
        <v>27</v>
      </c>
    </row>
    <row r="1768" spans="1:19" x14ac:dyDescent="0.3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 t="str">
        <f t="shared" si="27"/>
        <v>31-60 days</v>
      </c>
      <c r="L1768">
        <v>40</v>
      </c>
      <c r="M1768">
        <v>5</v>
      </c>
      <c r="N1768">
        <v>2</v>
      </c>
      <c r="O1768" t="s">
        <v>25</v>
      </c>
      <c r="P1768" t="s">
        <v>35</v>
      </c>
      <c r="Q1768">
        <v>7</v>
      </c>
      <c r="R1768">
        <v>22</v>
      </c>
      <c r="S1768" t="s">
        <v>36</v>
      </c>
    </row>
    <row r="1769" spans="1:19" x14ac:dyDescent="0.3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 t="str">
        <f t="shared" si="27"/>
        <v>31-60 days</v>
      </c>
      <c r="L1769">
        <v>33</v>
      </c>
      <c r="M1769">
        <v>3</v>
      </c>
      <c r="N1769">
        <v>0</v>
      </c>
      <c r="O1769" t="s">
        <v>25</v>
      </c>
      <c r="P1769" t="s">
        <v>35</v>
      </c>
      <c r="Q1769">
        <v>6.3</v>
      </c>
      <c r="R1769">
        <v>31</v>
      </c>
      <c r="S1769" t="s">
        <v>36</v>
      </c>
    </row>
    <row r="1770" spans="1:19" x14ac:dyDescent="0.3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 t="str">
        <f t="shared" si="27"/>
        <v>31-60 days</v>
      </c>
      <c r="L1770">
        <v>31</v>
      </c>
      <c r="M1770">
        <v>5</v>
      </c>
      <c r="N1770">
        <v>0</v>
      </c>
      <c r="O1770" t="s">
        <v>25</v>
      </c>
      <c r="P1770" t="s">
        <v>35</v>
      </c>
      <c r="Q1770">
        <v>4.5999999999999996</v>
      </c>
      <c r="R1770">
        <v>38</v>
      </c>
      <c r="S1770" t="s">
        <v>36</v>
      </c>
    </row>
    <row r="1771" spans="1:19" x14ac:dyDescent="0.3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 t="str">
        <f t="shared" si="27"/>
        <v>8-14 days</v>
      </c>
      <c r="L1771">
        <v>12</v>
      </c>
      <c r="M1771">
        <v>5</v>
      </c>
      <c r="N1771">
        <v>1</v>
      </c>
      <c r="O1771" t="s">
        <v>25</v>
      </c>
      <c r="P1771" t="s">
        <v>35</v>
      </c>
      <c r="Q1771">
        <v>7.2</v>
      </c>
      <c r="R1771">
        <v>29</v>
      </c>
      <c r="S1771" t="s">
        <v>27</v>
      </c>
    </row>
    <row r="1772" spans="1:19" x14ac:dyDescent="0.3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 t="str">
        <f t="shared" si="27"/>
        <v>31-60 days</v>
      </c>
      <c r="L1772">
        <v>34</v>
      </c>
      <c r="M1772">
        <v>1</v>
      </c>
      <c r="N1772">
        <v>0</v>
      </c>
      <c r="O1772" t="s">
        <v>25</v>
      </c>
      <c r="P1772" t="s">
        <v>35</v>
      </c>
      <c r="Q1772">
        <v>6.1</v>
      </c>
      <c r="R1772">
        <v>15</v>
      </c>
      <c r="S1772" t="s">
        <v>36</v>
      </c>
    </row>
    <row r="1773" spans="1:19" x14ac:dyDescent="0.3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 t="str">
        <f t="shared" si="27"/>
        <v>31-60 days</v>
      </c>
      <c r="L1773">
        <v>41</v>
      </c>
      <c r="M1773">
        <v>3</v>
      </c>
      <c r="N1773">
        <v>1</v>
      </c>
      <c r="O1773" t="s">
        <v>54</v>
      </c>
      <c r="P1773" t="s">
        <v>55</v>
      </c>
      <c r="Q1773">
        <v>13</v>
      </c>
      <c r="R1773">
        <v>11</v>
      </c>
      <c r="S1773" t="s">
        <v>36</v>
      </c>
    </row>
    <row r="1774" spans="1:19" x14ac:dyDescent="0.3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 t="str">
        <f t="shared" si="27"/>
        <v>31-60 days</v>
      </c>
      <c r="L1774">
        <v>58</v>
      </c>
      <c r="M1774">
        <v>0</v>
      </c>
      <c r="N1774">
        <v>0</v>
      </c>
      <c r="O1774" t="s">
        <v>25</v>
      </c>
      <c r="P1774" t="s">
        <v>26</v>
      </c>
      <c r="Q1774">
        <v>11.4</v>
      </c>
      <c r="R1774">
        <v>12</v>
      </c>
      <c r="S1774" t="s">
        <v>27</v>
      </c>
    </row>
    <row r="1775" spans="1:19" x14ac:dyDescent="0.3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 t="str">
        <f t="shared" si="27"/>
        <v>31-60 days</v>
      </c>
      <c r="L1775">
        <v>33</v>
      </c>
      <c r="M1775">
        <v>2</v>
      </c>
      <c r="N1775">
        <v>0</v>
      </c>
      <c r="O1775" t="s">
        <v>25</v>
      </c>
      <c r="P1775" t="s">
        <v>35</v>
      </c>
      <c r="Q1775">
        <v>3.9</v>
      </c>
      <c r="R1775">
        <v>37</v>
      </c>
      <c r="S1775" t="s">
        <v>27</v>
      </c>
    </row>
    <row r="1776" spans="1:19" x14ac:dyDescent="0.3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 t="str">
        <f t="shared" si="27"/>
        <v>31-60 days</v>
      </c>
      <c r="L1776">
        <v>57</v>
      </c>
      <c r="M1776">
        <v>2</v>
      </c>
      <c r="N1776">
        <v>0</v>
      </c>
      <c r="O1776" t="s">
        <v>54</v>
      </c>
      <c r="P1776" t="s">
        <v>55</v>
      </c>
      <c r="Q1776">
        <v>19.3</v>
      </c>
      <c r="R1776">
        <v>33</v>
      </c>
      <c r="S1776" t="s">
        <v>36</v>
      </c>
    </row>
    <row r="1777" spans="1:19" x14ac:dyDescent="0.3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 t="str">
        <f t="shared" si="27"/>
        <v>31-60 days</v>
      </c>
      <c r="L1777">
        <v>57</v>
      </c>
      <c r="M1777">
        <v>3</v>
      </c>
      <c r="N1777">
        <v>0</v>
      </c>
      <c r="O1777" t="s">
        <v>25</v>
      </c>
      <c r="P1777" t="s">
        <v>35</v>
      </c>
      <c r="Q1777">
        <v>6.2</v>
      </c>
      <c r="R1777">
        <v>25</v>
      </c>
      <c r="S1777" t="s">
        <v>36</v>
      </c>
    </row>
    <row r="1778" spans="1:19" x14ac:dyDescent="0.3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 t="str">
        <f t="shared" si="27"/>
        <v>31-60 days</v>
      </c>
      <c r="L1778">
        <v>31</v>
      </c>
      <c r="M1778">
        <v>2</v>
      </c>
      <c r="N1778">
        <v>0</v>
      </c>
      <c r="O1778" t="s">
        <v>54</v>
      </c>
      <c r="P1778" t="s">
        <v>55</v>
      </c>
      <c r="Q1778">
        <v>3.1</v>
      </c>
      <c r="R1778">
        <v>8</v>
      </c>
      <c r="S1778" t="s">
        <v>27</v>
      </c>
    </row>
    <row r="1779" spans="1:19" x14ac:dyDescent="0.3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 t="str">
        <f t="shared" si="27"/>
        <v>15-30 days</v>
      </c>
      <c r="L1779">
        <v>26</v>
      </c>
      <c r="M1779">
        <v>0</v>
      </c>
      <c r="N1779">
        <v>0</v>
      </c>
      <c r="O1779" t="s">
        <v>54</v>
      </c>
      <c r="P1779" t="s">
        <v>55</v>
      </c>
      <c r="Q1779">
        <v>5.7</v>
      </c>
      <c r="R1779">
        <v>34</v>
      </c>
      <c r="S1779" t="s">
        <v>27</v>
      </c>
    </row>
    <row r="1780" spans="1:19" x14ac:dyDescent="0.3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 t="str">
        <f t="shared" si="27"/>
        <v>8-14 days</v>
      </c>
      <c r="L1780">
        <v>8</v>
      </c>
      <c r="M1780">
        <v>3</v>
      </c>
      <c r="N1780">
        <v>1</v>
      </c>
      <c r="O1780" t="s">
        <v>25</v>
      </c>
      <c r="P1780" t="s">
        <v>50</v>
      </c>
      <c r="Q1780">
        <v>2.8</v>
      </c>
      <c r="R1780">
        <v>26</v>
      </c>
      <c r="S1780" t="s">
        <v>36</v>
      </c>
    </row>
    <row r="1781" spans="1:19" x14ac:dyDescent="0.3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 t="str">
        <f t="shared" si="27"/>
        <v>15-30 days</v>
      </c>
      <c r="L1781">
        <v>16</v>
      </c>
      <c r="M1781">
        <v>2</v>
      </c>
      <c r="N1781">
        <v>2</v>
      </c>
      <c r="O1781" t="s">
        <v>54</v>
      </c>
      <c r="P1781" t="s">
        <v>55</v>
      </c>
      <c r="Q1781">
        <v>3.1</v>
      </c>
      <c r="R1781">
        <v>16</v>
      </c>
      <c r="S1781" t="s">
        <v>36</v>
      </c>
    </row>
    <row r="1782" spans="1:19" x14ac:dyDescent="0.3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 t="str">
        <f t="shared" si="27"/>
        <v>31-60 days</v>
      </c>
      <c r="L1782">
        <v>53</v>
      </c>
      <c r="M1782">
        <v>4</v>
      </c>
      <c r="N1782">
        <v>1</v>
      </c>
      <c r="O1782" t="s">
        <v>25</v>
      </c>
      <c r="P1782" t="s">
        <v>50</v>
      </c>
      <c r="Q1782">
        <v>32.5</v>
      </c>
      <c r="R1782">
        <v>23</v>
      </c>
      <c r="S1782" t="s">
        <v>27</v>
      </c>
    </row>
    <row r="1783" spans="1:19" x14ac:dyDescent="0.3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 t="str">
        <f t="shared" si="27"/>
        <v>8-14 days</v>
      </c>
      <c r="L1783">
        <v>8</v>
      </c>
      <c r="M1783">
        <v>3</v>
      </c>
      <c r="N1783">
        <v>0</v>
      </c>
      <c r="O1783" t="s">
        <v>54</v>
      </c>
      <c r="P1783" t="s">
        <v>55</v>
      </c>
      <c r="Q1783">
        <v>12.6</v>
      </c>
      <c r="R1783">
        <v>30</v>
      </c>
      <c r="S1783" t="s">
        <v>27</v>
      </c>
    </row>
    <row r="1784" spans="1:19" x14ac:dyDescent="0.3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 t="str">
        <f t="shared" si="27"/>
        <v>15-30 days</v>
      </c>
      <c r="L1784">
        <v>24</v>
      </c>
      <c r="M1784">
        <v>2</v>
      </c>
      <c r="N1784">
        <v>0</v>
      </c>
      <c r="O1784" t="s">
        <v>25</v>
      </c>
      <c r="P1784" t="s">
        <v>35</v>
      </c>
      <c r="Q1784">
        <v>3.7</v>
      </c>
      <c r="R1784">
        <v>19</v>
      </c>
      <c r="S1784" t="s">
        <v>27</v>
      </c>
    </row>
    <row r="1785" spans="1:19" x14ac:dyDescent="0.3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 t="str">
        <f t="shared" si="27"/>
        <v>31-60 days</v>
      </c>
      <c r="L1785">
        <v>42</v>
      </c>
      <c r="M1785">
        <v>5</v>
      </c>
      <c r="N1785">
        <v>2</v>
      </c>
      <c r="O1785" t="s">
        <v>25</v>
      </c>
      <c r="P1785" t="s">
        <v>26</v>
      </c>
      <c r="Q1785">
        <v>2.2999999999999998</v>
      </c>
      <c r="R1785">
        <v>13</v>
      </c>
      <c r="S1785" t="s">
        <v>36</v>
      </c>
    </row>
    <row r="1786" spans="1:19" x14ac:dyDescent="0.3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 t="str">
        <f t="shared" si="27"/>
        <v>8-14 days</v>
      </c>
      <c r="L1786">
        <v>14</v>
      </c>
      <c r="M1786">
        <v>3</v>
      </c>
      <c r="N1786">
        <v>0</v>
      </c>
      <c r="O1786" t="s">
        <v>25</v>
      </c>
      <c r="P1786" t="s">
        <v>35</v>
      </c>
      <c r="R1786">
        <v>26</v>
      </c>
      <c r="S1786" t="s">
        <v>36</v>
      </c>
    </row>
    <row r="1787" spans="1:19" x14ac:dyDescent="0.3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 t="str">
        <f t="shared" si="27"/>
        <v>31-60 days</v>
      </c>
      <c r="L1787">
        <v>59</v>
      </c>
      <c r="M1787">
        <v>6</v>
      </c>
      <c r="N1787">
        <v>0</v>
      </c>
      <c r="O1787" t="s">
        <v>25</v>
      </c>
      <c r="P1787" t="s">
        <v>35</v>
      </c>
      <c r="Q1787">
        <v>2</v>
      </c>
      <c r="R1787">
        <v>27</v>
      </c>
      <c r="S1787" t="s">
        <v>27</v>
      </c>
    </row>
    <row r="1788" spans="1:19" x14ac:dyDescent="0.3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 t="str">
        <f t="shared" si="27"/>
        <v>31-60 days</v>
      </c>
      <c r="L1788">
        <v>39</v>
      </c>
      <c r="M1788">
        <v>2</v>
      </c>
      <c r="N1788">
        <v>0</v>
      </c>
      <c r="O1788" t="s">
        <v>25</v>
      </c>
      <c r="P1788" t="s">
        <v>35</v>
      </c>
      <c r="Q1788">
        <v>7.3</v>
      </c>
      <c r="R1788">
        <v>3</v>
      </c>
      <c r="S1788" t="s">
        <v>27</v>
      </c>
    </row>
    <row r="1789" spans="1:19" x14ac:dyDescent="0.3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 t="str">
        <f t="shared" si="27"/>
        <v>0-7 days</v>
      </c>
      <c r="L1789">
        <v>1</v>
      </c>
      <c r="M1789">
        <v>1</v>
      </c>
      <c r="N1789">
        <v>0</v>
      </c>
      <c r="O1789" t="s">
        <v>25</v>
      </c>
      <c r="P1789" t="s">
        <v>35</v>
      </c>
      <c r="Q1789">
        <v>10.1</v>
      </c>
      <c r="R1789">
        <v>23</v>
      </c>
      <c r="S1789" t="s">
        <v>36</v>
      </c>
    </row>
    <row r="1790" spans="1:19" x14ac:dyDescent="0.3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 t="str">
        <f t="shared" si="27"/>
        <v>15-30 days</v>
      </c>
      <c r="L1790">
        <v>15</v>
      </c>
      <c r="M1790">
        <v>7</v>
      </c>
      <c r="N1790">
        <v>3</v>
      </c>
      <c r="O1790" t="s">
        <v>25</v>
      </c>
      <c r="P1790" t="s">
        <v>35</v>
      </c>
      <c r="Q1790">
        <v>10.6</v>
      </c>
      <c r="R1790">
        <v>15</v>
      </c>
      <c r="S1790" t="s">
        <v>36</v>
      </c>
    </row>
    <row r="1791" spans="1:19" x14ac:dyDescent="0.3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 t="str">
        <f t="shared" si="27"/>
        <v>31-60 days</v>
      </c>
      <c r="L1791">
        <v>45</v>
      </c>
      <c r="M1791">
        <v>7</v>
      </c>
      <c r="N1791">
        <v>1</v>
      </c>
      <c r="O1791" t="s">
        <v>25</v>
      </c>
      <c r="P1791" t="s">
        <v>35</v>
      </c>
      <c r="Q1791">
        <v>3.6</v>
      </c>
      <c r="R1791">
        <v>29</v>
      </c>
      <c r="S1791" t="s">
        <v>36</v>
      </c>
    </row>
    <row r="1792" spans="1:19" x14ac:dyDescent="0.3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 t="str">
        <f t="shared" si="27"/>
        <v>31-60 days</v>
      </c>
      <c r="L1792">
        <v>52</v>
      </c>
      <c r="M1792">
        <v>2</v>
      </c>
      <c r="N1792">
        <v>0</v>
      </c>
      <c r="O1792" t="s">
        <v>25</v>
      </c>
      <c r="P1792" t="s">
        <v>35</v>
      </c>
      <c r="Q1792">
        <v>9.1999999999999993</v>
      </c>
      <c r="R1792">
        <v>5</v>
      </c>
      <c r="S1792" t="s">
        <v>36</v>
      </c>
    </row>
    <row r="1793" spans="1:19" x14ac:dyDescent="0.3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 t="str">
        <f t="shared" si="27"/>
        <v>31-60 days</v>
      </c>
      <c r="L1793">
        <v>56</v>
      </c>
      <c r="M1793">
        <v>2</v>
      </c>
      <c r="N1793">
        <v>0</v>
      </c>
      <c r="O1793" t="s">
        <v>25</v>
      </c>
      <c r="P1793" t="s">
        <v>50</v>
      </c>
      <c r="Q1793">
        <v>14.8</v>
      </c>
      <c r="R1793">
        <v>10</v>
      </c>
      <c r="S1793" t="s">
        <v>36</v>
      </c>
    </row>
    <row r="1794" spans="1:19" x14ac:dyDescent="0.3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 t="str">
        <f t="shared" si="27"/>
        <v>31-60 days</v>
      </c>
      <c r="L1794">
        <v>51</v>
      </c>
      <c r="M1794">
        <v>1</v>
      </c>
      <c r="N1794">
        <v>1</v>
      </c>
      <c r="O1794" t="s">
        <v>25</v>
      </c>
      <c r="P1794" t="s">
        <v>35</v>
      </c>
      <c r="Q1794">
        <v>6.4</v>
      </c>
      <c r="R1794">
        <v>2</v>
      </c>
      <c r="S1794" t="s">
        <v>36</v>
      </c>
    </row>
    <row r="1795" spans="1:19" x14ac:dyDescent="0.3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 t="str">
        <f t="shared" ref="K1795:K1858" si="28">IF(L1795&lt;=7,"0-7 days",IF(L1795&lt;=14,"8-14 days",IF(L1795&lt;=30,"15-30 days","31-60 days")))</f>
        <v>0-7 days</v>
      </c>
      <c r="L1795">
        <v>4</v>
      </c>
      <c r="M1795">
        <v>3</v>
      </c>
      <c r="N1795">
        <v>0</v>
      </c>
      <c r="O1795" t="s">
        <v>25</v>
      </c>
      <c r="P1795" t="s">
        <v>35</v>
      </c>
      <c r="Q1795">
        <v>3.5</v>
      </c>
      <c r="R1795">
        <v>29</v>
      </c>
      <c r="S1795" t="s">
        <v>27</v>
      </c>
    </row>
    <row r="1796" spans="1:19" x14ac:dyDescent="0.3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 t="str">
        <f t="shared" si="28"/>
        <v>31-60 days</v>
      </c>
      <c r="L1796">
        <v>44</v>
      </c>
      <c r="M1796">
        <v>1</v>
      </c>
      <c r="N1796">
        <v>0</v>
      </c>
      <c r="O1796" t="s">
        <v>25</v>
      </c>
      <c r="P1796" t="s">
        <v>50</v>
      </c>
      <c r="Q1796">
        <v>6.2</v>
      </c>
      <c r="R1796">
        <v>8</v>
      </c>
      <c r="S1796" t="s">
        <v>36</v>
      </c>
    </row>
    <row r="1797" spans="1:19" x14ac:dyDescent="0.3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 t="str">
        <f t="shared" si="28"/>
        <v>0-7 days</v>
      </c>
      <c r="L1797">
        <v>6</v>
      </c>
      <c r="M1797">
        <v>0</v>
      </c>
      <c r="N1797">
        <v>0</v>
      </c>
      <c r="O1797" t="s">
        <v>25</v>
      </c>
      <c r="P1797" t="s">
        <v>50</v>
      </c>
      <c r="Q1797">
        <v>4</v>
      </c>
      <c r="R1797">
        <v>9</v>
      </c>
      <c r="S1797" t="s">
        <v>36</v>
      </c>
    </row>
    <row r="1798" spans="1:19" x14ac:dyDescent="0.3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 t="str">
        <f t="shared" si="28"/>
        <v>0-7 days</v>
      </c>
      <c r="L1798">
        <v>4</v>
      </c>
      <c r="M1798">
        <v>0</v>
      </c>
      <c r="N1798">
        <v>0</v>
      </c>
      <c r="O1798" t="s">
        <v>25</v>
      </c>
      <c r="P1798" t="s">
        <v>50</v>
      </c>
      <c r="Q1798">
        <v>38.200000000000003</v>
      </c>
      <c r="R1798">
        <v>23</v>
      </c>
      <c r="S1798" t="s">
        <v>27</v>
      </c>
    </row>
    <row r="1799" spans="1:19" x14ac:dyDescent="0.3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 t="str">
        <f t="shared" si="28"/>
        <v>31-60 days</v>
      </c>
      <c r="L1799">
        <v>42</v>
      </c>
      <c r="M1799">
        <v>1</v>
      </c>
      <c r="N1799">
        <v>0</v>
      </c>
      <c r="O1799" t="s">
        <v>54</v>
      </c>
      <c r="P1799" t="s">
        <v>55</v>
      </c>
      <c r="Q1799">
        <v>13.3</v>
      </c>
      <c r="R1799">
        <v>22</v>
      </c>
      <c r="S1799" t="s">
        <v>27</v>
      </c>
    </row>
    <row r="1800" spans="1:19" x14ac:dyDescent="0.3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 t="str">
        <f t="shared" si="28"/>
        <v>15-30 days</v>
      </c>
      <c r="L1800">
        <v>29</v>
      </c>
      <c r="M1800">
        <v>4</v>
      </c>
      <c r="N1800">
        <v>0</v>
      </c>
      <c r="O1800" t="s">
        <v>25</v>
      </c>
      <c r="P1800" t="s">
        <v>26</v>
      </c>
      <c r="Q1800">
        <v>11.6</v>
      </c>
      <c r="R1800">
        <v>31</v>
      </c>
      <c r="S1800" t="s">
        <v>27</v>
      </c>
    </row>
    <row r="1801" spans="1:19" x14ac:dyDescent="0.3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 t="str">
        <f t="shared" si="28"/>
        <v>31-60 days</v>
      </c>
      <c r="L1801">
        <v>39</v>
      </c>
      <c r="M1801">
        <v>5</v>
      </c>
      <c r="N1801">
        <v>2</v>
      </c>
      <c r="O1801" t="s">
        <v>25</v>
      </c>
      <c r="P1801" t="s">
        <v>35</v>
      </c>
      <c r="Q1801">
        <v>2.2999999999999998</v>
      </c>
      <c r="R1801">
        <v>32</v>
      </c>
      <c r="S1801" t="s">
        <v>36</v>
      </c>
    </row>
    <row r="1802" spans="1:19" x14ac:dyDescent="0.3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 t="str">
        <f t="shared" si="28"/>
        <v>31-60 days</v>
      </c>
      <c r="L1802">
        <v>51</v>
      </c>
      <c r="M1802">
        <v>7</v>
      </c>
      <c r="N1802">
        <v>3</v>
      </c>
      <c r="O1802" t="s">
        <v>25</v>
      </c>
      <c r="P1802" t="s">
        <v>26</v>
      </c>
      <c r="Q1802">
        <v>2.9</v>
      </c>
      <c r="R1802">
        <v>36</v>
      </c>
      <c r="S1802" t="s">
        <v>27</v>
      </c>
    </row>
    <row r="1803" spans="1:19" x14ac:dyDescent="0.3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 t="str">
        <f t="shared" si="28"/>
        <v>0-7 days</v>
      </c>
      <c r="L1803">
        <v>4</v>
      </c>
      <c r="M1803">
        <v>2</v>
      </c>
      <c r="N1803">
        <v>0</v>
      </c>
      <c r="O1803" t="s">
        <v>25</v>
      </c>
      <c r="P1803" t="s">
        <v>35</v>
      </c>
      <c r="Q1803">
        <v>6.6</v>
      </c>
      <c r="R1803">
        <v>42</v>
      </c>
      <c r="S1803" t="s">
        <v>36</v>
      </c>
    </row>
    <row r="1804" spans="1:19" x14ac:dyDescent="0.3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 t="str">
        <f t="shared" si="28"/>
        <v>31-60 days</v>
      </c>
      <c r="L1804">
        <v>32</v>
      </c>
      <c r="M1804">
        <v>3</v>
      </c>
      <c r="N1804">
        <v>0</v>
      </c>
      <c r="O1804" t="s">
        <v>25</v>
      </c>
      <c r="P1804" t="s">
        <v>26</v>
      </c>
      <c r="Q1804">
        <v>5.9</v>
      </c>
      <c r="R1804">
        <v>35</v>
      </c>
      <c r="S1804" t="s">
        <v>36</v>
      </c>
    </row>
    <row r="1805" spans="1:19" x14ac:dyDescent="0.3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 t="str">
        <f t="shared" si="28"/>
        <v>31-60 days</v>
      </c>
      <c r="L1805">
        <v>50</v>
      </c>
      <c r="M1805">
        <v>3</v>
      </c>
      <c r="N1805">
        <v>0</v>
      </c>
      <c r="O1805" t="s">
        <v>25</v>
      </c>
      <c r="P1805" t="s">
        <v>35</v>
      </c>
      <c r="Q1805">
        <v>5.0999999999999996</v>
      </c>
      <c r="R1805">
        <v>28</v>
      </c>
      <c r="S1805" t="s">
        <v>27</v>
      </c>
    </row>
    <row r="1806" spans="1:19" x14ac:dyDescent="0.3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 t="str">
        <f t="shared" si="28"/>
        <v>15-30 days</v>
      </c>
      <c r="L1806">
        <v>26</v>
      </c>
      <c r="M1806">
        <v>4</v>
      </c>
      <c r="N1806">
        <v>1</v>
      </c>
      <c r="O1806" t="s">
        <v>54</v>
      </c>
      <c r="P1806" t="s">
        <v>55</v>
      </c>
      <c r="Q1806">
        <v>16</v>
      </c>
      <c r="R1806">
        <v>26</v>
      </c>
      <c r="S1806" t="s">
        <v>27</v>
      </c>
    </row>
    <row r="1807" spans="1:19" x14ac:dyDescent="0.3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 t="str">
        <f t="shared" si="28"/>
        <v>31-60 days</v>
      </c>
      <c r="L1807">
        <v>31</v>
      </c>
      <c r="M1807">
        <v>2</v>
      </c>
      <c r="N1807">
        <v>0</v>
      </c>
      <c r="O1807" t="s">
        <v>25</v>
      </c>
      <c r="P1807" t="s">
        <v>26</v>
      </c>
      <c r="Q1807">
        <v>28.2</v>
      </c>
      <c r="R1807">
        <v>31</v>
      </c>
      <c r="S1807" t="s">
        <v>27</v>
      </c>
    </row>
    <row r="1808" spans="1:19" x14ac:dyDescent="0.3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 t="str">
        <f t="shared" si="28"/>
        <v>15-30 days</v>
      </c>
      <c r="L1808">
        <v>30</v>
      </c>
      <c r="M1808">
        <v>2</v>
      </c>
      <c r="N1808">
        <v>0</v>
      </c>
      <c r="O1808" t="s">
        <v>54</v>
      </c>
      <c r="P1808" t="s">
        <v>55</v>
      </c>
      <c r="Q1808">
        <v>5.0999999999999996</v>
      </c>
      <c r="R1808">
        <v>2</v>
      </c>
      <c r="S1808" t="s">
        <v>27</v>
      </c>
    </row>
    <row r="1809" spans="1:19" x14ac:dyDescent="0.3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 t="str">
        <f t="shared" si="28"/>
        <v>31-60 days</v>
      </c>
      <c r="L1809">
        <v>55</v>
      </c>
      <c r="M1809">
        <v>4</v>
      </c>
      <c r="N1809">
        <v>1</v>
      </c>
      <c r="O1809" t="s">
        <v>25</v>
      </c>
      <c r="P1809" t="s">
        <v>35</v>
      </c>
      <c r="Q1809">
        <v>1.5</v>
      </c>
      <c r="R1809">
        <v>22</v>
      </c>
      <c r="S1809" t="s">
        <v>36</v>
      </c>
    </row>
    <row r="1810" spans="1:19" x14ac:dyDescent="0.3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 t="str">
        <f t="shared" si="28"/>
        <v>0-7 days</v>
      </c>
      <c r="L1810">
        <v>3</v>
      </c>
      <c r="M1810">
        <v>4</v>
      </c>
      <c r="N1810">
        <v>0</v>
      </c>
      <c r="O1810" t="s">
        <v>54</v>
      </c>
      <c r="P1810" t="s">
        <v>55</v>
      </c>
      <c r="Q1810">
        <v>5.3</v>
      </c>
      <c r="R1810">
        <v>4</v>
      </c>
      <c r="S1810" t="s">
        <v>36</v>
      </c>
    </row>
    <row r="1811" spans="1:19" x14ac:dyDescent="0.3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 t="str">
        <f t="shared" si="28"/>
        <v>31-60 days</v>
      </c>
      <c r="L1811">
        <v>53</v>
      </c>
      <c r="M1811">
        <v>4</v>
      </c>
      <c r="N1811">
        <v>2</v>
      </c>
      <c r="O1811" t="s">
        <v>54</v>
      </c>
      <c r="P1811" t="s">
        <v>55</v>
      </c>
      <c r="Q1811">
        <v>15.5</v>
      </c>
      <c r="R1811">
        <v>16</v>
      </c>
      <c r="S1811" t="s">
        <v>27</v>
      </c>
    </row>
    <row r="1812" spans="1:19" x14ac:dyDescent="0.3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 t="str">
        <f t="shared" si="28"/>
        <v>31-60 days</v>
      </c>
      <c r="L1812">
        <v>49</v>
      </c>
      <c r="M1812">
        <v>3</v>
      </c>
      <c r="N1812">
        <v>0</v>
      </c>
      <c r="O1812" t="s">
        <v>25</v>
      </c>
      <c r="P1812" t="s">
        <v>35</v>
      </c>
      <c r="Q1812">
        <v>13.3</v>
      </c>
      <c r="R1812">
        <v>8</v>
      </c>
      <c r="S1812" t="s">
        <v>27</v>
      </c>
    </row>
    <row r="1813" spans="1:19" x14ac:dyDescent="0.3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 t="str">
        <f t="shared" si="28"/>
        <v>31-60 days</v>
      </c>
      <c r="L1813">
        <v>49</v>
      </c>
      <c r="M1813">
        <v>3</v>
      </c>
      <c r="N1813">
        <v>0</v>
      </c>
      <c r="O1813" t="s">
        <v>25</v>
      </c>
      <c r="P1813" t="s">
        <v>35</v>
      </c>
      <c r="Q1813">
        <v>8.1999999999999993</v>
      </c>
      <c r="R1813">
        <v>28</v>
      </c>
      <c r="S1813" t="s">
        <v>27</v>
      </c>
    </row>
    <row r="1814" spans="1:19" x14ac:dyDescent="0.3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 t="str">
        <f t="shared" si="28"/>
        <v>15-30 days</v>
      </c>
      <c r="L1814">
        <v>25</v>
      </c>
      <c r="M1814">
        <v>2</v>
      </c>
      <c r="N1814">
        <v>1</v>
      </c>
      <c r="O1814" t="s">
        <v>54</v>
      </c>
      <c r="P1814" t="s">
        <v>55</v>
      </c>
      <c r="Q1814">
        <v>11.5</v>
      </c>
      <c r="R1814">
        <v>31</v>
      </c>
      <c r="S1814" t="s">
        <v>36</v>
      </c>
    </row>
    <row r="1815" spans="1:19" x14ac:dyDescent="0.3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 t="str">
        <f t="shared" si="28"/>
        <v>31-60 days</v>
      </c>
      <c r="L1815">
        <v>31</v>
      </c>
      <c r="M1815">
        <v>4</v>
      </c>
      <c r="N1815">
        <v>0</v>
      </c>
      <c r="O1815" t="s">
        <v>25</v>
      </c>
      <c r="P1815" t="s">
        <v>35</v>
      </c>
      <c r="Q1815">
        <v>6.3</v>
      </c>
      <c r="R1815">
        <v>37</v>
      </c>
      <c r="S1815" t="s">
        <v>27</v>
      </c>
    </row>
    <row r="1816" spans="1:19" x14ac:dyDescent="0.3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 t="str">
        <f t="shared" si="28"/>
        <v>15-30 days</v>
      </c>
      <c r="L1816">
        <v>22</v>
      </c>
      <c r="M1816">
        <v>2</v>
      </c>
      <c r="N1816">
        <v>0</v>
      </c>
      <c r="O1816" t="s">
        <v>25</v>
      </c>
      <c r="P1816" t="s">
        <v>35</v>
      </c>
      <c r="Q1816">
        <v>5</v>
      </c>
      <c r="R1816">
        <v>13</v>
      </c>
      <c r="S1816" t="s">
        <v>27</v>
      </c>
    </row>
    <row r="1817" spans="1:19" x14ac:dyDescent="0.3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 t="str">
        <f t="shared" si="28"/>
        <v>15-30 days</v>
      </c>
      <c r="L1817">
        <v>15</v>
      </c>
      <c r="M1817">
        <v>2</v>
      </c>
      <c r="N1817">
        <v>0</v>
      </c>
      <c r="O1817" t="s">
        <v>25</v>
      </c>
      <c r="P1817" t="s">
        <v>35</v>
      </c>
      <c r="Q1817">
        <v>4.3</v>
      </c>
      <c r="R1817">
        <v>17</v>
      </c>
      <c r="S1817" t="s">
        <v>36</v>
      </c>
    </row>
    <row r="1818" spans="1:19" x14ac:dyDescent="0.3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 t="str">
        <f t="shared" si="28"/>
        <v>31-60 days</v>
      </c>
      <c r="L1818">
        <v>53</v>
      </c>
      <c r="M1818">
        <v>3</v>
      </c>
      <c r="N1818">
        <v>1</v>
      </c>
      <c r="O1818" t="s">
        <v>25</v>
      </c>
      <c r="P1818" t="s">
        <v>35</v>
      </c>
      <c r="Q1818">
        <v>7.9</v>
      </c>
      <c r="R1818">
        <v>36</v>
      </c>
      <c r="S1818" t="s">
        <v>27</v>
      </c>
    </row>
    <row r="1819" spans="1:19" x14ac:dyDescent="0.3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 t="str">
        <f t="shared" si="28"/>
        <v>15-30 days</v>
      </c>
      <c r="L1819">
        <v>30</v>
      </c>
      <c r="M1819">
        <v>0</v>
      </c>
      <c r="N1819">
        <v>0</v>
      </c>
      <c r="O1819" t="s">
        <v>54</v>
      </c>
      <c r="P1819" t="s">
        <v>55</v>
      </c>
      <c r="Q1819">
        <v>5.4</v>
      </c>
      <c r="R1819">
        <v>18</v>
      </c>
      <c r="S1819" t="s">
        <v>36</v>
      </c>
    </row>
    <row r="1820" spans="1:19" x14ac:dyDescent="0.3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 t="str">
        <f t="shared" si="28"/>
        <v>31-60 days</v>
      </c>
      <c r="L1820">
        <v>44</v>
      </c>
      <c r="M1820">
        <v>3</v>
      </c>
      <c r="N1820">
        <v>2</v>
      </c>
      <c r="O1820" t="s">
        <v>25</v>
      </c>
      <c r="P1820" t="s">
        <v>35</v>
      </c>
      <c r="Q1820">
        <v>3.7</v>
      </c>
      <c r="R1820">
        <v>16</v>
      </c>
      <c r="S1820" t="s">
        <v>27</v>
      </c>
    </row>
    <row r="1821" spans="1:19" x14ac:dyDescent="0.3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 t="str">
        <f t="shared" si="28"/>
        <v>0-7 days</v>
      </c>
      <c r="L1821">
        <v>6</v>
      </c>
      <c r="M1821">
        <v>5</v>
      </c>
      <c r="N1821">
        <v>3</v>
      </c>
      <c r="O1821" t="s">
        <v>54</v>
      </c>
      <c r="P1821" t="s">
        <v>55</v>
      </c>
      <c r="Q1821">
        <v>8.9</v>
      </c>
      <c r="R1821">
        <v>32</v>
      </c>
      <c r="S1821" t="s">
        <v>27</v>
      </c>
    </row>
    <row r="1822" spans="1:19" x14ac:dyDescent="0.3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 t="str">
        <f t="shared" si="28"/>
        <v>31-60 days</v>
      </c>
      <c r="L1822">
        <v>48</v>
      </c>
      <c r="M1822">
        <v>2</v>
      </c>
      <c r="N1822">
        <v>0</v>
      </c>
      <c r="O1822" t="s">
        <v>25</v>
      </c>
      <c r="P1822" t="s">
        <v>26</v>
      </c>
      <c r="Q1822">
        <v>5.9</v>
      </c>
      <c r="R1822">
        <v>30</v>
      </c>
      <c r="S1822" t="s">
        <v>36</v>
      </c>
    </row>
    <row r="1823" spans="1:19" x14ac:dyDescent="0.3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 t="str">
        <f t="shared" si="28"/>
        <v>31-60 days</v>
      </c>
      <c r="L1823">
        <v>40</v>
      </c>
      <c r="M1823">
        <v>5</v>
      </c>
      <c r="N1823">
        <v>0</v>
      </c>
      <c r="O1823" t="s">
        <v>25</v>
      </c>
      <c r="P1823" t="s">
        <v>26</v>
      </c>
      <c r="Q1823">
        <v>15.9</v>
      </c>
      <c r="R1823">
        <v>35</v>
      </c>
      <c r="S1823" t="s">
        <v>27</v>
      </c>
    </row>
    <row r="1824" spans="1:19" x14ac:dyDescent="0.3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 t="str">
        <f t="shared" si="28"/>
        <v>31-60 days</v>
      </c>
      <c r="L1824">
        <v>60</v>
      </c>
      <c r="M1824">
        <v>3</v>
      </c>
      <c r="N1824">
        <v>1</v>
      </c>
      <c r="O1824" t="s">
        <v>54</v>
      </c>
      <c r="P1824" t="s">
        <v>55</v>
      </c>
      <c r="Q1824">
        <v>10</v>
      </c>
      <c r="R1824">
        <v>29</v>
      </c>
      <c r="S1824" t="s">
        <v>27</v>
      </c>
    </row>
    <row r="1825" spans="1:19" x14ac:dyDescent="0.3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 t="str">
        <f t="shared" si="28"/>
        <v>8-14 days</v>
      </c>
      <c r="L1825">
        <v>8</v>
      </c>
      <c r="M1825">
        <v>3</v>
      </c>
      <c r="N1825">
        <v>2</v>
      </c>
      <c r="O1825" t="s">
        <v>25</v>
      </c>
      <c r="P1825" t="s">
        <v>35</v>
      </c>
      <c r="Q1825">
        <v>23.2</v>
      </c>
      <c r="R1825">
        <v>20</v>
      </c>
      <c r="S1825" t="s">
        <v>27</v>
      </c>
    </row>
    <row r="1826" spans="1:19" x14ac:dyDescent="0.3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 t="str">
        <f t="shared" si="28"/>
        <v>31-60 days</v>
      </c>
      <c r="L1826">
        <v>32</v>
      </c>
      <c r="M1826">
        <v>3</v>
      </c>
      <c r="N1826">
        <v>0</v>
      </c>
      <c r="O1826" t="s">
        <v>54</v>
      </c>
      <c r="P1826" t="s">
        <v>55</v>
      </c>
      <c r="Q1826">
        <v>10.7</v>
      </c>
      <c r="R1826">
        <v>39</v>
      </c>
      <c r="S1826" t="s">
        <v>36</v>
      </c>
    </row>
    <row r="1827" spans="1:19" x14ac:dyDescent="0.3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 t="str">
        <f t="shared" si="28"/>
        <v>31-60 days</v>
      </c>
      <c r="L1827">
        <v>31</v>
      </c>
      <c r="M1827">
        <v>3</v>
      </c>
      <c r="N1827">
        <v>0</v>
      </c>
      <c r="O1827" t="s">
        <v>25</v>
      </c>
      <c r="P1827" t="s">
        <v>35</v>
      </c>
      <c r="Q1827">
        <v>7.4</v>
      </c>
      <c r="R1827">
        <v>34</v>
      </c>
      <c r="S1827" t="s">
        <v>27</v>
      </c>
    </row>
    <row r="1828" spans="1:19" x14ac:dyDescent="0.3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 t="str">
        <f t="shared" si="28"/>
        <v>31-60 days</v>
      </c>
      <c r="L1828">
        <v>32</v>
      </c>
      <c r="M1828">
        <v>5</v>
      </c>
      <c r="N1828">
        <v>0</v>
      </c>
      <c r="O1828" t="s">
        <v>25</v>
      </c>
      <c r="P1828" t="s">
        <v>26</v>
      </c>
      <c r="Q1828">
        <v>14.3</v>
      </c>
      <c r="R1828">
        <v>24</v>
      </c>
      <c r="S1828" t="s">
        <v>27</v>
      </c>
    </row>
    <row r="1829" spans="1:19" x14ac:dyDescent="0.3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 t="str">
        <f t="shared" si="28"/>
        <v>0-7 days</v>
      </c>
      <c r="L1829">
        <v>3</v>
      </c>
      <c r="M1829">
        <v>4</v>
      </c>
      <c r="N1829">
        <v>2</v>
      </c>
      <c r="O1829" t="s">
        <v>54</v>
      </c>
      <c r="P1829" t="s">
        <v>55</v>
      </c>
      <c r="Q1829">
        <v>21.6</v>
      </c>
      <c r="R1829">
        <v>34</v>
      </c>
      <c r="S1829" t="s">
        <v>27</v>
      </c>
    </row>
    <row r="1830" spans="1:19" x14ac:dyDescent="0.3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 t="str">
        <f t="shared" si="28"/>
        <v>15-30 days</v>
      </c>
      <c r="L1830">
        <v>28</v>
      </c>
      <c r="M1830">
        <v>4</v>
      </c>
      <c r="N1830">
        <v>0</v>
      </c>
      <c r="O1830" t="s">
        <v>25</v>
      </c>
      <c r="P1830" t="s">
        <v>26</v>
      </c>
      <c r="Q1830">
        <v>2</v>
      </c>
      <c r="R1830">
        <v>24</v>
      </c>
      <c r="S1830" t="s">
        <v>36</v>
      </c>
    </row>
    <row r="1831" spans="1:19" x14ac:dyDescent="0.3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 t="str">
        <f t="shared" si="28"/>
        <v>15-30 days</v>
      </c>
      <c r="L1831">
        <v>18</v>
      </c>
      <c r="M1831">
        <v>4</v>
      </c>
      <c r="N1831">
        <v>1</v>
      </c>
      <c r="O1831" t="s">
        <v>54</v>
      </c>
      <c r="P1831" t="s">
        <v>55</v>
      </c>
      <c r="Q1831">
        <v>14.4</v>
      </c>
      <c r="R1831">
        <v>14</v>
      </c>
      <c r="S1831" t="s">
        <v>36</v>
      </c>
    </row>
    <row r="1832" spans="1:19" x14ac:dyDescent="0.3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 t="str">
        <f t="shared" si="28"/>
        <v>31-60 days</v>
      </c>
      <c r="L1832">
        <v>37</v>
      </c>
      <c r="M1832">
        <v>3</v>
      </c>
      <c r="N1832">
        <v>0</v>
      </c>
      <c r="O1832" t="s">
        <v>54</v>
      </c>
      <c r="P1832" t="s">
        <v>55</v>
      </c>
      <c r="Q1832">
        <v>7.9</v>
      </c>
      <c r="R1832">
        <v>25</v>
      </c>
      <c r="S1832" t="s">
        <v>27</v>
      </c>
    </row>
    <row r="1833" spans="1:19" x14ac:dyDescent="0.3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 t="str">
        <f t="shared" si="28"/>
        <v>8-14 days</v>
      </c>
      <c r="L1833">
        <v>14</v>
      </c>
      <c r="M1833">
        <v>3</v>
      </c>
      <c r="N1833">
        <v>1</v>
      </c>
      <c r="O1833" t="s">
        <v>25</v>
      </c>
      <c r="P1833" t="s">
        <v>35</v>
      </c>
      <c r="Q1833">
        <v>10.8</v>
      </c>
      <c r="R1833">
        <v>45</v>
      </c>
      <c r="S1833" t="s">
        <v>36</v>
      </c>
    </row>
    <row r="1834" spans="1:19" x14ac:dyDescent="0.3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 t="str">
        <f t="shared" si="28"/>
        <v>15-30 days</v>
      </c>
      <c r="L1834">
        <v>26</v>
      </c>
      <c r="M1834">
        <v>3</v>
      </c>
      <c r="N1834">
        <v>0</v>
      </c>
      <c r="O1834" t="s">
        <v>54</v>
      </c>
      <c r="P1834" t="s">
        <v>55</v>
      </c>
      <c r="Q1834">
        <v>22.6</v>
      </c>
      <c r="R1834">
        <v>35</v>
      </c>
      <c r="S1834" t="s">
        <v>36</v>
      </c>
    </row>
    <row r="1835" spans="1:19" x14ac:dyDescent="0.3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 t="str">
        <f t="shared" si="28"/>
        <v>31-60 days</v>
      </c>
      <c r="L1835">
        <v>37</v>
      </c>
      <c r="M1835">
        <v>0</v>
      </c>
      <c r="N1835">
        <v>0</v>
      </c>
      <c r="O1835" t="s">
        <v>54</v>
      </c>
      <c r="P1835" t="s">
        <v>55</v>
      </c>
      <c r="Q1835">
        <v>8.3000000000000007</v>
      </c>
      <c r="R1835">
        <v>29</v>
      </c>
      <c r="S1835" t="s">
        <v>36</v>
      </c>
    </row>
    <row r="1836" spans="1:19" x14ac:dyDescent="0.3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 t="str">
        <f t="shared" si="28"/>
        <v>0-7 days</v>
      </c>
      <c r="L1836">
        <v>3</v>
      </c>
      <c r="M1836">
        <v>1</v>
      </c>
      <c r="N1836">
        <v>0</v>
      </c>
      <c r="O1836" t="s">
        <v>54</v>
      </c>
      <c r="P1836" t="s">
        <v>55</v>
      </c>
      <c r="Q1836">
        <v>3.5</v>
      </c>
      <c r="R1836">
        <v>14</v>
      </c>
      <c r="S1836" t="s">
        <v>36</v>
      </c>
    </row>
    <row r="1837" spans="1:19" x14ac:dyDescent="0.3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 t="str">
        <f t="shared" si="28"/>
        <v>31-60 days</v>
      </c>
      <c r="L1837">
        <v>47</v>
      </c>
      <c r="M1837">
        <v>3</v>
      </c>
      <c r="N1837">
        <v>0</v>
      </c>
      <c r="O1837" t="s">
        <v>54</v>
      </c>
      <c r="P1837" t="s">
        <v>55</v>
      </c>
      <c r="Q1837">
        <v>2.6</v>
      </c>
      <c r="R1837">
        <v>11</v>
      </c>
      <c r="S1837" t="s">
        <v>27</v>
      </c>
    </row>
    <row r="1838" spans="1:19" x14ac:dyDescent="0.3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 t="str">
        <f t="shared" si="28"/>
        <v>31-60 days</v>
      </c>
      <c r="L1838">
        <v>43</v>
      </c>
      <c r="M1838">
        <v>5</v>
      </c>
      <c r="N1838">
        <v>0</v>
      </c>
      <c r="O1838" t="s">
        <v>25</v>
      </c>
      <c r="P1838" t="s">
        <v>26</v>
      </c>
      <c r="Q1838">
        <v>22.2</v>
      </c>
      <c r="R1838">
        <v>21</v>
      </c>
      <c r="S1838" t="s">
        <v>27</v>
      </c>
    </row>
    <row r="1839" spans="1:19" x14ac:dyDescent="0.3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 t="str">
        <f t="shared" si="28"/>
        <v>0-7 days</v>
      </c>
      <c r="L1839">
        <v>3</v>
      </c>
      <c r="M1839">
        <v>6</v>
      </c>
      <c r="N1839">
        <v>2</v>
      </c>
      <c r="O1839" t="s">
        <v>54</v>
      </c>
      <c r="P1839" t="s">
        <v>55</v>
      </c>
      <c r="Q1839">
        <v>10</v>
      </c>
      <c r="R1839">
        <v>17</v>
      </c>
      <c r="S1839" t="s">
        <v>27</v>
      </c>
    </row>
    <row r="1840" spans="1:19" x14ac:dyDescent="0.3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 t="str">
        <f t="shared" si="28"/>
        <v>0-7 days</v>
      </c>
      <c r="L1840">
        <v>3</v>
      </c>
      <c r="M1840">
        <v>6</v>
      </c>
      <c r="N1840">
        <v>2</v>
      </c>
      <c r="O1840" t="s">
        <v>25</v>
      </c>
      <c r="P1840" t="s">
        <v>26</v>
      </c>
      <c r="Q1840">
        <v>8.3000000000000007</v>
      </c>
      <c r="R1840">
        <v>24</v>
      </c>
      <c r="S1840" t="s">
        <v>27</v>
      </c>
    </row>
    <row r="1841" spans="1:19" x14ac:dyDescent="0.3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 t="str">
        <f t="shared" si="28"/>
        <v>31-60 days</v>
      </c>
      <c r="L1841">
        <v>51</v>
      </c>
      <c r="M1841">
        <v>4</v>
      </c>
      <c r="N1841">
        <v>0</v>
      </c>
      <c r="O1841" t="s">
        <v>25</v>
      </c>
      <c r="P1841" t="s">
        <v>35</v>
      </c>
      <c r="Q1841">
        <v>20.6</v>
      </c>
      <c r="R1841">
        <v>26</v>
      </c>
      <c r="S1841" t="s">
        <v>36</v>
      </c>
    </row>
    <row r="1842" spans="1:19" x14ac:dyDescent="0.3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 t="str">
        <f t="shared" si="28"/>
        <v>15-30 days</v>
      </c>
      <c r="L1842">
        <v>17</v>
      </c>
      <c r="M1842">
        <v>1</v>
      </c>
      <c r="N1842">
        <v>0</v>
      </c>
      <c r="O1842" t="s">
        <v>54</v>
      </c>
      <c r="P1842" t="s">
        <v>55</v>
      </c>
      <c r="Q1842">
        <v>4.7</v>
      </c>
      <c r="R1842">
        <v>8</v>
      </c>
      <c r="S1842" t="s">
        <v>36</v>
      </c>
    </row>
    <row r="1843" spans="1:19" x14ac:dyDescent="0.3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 t="str">
        <f t="shared" si="28"/>
        <v>31-60 days</v>
      </c>
      <c r="L1843">
        <v>52</v>
      </c>
      <c r="M1843">
        <v>1</v>
      </c>
      <c r="N1843">
        <v>0</v>
      </c>
      <c r="O1843" t="s">
        <v>25</v>
      </c>
      <c r="P1843" t="s">
        <v>50</v>
      </c>
      <c r="Q1843">
        <v>4.8</v>
      </c>
      <c r="R1843">
        <v>15</v>
      </c>
      <c r="S1843" t="s">
        <v>27</v>
      </c>
    </row>
    <row r="1844" spans="1:19" x14ac:dyDescent="0.3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 t="str">
        <f t="shared" si="28"/>
        <v>15-30 days</v>
      </c>
      <c r="L1844">
        <v>30</v>
      </c>
      <c r="M1844">
        <v>2</v>
      </c>
      <c r="N1844">
        <v>0</v>
      </c>
      <c r="O1844" t="s">
        <v>25</v>
      </c>
      <c r="P1844" t="s">
        <v>35</v>
      </c>
      <c r="Q1844">
        <v>25</v>
      </c>
      <c r="R1844">
        <v>20</v>
      </c>
      <c r="S1844" t="s">
        <v>27</v>
      </c>
    </row>
    <row r="1845" spans="1:19" x14ac:dyDescent="0.3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 t="str">
        <f t="shared" si="28"/>
        <v>15-30 days</v>
      </c>
      <c r="L1845">
        <v>20</v>
      </c>
      <c r="M1845">
        <v>7</v>
      </c>
      <c r="N1845">
        <v>2</v>
      </c>
      <c r="O1845" t="s">
        <v>25</v>
      </c>
      <c r="P1845" t="s">
        <v>35</v>
      </c>
      <c r="Q1845">
        <v>4.2</v>
      </c>
      <c r="R1845">
        <v>29</v>
      </c>
      <c r="S1845" t="s">
        <v>27</v>
      </c>
    </row>
    <row r="1846" spans="1:19" x14ac:dyDescent="0.3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 t="str">
        <f t="shared" si="28"/>
        <v>15-30 days</v>
      </c>
      <c r="L1846">
        <v>16</v>
      </c>
      <c r="M1846">
        <v>5</v>
      </c>
      <c r="N1846">
        <v>0</v>
      </c>
      <c r="O1846" t="s">
        <v>25</v>
      </c>
      <c r="P1846" t="s">
        <v>35</v>
      </c>
      <c r="Q1846">
        <v>3</v>
      </c>
      <c r="R1846">
        <v>29</v>
      </c>
      <c r="S1846" t="s">
        <v>36</v>
      </c>
    </row>
    <row r="1847" spans="1:19" x14ac:dyDescent="0.3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 t="str">
        <f t="shared" si="28"/>
        <v>31-60 days</v>
      </c>
      <c r="L1847">
        <v>40</v>
      </c>
      <c r="M1847">
        <v>2</v>
      </c>
      <c r="N1847">
        <v>0</v>
      </c>
      <c r="O1847" t="s">
        <v>54</v>
      </c>
      <c r="P1847" t="s">
        <v>55</v>
      </c>
      <c r="Q1847">
        <v>24.7</v>
      </c>
      <c r="R1847">
        <v>13</v>
      </c>
      <c r="S1847" t="s">
        <v>27</v>
      </c>
    </row>
    <row r="1848" spans="1:19" x14ac:dyDescent="0.3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 t="str">
        <f t="shared" si="28"/>
        <v>0-7 days</v>
      </c>
      <c r="L1848">
        <v>6</v>
      </c>
      <c r="M1848">
        <v>1</v>
      </c>
      <c r="N1848">
        <v>0</v>
      </c>
      <c r="O1848" t="s">
        <v>25</v>
      </c>
      <c r="P1848" t="s">
        <v>50</v>
      </c>
      <c r="Q1848">
        <v>14.1</v>
      </c>
      <c r="R1848">
        <v>11</v>
      </c>
      <c r="S1848" t="s">
        <v>27</v>
      </c>
    </row>
    <row r="1849" spans="1:19" x14ac:dyDescent="0.3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 t="str">
        <f t="shared" si="28"/>
        <v>15-30 days</v>
      </c>
      <c r="L1849">
        <v>24</v>
      </c>
      <c r="M1849">
        <v>2</v>
      </c>
      <c r="N1849">
        <v>1</v>
      </c>
      <c r="O1849" t="s">
        <v>25</v>
      </c>
      <c r="P1849" t="s">
        <v>26</v>
      </c>
      <c r="Q1849">
        <v>7.8</v>
      </c>
      <c r="R1849">
        <v>14</v>
      </c>
      <c r="S1849" t="s">
        <v>36</v>
      </c>
    </row>
    <row r="1850" spans="1:19" x14ac:dyDescent="0.3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 t="str">
        <f t="shared" si="28"/>
        <v>15-30 days</v>
      </c>
      <c r="L1850">
        <v>21</v>
      </c>
      <c r="M1850">
        <v>3</v>
      </c>
      <c r="N1850">
        <v>1</v>
      </c>
      <c r="O1850" t="s">
        <v>25</v>
      </c>
      <c r="P1850" t="s">
        <v>26</v>
      </c>
      <c r="Q1850">
        <v>32.4</v>
      </c>
      <c r="R1850">
        <v>33</v>
      </c>
      <c r="S1850" t="s">
        <v>27</v>
      </c>
    </row>
    <row r="1851" spans="1:19" x14ac:dyDescent="0.3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 t="str">
        <f t="shared" si="28"/>
        <v>8-14 days</v>
      </c>
      <c r="L1851">
        <v>9</v>
      </c>
      <c r="M1851">
        <v>2</v>
      </c>
      <c r="N1851">
        <v>0</v>
      </c>
      <c r="O1851" t="s">
        <v>25</v>
      </c>
      <c r="P1851" t="s">
        <v>35</v>
      </c>
      <c r="Q1851">
        <v>5.7</v>
      </c>
      <c r="R1851">
        <v>19</v>
      </c>
      <c r="S1851" t="s">
        <v>27</v>
      </c>
    </row>
    <row r="1852" spans="1:19" x14ac:dyDescent="0.3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 t="str">
        <f t="shared" si="28"/>
        <v>15-30 days</v>
      </c>
      <c r="L1852">
        <v>21</v>
      </c>
      <c r="M1852">
        <v>3</v>
      </c>
      <c r="N1852">
        <v>0</v>
      </c>
      <c r="O1852" t="s">
        <v>25</v>
      </c>
      <c r="P1852" t="s">
        <v>50</v>
      </c>
      <c r="Q1852">
        <v>12.2</v>
      </c>
      <c r="R1852">
        <v>25</v>
      </c>
      <c r="S1852" t="s">
        <v>36</v>
      </c>
    </row>
    <row r="1853" spans="1:19" x14ac:dyDescent="0.3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 t="str">
        <f t="shared" si="28"/>
        <v>31-60 days</v>
      </c>
      <c r="L1853">
        <v>32</v>
      </c>
      <c r="M1853">
        <v>1</v>
      </c>
      <c r="N1853">
        <v>0</v>
      </c>
      <c r="O1853" t="s">
        <v>25</v>
      </c>
      <c r="P1853" t="s">
        <v>35</v>
      </c>
      <c r="Q1853">
        <v>11.3</v>
      </c>
      <c r="R1853">
        <v>29</v>
      </c>
      <c r="S1853" t="s">
        <v>36</v>
      </c>
    </row>
    <row r="1854" spans="1:19" x14ac:dyDescent="0.3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 t="str">
        <f t="shared" si="28"/>
        <v>31-60 days</v>
      </c>
      <c r="L1854">
        <v>41</v>
      </c>
      <c r="M1854">
        <v>4</v>
      </c>
      <c r="N1854">
        <v>0</v>
      </c>
      <c r="O1854" t="s">
        <v>25</v>
      </c>
      <c r="P1854" t="s">
        <v>35</v>
      </c>
      <c r="Q1854">
        <v>20.9</v>
      </c>
      <c r="S1854" t="s">
        <v>36</v>
      </c>
    </row>
    <row r="1855" spans="1:19" x14ac:dyDescent="0.3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 t="str">
        <f t="shared" si="28"/>
        <v>0-7 days</v>
      </c>
      <c r="L1855">
        <v>5</v>
      </c>
      <c r="M1855">
        <v>4</v>
      </c>
      <c r="N1855">
        <v>0</v>
      </c>
      <c r="O1855" t="s">
        <v>54</v>
      </c>
      <c r="P1855" t="s">
        <v>55</v>
      </c>
      <c r="Q1855">
        <v>4.7</v>
      </c>
      <c r="R1855">
        <v>11</v>
      </c>
      <c r="S1855" t="s">
        <v>36</v>
      </c>
    </row>
    <row r="1856" spans="1:19" x14ac:dyDescent="0.3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 t="str">
        <f t="shared" si="28"/>
        <v>31-60 days</v>
      </c>
      <c r="L1856">
        <v>53</v>
      </c>
      <c r="M1856">
        <v>3</v>
      </c>
      <c r="N1856">
        <v>2</v>
      </c>
      <c r="O1856" t="s">
        <v>25</v>
      </c>
      <c r="P1856" t="s">
        <v>26</v>
      </c>
      <c r="Q1856">
        <v>24.7</v>
      </c>
      <c r="R1856">
        <v>37</v>
      </c>
      <c r="S1856" t="s">
        <v>36</v>
      </c>
    </row>
    <row r="1857" spans="1:19" x14ac:dyDescent="0.3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 t="str">
        <f t="shared" si="28"/>
        <v>31-60 days</v>
      </c>
      <c r="L1857">
        <v>53</v>
      </c>
      <c r="M1857">
        <v>4</v>
      </c>
      <c r="N1857">
        <v>0</v>
      </c>
      <c r="O1857" t="s">
        <v>54</v>
      </c>
      <c r="P1857" t="s">
        <v>55</v>
      </c>
      <c r="Q1857">
        <v>30.3</v>
      </c>
      <c r="R1857">
        <v>30</v>
      </c>
      <c r="S1857" t="s">
        <v>36</v>
      </c>
    </row>
    <row r="1858" spans="1:19" x14ac:dyDescent="0.3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 t="str">
        <f t="shared" si="28"/>
        <v>31-60 days</v>
      </c>
      <c r="L1858">
        <v>42</v>
      </c>
      <c r="M1858">
        <v>2</v>
      </c>
      <c r="N1858">
        <v>1</v>
      </c>
      <c r="O1858" t="s">
        <v>25</v>
      </c>
      <c r="P1858" t="s">
        <v>35</v>
      </c>
      <c r="Q1858">
        <v>18.600000000000001</v>
      </c>
      <c r="R1858">
        <v>42</v>
      </c>
      <c r="S1858" t="s">
        <v>36</v>
      </c>
    </row>
    <row r="1859" spans="1:19" x14ac:dyDescent="0.3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 t="str">
        <f t="shared" ref="K1859:K1922" si="29">IF(L1859&lt;=7,"0-7 days",IF(L1859&lt;=14,"8-14 days",IF(L1859&lt;=30,"15-30 days","31-60 days")))</f>
        <v>31-60 days</v>
      </c>
      <c r="L1859">
        <v>56</v>
      </c>
      <c r="M1859">
        <v>3</v>
      </c>
      <c r="N1859">
        <v>0</v>
      </c>
      <c r="O1859" t="s">
        <v>25</v>
      </c>
      <c r="P1859" t="s">
        <v>26</v>
      </c>
      <c r="Q1859">
        <v>5.0999999999999996</v>
      </c>
      <c r="R1859">
        <v>39</v>
      </c>
      <c r="S1859" t="s">
        <v>36</v>
      </c>
    </row>
    <row r="1860" spans="1:19" x14ac:dyDescent="0.3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 t="str">
        <f t="shared" si="29"/>
        <v>15-30 days</v>
      </c>
      <c r="L1860">
        <v>26</v>
      </c>
      <c r="M1860">
        <v>0</v>
      </c>
      <c r="N1860">
        <v>0</v>
      </c>
      <c r="O1860" t="s">
        <v>54</v>
      </c>
      <c r="P1860" t="s">
        <v>55</v>
      </c>
      <c r="Q1860">
        <v>9.6999999999999993</v>
      </c>
      <c r="R1860">
        <v>25</v>
      </c>
      <c r="S1860" t="s">
        <v>27</v>
      </c>
    </row>
    <row r="1861" spans="1:19" x14ac:dyDescent="0.3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 t="str">
        <f t="shared" si="29"/>
        <v>31-60 days</v>
      </c>
      <c r="L1861">
        <v>50</v>
      </c>
      <c r="M1861">
        <v>2</v>
      </c>
      <c r="N1861">
        <v>0</v>
      </c>
      <c r="O1861" t="s">
        <v>25</v>
      </c>
      <c r="P1861" t="s">
        <v>26</v>
      </c>
      <c r="Q1861">
        <v>11.2</v>
      </c>
      <c r="R1861">
        <v>16</v>
      </c>
      <c r="S1861" t="s">
        <v>27</v>
      </c>
    </row>
    <row r="1862" spans="1:19" x14ac:dyDescent="0.3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 t="str">
        <f t="shared" si="29"/>
        <v>31-60 days</v>
      </c>
      <c r="L1862">
        <v>44</v>
      </c>
      <c r="M1862">
        <v>0</v>
      </c>
      <c r="N1862">
        <v>0</v>
      </c>
      <c r="O1862" t="s">
        <v>25</v>
      </c>
      <c r="P1862" t="s">
        <v>35</v>
      </c>
      <c r="Q1862">
        <v>11</v>
      </c>
      <c r="R1862">
        <v>31</v>
      </c>
      <c r="S1862" t="s">
        <v>27</v>
      </c>
    </row>
    <row r="1863" spans="1:19" x14ac:dyDescent="0.3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 t="str">
        <f t="shared" si="29"/>
        <v>31-60 days</v>
      </c>
      <c r="L1863">
        <v>34</v>
      </c>
      <c r="M1863">
        <v>5</v>
      </c>
      <c r="N1863">
        <v>0</v>
      </c>
      <c r="O1863" t="s">
        <v>25</v>
      </c>
      <c r="P1863" t="s">
        <v>35</v>
      </c>
      <c r="Q1863">
        <v>2.5</v>
      </c>
      <c r="R1863">
        <v>12</v>
      </c>
      <c r="S1863" t="s">
        <v>27</v>
      </c>
    </row>
    <row r="1864" spans="1:19" x14ac:dyDescent="0.3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 t="str">
        <f t="shared" si="29"/>
        <v>8-14 days</v>
      </c>
      <c r="L1864">
        <v>10</v>
      </c>
      <c r="M1864">
        <v>2</v>
      </c>
      <c r="N1864">
        <v>1</v>
      </c>
      <c r="O1864" t="s">
        <v>25</v>
      </c>
      <c r="P1864" t="s">
        <v>26</v>
      </c>
      <c r="Q1864">
        <v>13.3</v>
      </c>
      <c r="R1864">
        <v>26</v>
      </c>
      <c r="S1864" t="s">
        <v>36</v>
      </c>
    </row>
    <row r="1865" spans="1:19" x14ac:dyDescent="0.3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 t="str">
        <f t="shared" si="29"/>
        <v>31-60 days</v>
      </c>
      <c r="L1865">
        <v>34</v>
      </c>
      <c r="M1865">
        <v>1</v>
      </c>
      <c r="N1865">
        <v>0</v>
      </c>
      <c r="O1865" t="s">
        <v>25</v>
      </c>
      <c r="P1865" t="s">
        <v>35</v>
      </c>
      <c r="Q1865">
        <v>10.199999999999999</v>
      </c>
      <c r="R1865">
        <v>16</v>
      </c>
      <c r="S1865" t="s">
        <v>27</v>
      </c>
    </row>
    <row r="1866" spans="1:19" x14ac:dyDescent="0.3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 t="str">
        <f t="shared" si="29"/>
        <v>31-60 days</v>
      </c>
      <c r="L1866">
        <v>54</v>
      </c>
      <c r="M1866">
        <v>4</v>
      </c>
      <c r="N1866">
        <v>0</v>
      </c>
      <c r="O1866" t="s">
        <v>25</v>
      </c>
      <c r="P1866" t="s">
        <v>26</v>
      </c>
      <c r="Q1866">
        <v>7.6</v>
      </c>
      <c r="R1866">
        <v>21</v>
      </c>
      <c r="S1866" t="s">
        <v>36</v>
      </c>
    </row>
    <row r="1867" spans="1:19" x14ac:dyDescent="0.3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 t="str">
        <f t="shared" si="29"/>
        <v>31-60 days</v>
      </c>
      <c r="L1867">
        <v>60</v>
      </c>
      <c r="M1867">
        <v>3</v>
      </c>
      <c r="N1867">
        <v>0</v>
      </c>
      <c r="O1867" t="s">
        <v>25</v>
      </c>
      <c r="P1867" t="s">
        <v>35</v>
      </c>
      <c r="Q1867">
        <v>8.1</v>
      </c>
      <c r="R1867">
        <v>2</v>
      </c>
      <c r="S1867" t="s">
        <v>36</v>
      </c>
    </row>
    <row r="1868" spans="1:19" x14ac:dyDescent="0.3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 t="str">
        <f t="shared" si="29"/>
        <v>15-30 days</v>
      </c>
      <c r="L1868">
        <v>27</v>
      </c>
      <c r="M1868">
        <v>2</v>
      </c>
      <c r="N1868">
        <v>2</v>
      </c>
      <c r="O1868" t="s">
        <v>25</v>
      </c>
      <c r="P1868" t="s">
        <v>26</v>
      </c>
      <c r="Q1868">
        <v>33.1</v>
      </c>
      <c r="R1868">
        <v>23</v>
      </c>
      <c r="S1868" t="s">
        <v>27</v>
      </c>
    </row>
    <row r="1869" spans="1:19" x14ac:dyDescent="0.3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 t="str">
        <f t="shared" si="29"/>
        <v>15-30 days</v>
      </c>
      <c r="L1869">
        <v>15</v>
      </c>
      <c r="M1869">
        <v>2</v>
      </c>
      <c r="N1869">
        <v>0</v>
      </c>
      <c r="O1869" t="s">
        <v>25</v>
      </c>
      <c r="P1869" t="s">
        <v>26</v>
      </c>
      <c r="Q1869">
        <v>18.8</v>
      </c>
      <c r="R1869">
        <v>25</v>
      </c>
      <c r="S1869" t="s">
        <v>36</v>
      </c>
    </row>
    <row r="1870" spans="1:19" x14ac:dyDescent="0.3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 t="str">
        <f t="shared" si="29"/>
        <v>31-60 days</v>
      </c>
      <c r="L1870">
        <v>45</v>
      </c>
      <c r="M1870">
        <v>0</v>
      </c>
      <c r="N1870">
        <v>0</v>
      </c>
      <c r="O1870" t="s">
        <v>54</v>
      </c>
      <c r="P1870" t="s">
        <v>55</v>
      </c>
      <c r="Q1870">
        <v>2.2000000000000002</v>
      </c>
      <c r="R1870">
        <v>18</v>
      </c>
      <c r="S1870" t="s">
        <v>36</v>
      </c>
    </row>
    <row r="1871" spans="1:19" x14ac:dyDescent="0.3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 t="str">
        <f t="shared" si="29"/>
        <v>0-7 days</v>
      </c>
      <c r="L1871">
        <v>4</v>
      </c>
      <c r="M1871">
        <v>2</v>
      </c>
      <c r="N1871">
        <v>1</v>
      </c>
      <c r="O1871" t="s">
        <v>25</v>
      </c>
      <c r="P1871" t="s">
        <v>35</v>
      </c>
      <c r="Q1871">
        <v>7.6</v>
      </c>
      <c r="R1871">
        <v>23</v>
      </c>
      <c r="S1871" t="s">
        <v>27</v>
      </c>
    </row>
    <row r="1872" spans="1:19" x14ac:dyDescent="0.3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 t="str">
        <f t="shared" si="29"/>
        <v>8-14 days</v>
      </c>
      <c r="L1872">
        <v>9</v>
      </c>
      <c r="M1872">
        <v>3</v>
      </c>
      <c r="N1872">
        <v>1</v>
      </c>
      <c r="O1872" t="s">
        <v>25</v>
      </c>
      <c r="P1872" t="s">
        <v>26</v>
      </c>
      <c r="Q1872">
        <v>16.7</v>
      </c>
      <c r="R1872">
        <v>12</v>
      </c>
      <c r="S1872" t="s">
        <v>36</v>
      </c>
    </row>
    <row r="1873" spans="1:19" x14ac:dyDescent="0.3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 t="str">
        <f t="shared" si="29"/>
        <v>31-60 days</v>
      </c>
      <c r="L1873">
        <v>34</v>
      </c>
      <c r="M1873">
        <v>5</v>
      </c>
      <c r="N1873">
        <v>0</v>
      </c>
      <c r="O1873" t="s">
        <v>25</v>
      </c>
      <c r="P1873" t="s">
        <v>35</v>
      </c>
      <c r="Q1873">
        <v>19.100000000000001</v>
      </c>
      <c r="R1873">
        <v>33</v>
      </c>
      <c r="S1873" t="s">
        <v>36</v>
      </c>
    </row>
    <row r="1874" spans="1:19" x14ac:dyDescent="0.3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 t="str">
        <f t="shared" si="29"/>
        <v>31-60 days</v>
      </c>
      <c r="L1874">
        <v>60</v>
      </c>
      <c r="M1874">
        <v>6</v>
      </c>
      <c r="N1874">
        <v>1</v>
      </c>
      <c r="O1874" t="s">
        <v>54</v>
      </c>
      <c r="P1874" t="s">
        <v>55</v>
      </c>
      <c r="Q1874">
        <v>10.8</v>
      </c>
      <c r="R1874">
        <v>24</v>
      </c>
      <c r="S1874" t="s">
        <v>27</v>
      </c>
    </row>
    <row r="1875" spans="1:19" x14ac:dyDescent="0.3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 t="str">
        <f t="shared" si="29"/>
        <v>15-30 days</v>
      </c>
      <c r="L1875">
        <v>20</v>
      </c>
      <c r="M1875">
        <v>3</v>
      </c>
      <c r="N1875">
        <v>0</v>
      </c>
      <c r="O1875" t="s">
        <v>25</v>
      </c>
      <c r="P1875" t="s">
        <v>35</v>
      </c>
      <c r="Q1875">
        <v>3.7</v>
      </c>
      <c r="R1875">
        <v>49</v>
      </c>
      <c r="S1875" t="s">
        <v>36</v>
      </c>
    </row>
    <row r="1876" spans="1:19" x14ac:dyDescent="0.3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 t="str">
        <f t="shared" si="29"/>
        <v>15-30 days</v>
      </c>
      <c r="L1876">
        <v>27</v>
      </c>
      <c r="M1876">
        <v>1</v>
      </c>
      <c r="N1876">
        <v>0</v>
      </c>
      <c r="O1876" t="s">
        <v>25</v>
      </c>
      <c r="P1876" t="s">
        <v>35</v>
      </c>
      <c r="Q1876">
        <v>3.4</v>
      </c>
      <c r="R1876">
        <v>27</v>
      </c>
      <c r="S1876" t="s">
        <v>36</v>
      </c>
    </row>
    <row r="1877" spans="1:19" x14ac:dyDescent="0.3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 t="str">
        <f t="shared" si="29"/>
        <v>15-30 days</v>
      </c>
      <c r="L1877">
        <v>19</v>
      </c>
      <c r="M1877">
        <v>2</v>
      </c>
      <c r="N1877">
        <v>0</v>
      </c>
      <c r="O1877" t="s">
        <v>54</v>
      </c>
      <c r="P1877" t="s">
        <v>55</v>
      </c>
      <c r="Q1877">
        <v>13.1</v>
      </c>
      <c r="R1877">
        <v>28</v>
      </c>
      <c r="S1877" t="s">
        <v>36</v>
      </c>
    </row>
    <row r="1878" spans="1:19" x14ac:dyDescent="0.3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 t="str">
        <f t="shared" si="29"/>
        <v>15-30 days</v>
      </c>
      <c r="L1878">
        <v>26</v>
      </c>
      <c r="M1878">
        <v>4</v>
      </c>
      <c r="N1878">
        <v>2</v>
      </c>
      <c r="O1878" t="s">
        <v>25</v>
      </c>
      <c r="P1878" t="s">
        <v>35</v>
      </c>
      <c r="Q1878">
        <v>6.5</v>
      </c>
      <c r="R1878">
        <v>19</v>
      </c>
      <c r="S1878" t="s">
        <v>36</v>
      </c>
    </row>
    <row r="1879" spans="1:19" x14ac:dyDescent="0.3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 t="str">
        <f t="shared" si="29"/>
        <v>0-7 days</v>
      </c>
      <c r="L1879">
        <v>0</v>
      </c>
      <c r="M1879">
        <v>3</v>
      </c>
      <c r="N1879">
        <v>1</v>
      </c>
      <c r="O1879" t="s">
        <v>25</v>
      </c>
      <c r="P1879" t="s">
        <v>35</v>
      </c>
      <c r="Q1879">
        <v>4.2</v>
      </c>
      <c r="R1879">
        <v>37</v>
      </c>
      <c r="S1879" t="s">
        <v>36</v>
      </c>
    </row>
    <row r="1880" spans="1:19" x14ac:dyDescent="0.3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 t="str">
        <f t="shared" si="29"/>
        <v>31-60 days</v>
      </c>
      <c r="L1880">
        <v>36</v>
      </c>
      <c r="M1880">
        <v>3</v>
      </c>
      <c r="N1880">
        <v>0</v>
      </c>
      <c r="O1880" t="s">
        <v>25</v>
      </c>
      <c r="P1880" t="s">
        <v>26</v>
      </c>
      <c r="Q1880">
        <v>0.9</v>
      </c>
      <c r="R1880">
        <v>19</v>
      </c>
      <c r="S1880" t="s">
        <v>27</v>
      </c>
    </row>
    <row r="1881" spans="1:19" x14ac:dyDescent="0.3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 t="str">
        <f t="shared" si="29"/>
        <v>31-60 days</v>
      </c>
      <c r="L1881">
        <v>36</v>
      </c>
      <c r="M1881">
        <v>2</v>
      </c>
      <c r="N1881">
        <v>0</v>
      </c>
      <c r="O1881" t="s">
        <v>25</v>
      </c>
      <c r="P1881" t="s">
        <v>35</v>
      </c>
      <c r="Q1881">
        <v>2.7</v>
      </c>
      <c r="R1881">
        <v>43</v>
      </c>
      <c r="S1881" t="s">
        <v>27</v>
      </c>
    </row>
    <row r="1882" spans="1:19" x14ac:dyDescent="0.3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 t="str">
        <f t="shared" si="29"/>
        <v>15-30 days</v>
      </c>
      <c r="L1882">
        <v>19</v>
      </c>
      <c r="M1882">
        <v>8</v>
      </c>
      <c r="N1882">
        <v>1</v>
      </c>
      <c r="O1882" t="s">
        <v>25</v>
      </c>
      <c r="P1882" t="s">
        <v>35</v>
      </c>
      <c r="Q1882">
        <v>10</v>
      </c>
      <c r="R1882">
        <v>43</v>
      </c>
      <c r="S1882" t="s">
        <v>27</v>
      </c>
    </row>
    <row r="1883" spans="1:19" x14ac:dyDescent="0.3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 t="str">
        <f t="shared" si="29"/>
        <v>15-30 days</v>
      </c>
      <c r="L1883">
        <v>16</v>
      </c>
      <c r="M1883">
        <v>2</v>
      </c>
      <c r="N1883">
        <v>1</v>
      </c>
      <c r="O1883" t="s">
        <v>25</v>
      </c>
      <c r="P1883" t="s">
        <v>26</v>
      </c>
      <c r="Q1883">
        <v>7.2</v>
      </c>
      <c r="R1883">
        <v>18</v>
      </c>
      <c r="S1883" t="s">
        <v>36</v>
      </c>
    </row>
    <row r="1884" spans="1:19" x14ac:dyDescent="0.3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 t="str">
        <f t="shared" si="29"/>
        <v>31-60 days</v>
      </c>
      <c r="L1884">
        <v>46</v>
      </c>
      <c r="M1884">
        <v>5</v>
      </c>
      <c r="N1884">
        <v>0</v>
      </c>
      <c r="O1884" t="s">
        <v>54</v>
      </c>
      <c r="P1884" t="s">
        <v>55</v>
      </c>
      <c r="Q1884">
        <v>20.3</v>
      </c>
      <c r="R1884">
        <v>21</v>
      </c>
      <c r="S1884" t="s">
        <v>27</v>
      </c>
    </row>
    <row r="1885" spans="1:19" x14ac:dyDescent="0.3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 t="str">
        <f t="shared" si="29"/>
        <v>8-14 days</v>
      </c>
      <c r="L1885">
        <v>11</v>
      </c>
      <c r="M1885">
        <v>1</v>
      </c>
      <c r="N1885">
        <v>0</v>
      </c>
      <c r="O1885" t="s">
        <v>54</v>
      </c>
      <c r="P1885" t="s">
        <v>55</v>
      </c>
      <c r="Q1885">
        <v>3.2</v>
      </c>
      <c r="R1885">
        <v>16</v>
      </c>
      <c r="S1885" t="s">
        <v>36</v>
      </c>
    </row>
    <row r="1886" spans="1:19" x14ac:dyDescent="0.3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 t="str">
        <f t="shared" si="29"/>
        <v>0-7 days</v>
      </c>
      <c r="L1886">
        <v>2</v>
      </c>
      <c r="M1886">
        <v>3</v>
      </c>
      <c r="N1886">
        <v>1</v>
      </c>
      <c r="O1886" t="s">
        <v>25</v>
      </c>
      <c r="P1886" t="s">
        <v>35</v>
      </c>
      <c r="R1886">
        <v>9</v>
      </c>
      <c r="S1886" t="s">
        <v>36</v>
      </c>
    </row>
    <row r="1887" spans="1:19" x14ac:dyDescent="0.3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 t="str">
        <f t="shared" si="29"/>
        <v>0-7 days</v>
      </c>
      <c r="L1887">
        <v>2</v>
      </c>
      <c r="M1887">
        <v>6</v>
      </c>
      <c r="N1887">
        <v>0</v>
      </c>
      <c r="O1887" t="s">
        <v>25</v>
      </c>
      <c r="P1887" t="s">
        <v>35</v>
      </c>
      <c r="Q1887">
        <v>5.8</v>
      </c>
      <c r="R1887">
        <v>27</v>
      </c>
      <c r="S1887" t="s">
        <v>36</v>
      </c>
    </row>
    <row r="1888" spans="1:19" x14ac:dyDescent="0.3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 t="str">
        <f t="shared" si="29"/>
        <v>31-60 days</v>
      </c>
      <c r="L1888">
        <v>53</v>
      </c>
      <c r="M1888">
        <v>3</v>
      </c>
      <c r="N1888">
        <v>0</v>
      </c>
      <c r="O1888" t="s">
        <v>25</v>
      </c>
      <c r="P1888" t="s">
        <v>26</v>
      </c>
      <c r="Q1888">
        <v>9.4</v>
      </c>
      <c r="R1888">
        <v>24</v>
      </c>
      <c r="S1888" t="s">
        <v>36</v>
      </c>
    </row>
    <row r="1889" spans="1:19" x14ac:dyDescent="0.3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 t="str">
        <f t="shared" si="29"/>
        <v>15-30 days</v>
      </c>
      <c r="L1889">
        <v>22</v>
      </c>
      <c r="M1889">
        <v>5</v>
      </c>
      <c r="N1889">
        <v>1</v>
      </c>
      <c r="O1889" t="s">
        <v>54</v>
      </c>
      <c r="P1889" t="s">
        <v>55</v>
      </c>
      <c r="Q1889">
        <v>5.9</v>
      </c>
      <c r="R1889">
        <v>31</v>
      </c>
      <c r="S1889" t="s">
        <v>27</v>
      </c>
    </row>
    <row r="1890" spans="1:19" x14ac:dyDescent="0.3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 t="str">
        <f t="shared" si="29"/>
        <v>0-7 days</v>
      </c>
      <c r="L1890">
        <v>6</v>
      </c>
      <c r="M1890">
        <v>2</v>
      </c>
      <c r="N1890">
        <v>1</v>
      </c>
      <c r="O1890" t="s">
        <v>25</v>
      </c>
      <c r="P1890" t="s">
        <v>35</v>
      </c>
      <c r="Q1890">
        <v>4.7</v>
      </c>
      <c r="R1890">
        <v>23</v>
      </c>
      <c r="S1890" t="s">
        <v>36</v>
      </c>
    </row>
    <row r="1891" spans="1:19" x14ac:dyDescent="0.3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 t="str">
        <f t="shared" si="29"/>
        <v>31-60 days</v>
      </c>
      <c r="L1891">
        <v>53</v>
      </c>
      <c r="M1891">
        <v>1</v>
      </c>
      <c r="N1891">
        <v>0</v>
      </c>
      <c r="O1891" t="s">
        <v>25</v>
      </c>
      <c r="P1891" t="s">
        <v>35</v>
      </c>
      <c r="Q1891">
        <v>11</v>
      </c>
      <c r="R1891">
        <v>34</v>
      </c>
      <c r="S1891" t="s">
        <v>27</v>
      </c>
    </row>
    <row r="1892" spans="1:19" x14ac:dyDescent="0.3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 t="str">
        <f t="shared" si="29"/>
        <v>8-14 days</v>
      </c>
      <c r="L1892">
        <v>9</v>
      </c>
      <c r="M1892">
        <v>0</v>
      </c>
      <c r="N1892">
        <v>0</v>
      </c>
      <c r="O1892" t="s">
        <v>54</v>
      </c>
      <c r="P1892" t="s">
        <v>55</v>
      </c>
      <c r="Q1892">
        <v>9.1</v>
      </c>
      <c r="R1892">
        <v>23</v>
      </c>
      <c r="S1892" t="s">
        <v>71</v>
      </c>
    </row>
    <row r="1893" spans="1:19" x14ac:dyDescent="0.3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 t="str">
        <f t="shared" si="29"/>
        <v>15-30 days</v>
      </c>
      <c r="L1893">
        <v>20</v>
      </c>
      <c r="M1893">
        <v>1</v>
      </c>
      <c r="N1893">
        <v>0</v>
      </c>
      <c r="O1893" t="s">
        <v>54</v>
      </c>
      <c r="P1893" t="s">
        <v>55</v>
      </c>
      <c r="Q1893">
        <v>14.4</v>
      </c>
      <c r="R1893">
        <v>22</v>
      </c>
      <c r="S1893" t="s">
        <v>36</v>
      </c>
    </row>
    <row r="1894" spans="1:19" x14ac:dyDescent="0.3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 t="str">
        <f t="shared" si="29"/>
        <v>0-7 days</v>
      </c>
      <c r="L1894">
        <v>1</v>
      </c>
      <c r="M1894">
        <v>2</v>
      </c>
      <c r="N1894">
        <v>1</v>
      </c>
      <c r="O1894" t="s">
        <v>25</v>
      </c>
      <c r="P1894" t="s">
        <v>35</v>
      </c>
      <c r="Q1894">
        <v>7.1</v>
      </c>
      <c r="R1894">
        <v>25</v>
      </c>
      <c r="S1894" t="s">
        <v>36</v>
      </c>
    </row>
    <row r="1895" spans="1:19" x14ac:dyDescent="0.3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 t="str">
        <f t="shared" si="29"/>
        <v>31-60 days</v>
      </c>
      <c r="L1895">
        <v>41</v>
      </c>
      <c r="M1895">
        <v>3</v>
      </c>
      <c r="N1895">
        <v>1</v>
      </c>
      <c r="O1895" t="s">
        <v>25</v>
      </c>
      <c r="P1895" t="s">
        <v>26</v>
      </c>
      <c r="Q1895">
        <v>17.899999999999999</v>
      </c>
      <c r="R1895">
        <v>32</v>
      </c>
      <c r="S1895" t="s">
        <v>36</v>
      </c>
    </row>
    <row r="1896" spans="1:19" x14ac:dyDescent="0.3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 t="str">
        <f t="shared" si="29"/>
        <v>31-60 days</v>
      </c>
      <c r="L1896">
        <v>42</v>
      </c>
      <c r="M1896">
        <v>3</v>
      </c>
      <c r="N1896">
        <v>1</v>
      </c>
      <c r="O1896" t="s">
        <v>54</v>
      </c>
      <c r="P1896" t="s">
        <v>55</v>
      </c>
      <c r="Q1896">
        <v>4.3</v>
      </c>
      <c r="R1896">
        <v>20</v>
      </c>
      <c r="S1896" t="s">
        <v>27</v>
      </c>
    </row>
    <row r="1897" spans="1:19" x14ac:dyDescent="0.3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 t="str">
        <f t="shared" si="29"/>
        <v>31-60 days</v>
      </c>
      <c r="L1897">
        <v>46</v>
      </c>
      <c r="M1897">
        <v>1</v>
      </c>
      <c r="N1897">
        <v>0</v>
      </c>
      <c r="O1897" t="s">
        <v>25</v>
      </c>
      <c r="P1897" t="s">
        <v>35</v>
      </c>
      <c r="Q1897">
        <v>13</v>
      </c>
      <c r="R1897">
        <v>34</v>
      </c>
      <c r="S1897" t="s">
        <v>36</v>
      </c>
    </row>
    <row r="1898" spans="1:19" x14ac:dyDescent="0.3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 t="str">
        <f t="shared" si="29"/>
        <v>15-30 days</v>
      </c>
      <c r="L1898">
        <v>16</v>
      </c>
      <c r="M1898">
        <v>2</v>
      </c>
      <c r="N1898">
        <v>0</v>
      </c>
      <c r="O1898" t="s">
        <v>54</v>
      </c>
      <c r="P1898" t="s">
        <v>55</v>
      </c>
      <c r="Q1898">
        <v>15.3</v>
      </c>
      <c r="R1898">
        <v>16</v>
      </c>
      <c r="S1898" t="s">
        <v>36</v>
      </c>
    </row>
    <row r="1899" spans="1:19" x14ac:dyDescent="0.3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 t="str">
        <f t="shared" si="29"/>
        <v>15-30 days</v>
      </c>
      <c r="L1899">
        <v>20</v>
      </c>
      <c r="M1899">
        <v>3</v>
      </c>
      <c r="N1899">
        <v>0</v>
      </c>
      <c r="O1899" t="s">
        <v>25</v>
      </c>
      <c r="P1899" t="s">
        <v>35</v>
      </c>
      <c r="Q1899">
        <v>1.1000000000000001</v>
      </c>
      <c r="R1899">
        <v>21</v>
      </c>
      <c r="S1899" t="s">
        <v>27</v>
      </c>
    </row>
    <row r="1900" spans="1:19" x14ac:dyDescent="0.3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 t="str">
        <f t="shared" si="29"/>
        <v>31-60 days</v>
      </c>
      <c r="L1900">
        <v>57</v>
      </c>
      <c r="M1900">
        <v>4</v>
      </c>
      <c r="N1900">
        <v>1</v>
      </c>
      <c r="O1900" t="s">
        <v>25</v>
      </c>
      <c r="P1900" t="s">
        <v>26</v>
      </c>
      <c r="Q1900">
        <v>13.2</v>
      </c>
      <c r="R1900">
        <v>3</v>
      </c>
      <c r="S1900" t="s">
        <v>27</v>
      </c>
    </row>
    <row r="1901" spans="1:19" x14ac:dyDescent="0.3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 t="str">
        <f t="shared" si="29"/>
        <v>31-60 days</v>
      </c>
      <c r="L1901">
        <v>50</v>
      </c>
      <c r="M1901">
        <v>6</v>
      </c>
      <c r="N1901">
        <v>1</v>
      </c>
      <c r="O1901" t="s">
        <v>54</v>
      </c>
      <c r="P1901" t="s">
        <v>55</v>
      </c>
      <c r="Q1901">
        <v>7.8</v>
      </c>
      <c r="R1901">
        <v>20</v>
      </c>
      <c r="S1901" t="s">
        <v>27</v>
      </c>
    </row>
    <row r="1902" spans="1:19" x14ac:dyDescent="0.3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 t="str">
        <f t="shared" si="29"/>
        <v>0-7 days</v>
      </c>
      <c r="L1902">
        <v>2</v>
      </c>
      <c r="M1902">
        <v>6</v>
      </c>
      <c r="N1902">
        <v>1</v>
      </c>
      <c r="O1902" t="s">
        <v>54</v>
      </c>
      <c r="P1902" t="s">
        <v>55</v>
      </c>
      <c r="Q1902">
        <v>9.5</v>
      </c>
      <c r="R1902">
        <v>12</v>
      </c>
      <c r="S1902" t="s">
        <v>27</v>
      </c>
    </row>
    <row r="1903" spans="1:19" x14ac:dyDescent="0.3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 t="str">
        <f t="shared" si="29"/>
        <v>31-60 days</v>
      </c>
      <c r="L1903">
        <v>42</v>
      </c>
      <c r="M1903">
        <v>2</v>
      </c>
      <c r="N1903">
        <v>0</v>
      </c>
      <c r="O1903" t="s">
        <v>25</v>
      </c>
      <c r="P1903" t="s">
        <v>26</v>
      </c>
      <c r="Q1903">
        <v>20</v>
      </c>
      <c r="R1903">
        <v>30</v>
      </c>
      <c r="S1903" t="s">
        <v>36</v>
      </c>
    </row>
    <row r="1904" spans="1:19" x14ac:dyDescent="0.3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 t="str">
        <f t="shared" si="29"/>
        <v>31-60 days</v>
      </c>
      <c r="L1904">
        <v>49</v>
      </c>
      <c r="M1904">
        <v>1</v>
      </c>
      <c r="N1904">
        <v>0</v>
      </c>
      <c r="O1904" t="s">
        <v>54</v>
      </c>
      <c r="P1904" t="s">
        <v>55</v>
      </c>
      <c r="Q1904">
        <v>8.3000000000000007</v>
      </c>
      <c r="R1904">
        <v>30</v>
      </c>
      <c r="S1904" t="s">
        <v>27</v>
      </c>
    </row>
    <row r="1905" spans="1:19" x14ac:dyDescent="0.3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 t="str">
        <f t="shared" si="29"/>
        <v>31-60 days</v>
      </c>
      <c r="L1905">
        <v>34</v>
      </c>
      <c r="M1905">
        <v>3</v>
      </c>
      <c r="N1905">
        <v>1</v>
      </c>
      <c r="O1905" t="s">
        <v>25</v>
      </c>
      <c r="P1905" t="s">
        <v>35</v>
      </c>
      <c r="Q1905">
        <v>4.0999999999999996</v>
      </c>
      <c r="R1905">
        <v>37</v>
      </c>
      <c r="S1905" t="s">
        <v>36</v>
      </c>
    </row>
    <row r="1906" spans="1:19" x14ac:dyDescent="0.3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 t="str">
        <f t="shared" si="29"/>
        <v>31-60 days</v>
      </c>
      <c r="L1906">
        <v>39</v>
      </c>
      <c r="M1906">
        <v>4</v>
      </c>
      <c r="N1906">
        <v>2</v>
      </c>
      <c r="O1906" t="s">
        <v>54</v>
      </c>
      <c r="P1906" t="s">
        <v>55</v>
      </c>
      <c r="Q1906">
        <v>12.6</v>
      </c>
      <c r="R1906">
        <v>42</v>
      </c>
      <c r="S1906" t="s">
        <v>27</v>
      </c>
    </row>
    <row r="1907" spans="1:19" x14ac:dyDescent="0.3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 t="str">
        <f t="shared" si="29"/>
        <v>0-7 days</v>
      </c>
      <c r="L1907">
        <v>0</v>
      </c>
      <c r="M1907">
        <v>5</v>
      </c>
      <c r="N1907">
        <v>0</v>
      </c>
      <c r="O1907" t="s">
        <v>25</v>
      </c>
      <c r="P1907" t="s">
        <v>35</v>
      </c>
      <c r="Q1907">
        <v>7.4</v>
      </c>
      <c r="R1907">
        <v>22</v>
      </c>
      <c r="S1907" t="s">
        <v>36</v>
      </c>
    </row>
    <row r="1908" spans="1:19" x14ac:dyDescent="0.3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 t="str">
        <f t="shared" si="29"/>
        <v>0-7 days</v>
      </c>
      <c r="L1908">
        <v>1</v>
      </c>
      <c r="M1908">
        <v>4</v>
      </c>
      <c r="N1908">
        <v>2</v>
      </c>
      <c r="O1908" t="s">
        <v>54</v>
      </c>
      <c r="P1908" t="s">
        <v>55</v>
      </c>
      <c r="Q1908">
        <v>8.5</v>
      </c>
      <c r="R1908">
        <v>16</v>
      </c>
      <c r="S1908" t="s">
        <v>27</v>
      </c>
    </row>
    <row r="1909" spans="1:19" x14ac:dyDescent="0.3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 t="str">
        <f t="shared" si="29"/>
        <v>0-7 days</v>
      </c>
      <c r="L1909">
        <v>2</v>
      </c>
      <c r="M1909">
        <v>7</v>
      </c>
      <c r="N1909">
        <v>0</v>
      </c>
      <c r="O1909" t="s">
        <v>54</v>
      </c>
      <c r="P1909" t="s">
        <v>55</v>
      </c>
      <c r="Q1909">
        <v>7.9</v>
      </c>
      <c r="R1909">
        <v>29</v>
      </c>
      <c r="S1909" t="s">
        <v>36</v>
      </c>
    </row>
    <row r="1910" spans="1:19" x14ac:dyDescent="0.3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 t="str">
        <f t="shared" si="29"/>
        <v>8-14 days</v>
      </c>
      <c r="L1910">
        <v>9</v>
      </c>
      <c r="M1910">
        <v>4</v>
      </c>
      <c r="N1910">
        <v>1</v>
      </c>
      <c r="O1910" t="s">
        <v>54</v>
      </c>
      <c r="P1910" t="s">
        <v>55</v>
      </c>
      <c r="Q1910">
        <v>14</v>
      </c>
      <c r="R1910">
        <v>20</v>
      </c>
      <c r="S1910" t="s">
        <v>71</v>
      </c>
    </row>
    <row r="1911" spans="1:19" x14ac:dyDescent="0.3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 t="str">
        <f t="shared" si="29"/>
        <v>31-60 days</v>
      </c>
      <c r="L1911">
        <v>60</v>
      </c>
      <c r="M1911">
        <v>1</v>
      </c>
      <c r="N1911">
        <v>0</v>
      </c>
      <c r="O1911" t="s">
        <v>25</v>
      </c>
      <c r="P1911" t="s">
        <v>35</v>
      </c>
      <c r="Q1911">
        <v>10.9</v>
      </c>
      <c r="R1911">
        <v>17</v>
      </c>
      <c r="S1911" t="s">
        <v>27</v>
      </c>
    </row>
    <row r="1912" spans="1:19" x14ac:dyDescent="0.3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 t="str">
        <f t="shared" si="29"/>
        <v>31-60 days</v>
      </c>
      <c r="L1912">
        <v>38</v>
      </c>
      <c r="M1912">
        <v>3</v>
      </c>
      <c r="N1912">
        <v>0</v>
      </c>
      <c r="O1912" t="s">
        <v>25</v>
      </c>
      <c r="P1912" t="s">
        <v>50</v>
      </c>
      <c r="Q1912">
        <v>8.5</v>
      </c>
      <c r="R1912">
        <v>24</v>
      </c>
      <c r="S1912" t="s">
        <v>27</v>
      </c>
    </row>
    <row r="1913" spans="1:19" x14ac:dyDescent="0.3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 t="str">
        <f t="shared" si="29"/>
        <v>31-60 days</v>
      </c>
      <c r="L1913">
        <v>47</v>
      </c>
      <c r="M1913">
        <v>1</v>
      </c>
      <c r="N1913">
        <v>1</v>
      </c>
      <c r="O1913" t="s">
        <v>25</v>
      </c>
      <c r="P1913" t="s">
        <v>35</v>
      </c>
      <c r="Q1913">
        <v>10.4</v>
      </c>
      <c r="R1913">
        <v>18</v>
      </c>
      <c r="S1913" t="s">
        <v>36</v>
      </c>
    </row>
    <row r="1914" spans="1:19" x14ac:dyDescent="0.3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 t="str">
        <f t="shared" si="29"/>
        <v>15-30 days</v>
      </c>
      <c r="L1914">
        <v>18</v>
      </c>
      <c r="M1914">
        <v>3</v>
      </c>
      <c r="N1914">
        <v>0</v>
      </c>
      <c r="O1914" t="s">
        <v>25</v>
      </c>
      <c r="P1914" t="s">
        <v>26</v>
      </c>
      <c r="Q1914">
        <v>4.2</v>
      </c>
      <c r="R1914">
        <v>47</v>
      </c>
      <c r="S1914" t="s">
        <v>36</v>
      </c>
    </row>
    <row r="1915" spans="1:19" x14ac:dyDescent="0.3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 t="str">
        <f t="shared" si="29"/>
        <v>31-60 days</v>
      </c>
      <c r="L1915">
        <v>57</v>
      </c>
      <c r="M1915">
        <v>2</v>
      </c>
      <c r="N1915">
        <v>0</v>
      </c>
      <c r="O1915" t="s">
        <v>54</v>
      </c>
      <c r="P1915" t="s">
        <v>55</v>
      </c>
      <c r="Q1915">
        <v>13.3</v>
      </c>
      <c r="R1915">
        <v>21</v>
      </c>
      <c r="S1915" t="s">
        <v>27</v>
      </c>
    </row>
    <row r="1916" spans="1:19" x14ac:dyDescent="0.3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 t="str">
        <f t="shared" si="29"/>
        <v>8-14 days</v>
      </c>
      <c r="L1916">
        <v>12</v>
      </c>
      <c r="M1916">
        <v>0</v>
      </c>
      <c r="N1916">
        <v>0</v>
      </c>
      <c r="O1916" t="s">
        <v>25</v>
      </c>
      <c r="P1916" t="s">
        <v>35</v>
      </c>
      <c r="Q1916">
        <v>11.1</v>
      </c>
      <c r="R1916">
        <v>24</v>
      </c>
      <c r="S1916" t="s">
        <v>36</v>
      </c>
    </row>
    <row r="1917" spans="1:19" x14ac:dyDescent="0.3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 t="str">
        <f t="shared" si="29"/>
        <v>31-60 days</v>
      </c>
      <c r="L1917">
        <v>55</v>
      </c>
      <c r="M1917">
        <v>0</v>
      </c>
      <c r="N1917">
        <v>0</v>
      </c>
      <c r="O1917" t="s">
        <v>25</v>
      </c>
      <c r="P1917" t="s">
        <v>26</v>
      </c>
      <c r="Q1917">
        <v>21.7</v>
      </c>
      <c r="R1917">
        <v>33</v>
      </c>
      <c r="S1917" t="s">
        <v>36</v>
      </c>
    </row>
    <row r="1918" spans="1:19" x14ac:dyDescent="0.3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 t="str">
        <f t="shared" si="29"/>
        <v>0-7 days</v>
      </c>
      <c r="L1918">
        <v>1</v>
      </c>
      <c r="M1918">
        <v>5</v>
      </c>
      <c r="N1918">
        <v>1</v>
      </c>
      <c r="O1918" t="s">
        <v>25</v>
      </c>
      <c r="P1918" t="s">
        <v>35</v>
      </c>
      <c r="Q1918">
        <v>5.6</v>
      </c>
      <c r="R1918">
        <v>48</v>
      </c>
      <c r="S1918" t="s">
        <v>27</v>
      </c>
    </row>
    <row r="1919" spans="1:19" x14ac:dyDescent="0.3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 t="str">
        <f t="shared" si="29"/>
        <v>0-7 days</v>
      </c>
      <c r="L1919">
        <v>1</v>
      </c>
      <c r="M1919">
        <v>3</v>
      </c>
      <c r="N1919">
        <v>0</v>
      </c>
      <c r="O1919" t="s">
        <v>54</v>
      </c>
      <c r="P1919" t="s">
        <v>55</v>
      </c>
      <c r="Q1919">
        <v>5.7</v>
      </c>
      <c r="R1919">
        <v>22</v>
      </c>
      <c r="S1919" t="s">
        <v>27</v>
      </c>
    </row>
    <row r="1920" spans="1:19" x14ac:dyDescent="0.3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 t="str">
        <f t="shared" si="29"/>
        <v>0-7 days</v>
      </c>
      <c r="L1920">
        <v>4</v>
      </c>
      <c r="M1920">
        <v>1</v>
      </c>
      <c r="N1920">
        <v>0</v>
      </c>
      <c r="O1920" t="s">
        <v>25</v>
      </c>
      <c r="P1920" t="s">
        <v>35</v>
      </c>
      <c r="Q1920">
        <v>9.9</v>
      </c>
      <c r="R1920">
        <v>3</v>
      </c>
      <c r="S1920" t="s">
        <v>36</v>
      </c>
    </row>
    <row r="1921" spans="1:19" x14ac:dyDescent="0.3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 t="str">
        <f t="shared" si="29"/>
        <v>31-60 days</v>
      </c>
      <c r="L1921">
        <v>48</v>
      </c>
      <c r="M1921">
        <v>4</v>
      </c>
      <c r="N1921">
        <v>0</v>
      </c>
      <c r="O1921" t="s">
        <v>54</v>
      </c>
      <c r="P1921" t="s">
        <v>55</v>
      </c>
      <c r="Q1921">
        <v>8.3000000000000007</v>
      </c>
      <c r="R1921">
        <v>23</v>
      </c>
      <c r="S1921" t="s">
        <v>36</v>
      </c>
    </row>
    <row r="1922" spans="1:19" x14ac:dyDescent="0.3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 t="str">
        <f t="shared" si="29"/>
        <v>15-30 days</v>
      </c>
      <c r="L1922">
        <v>15</v>
      </c>
      <c r="M1922">
        <v>1</v>
      </c>
      <c r="N1922">
        <v>0</v>
      </c>
      <c r="O1922" t="s">
        <v>25</v>
      </c>
      <c r="P1922" t="s">
        <v>26</v>
      </c>
      <c r="Q1922">
        <v>4.0999999999999996</v>
      </c>
      <c r="R1922">
        <v>5</v>
      </c>
      <c r="S1922" t="s">
        <v>36</v>
      </c>
    </row>
    <row r="1923" spans="1:19" x14ac:dyDescent="0.3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 t="str">
        <f t="shared" ref="K1923:K1986" si="30">IF(L1923&lt;=7,"0-7 days",IF(L1923&lt;=14,"8-14 days",IF(L1923&lt;=30,"15-30 days","31-60 days")))</f>
        <v>15-30 days</v>
      </c>
      <c r="L1923">
        <v>27</v>
      </c>
      <c r="M1923">
        <v>4</v>
      </c>
      <c r="N1923">
        <v>1</v>
      </c>
      <c r="O1923" t="s">
        <v>25</v>
      </c>
      <c r="P1923" t="s">
        <v>26</v>
      </c>
      <c r="Q1923">
        <v>3.5</v>
      </c>
      <c r="R1923">
        <v>18</v>
      </c>
      <c r="S1923" t="s">
        <v>36</v>
      </c>
    </row>
    <row r="1924" spans="1:19" x14ac:dyDescent="0.3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 t="str">
        <f t="shared" si="30"/>
        <v>15-30 days</v>
      </c>
      <c r="L1924">
        <v>28</v>
      </c>
      <c r="M1924">
        <v>6</v>
      </c>
      <c r="N1924">
        <v>2</v>
      </c>
      <c r="O1924" t="s">
        <v>25</v>
      </c>
      <c r="P1924" t="s">
        <v>26</v>
      </c>
      <c r="Q1924">
        <v>17.3</v>
      </c>
      <c r="R1924">
        <v>40</v>
      </c>
      <c r="S1924" t="s">
        <v>27</v>
      </c>
    </row>
    <row r="1925" spans="1:19" x14ac:dyDescent="0.3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 t="str">
        <f t="shared" si="30"/>
        <v>31-60 days</v>
      </c>
      <c r="L1925">
        <v>48</v>
      </c>
      <c r="M1925">
        <v>4</v>
      </c>
      <c r="N1925">
        <v>0</v>
      </c>
      <c r="O1925" t="s">
        <v>25</v>
      </c>
      <c r="P1925" t="s">
        <v>35</v>
      </c>
      <c r="Q1925">
        <v>5.0999999999999996</v>
      </c>
      <c r="R1925">
        <v>15</v>
      </c>
      <c r="S1925" t="s">
        <v>27</v>
      </c>
    </row>
    <row r="1926" spans="1:19" x14ac:dyDescent="0.3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 t="str">
        <f t="shared" si="30"/>
        <v>15-30 days</v>
      </c>
      <c r="L1926">
        <v>21</v>
      </c>
      <c r="M1926">
        <v>4</v>
      </c>
      <c r="N1926">
        <v>1</v>
      </c>
      <c r="O1926" t="s">
        <v>25</v>
      </c>
      <c r="P1926" t="s">
        <v>35</v>
      </c>
      <c r="Q1926">
        <v>7.1</v>
      </c>
      <c r="R1926">
        <v>12</v>
      </c>
      <c r="S1926" t="s">
        <v>36</v>
      </c>
    </row>
    <row r="1927" spans="1:19" x14ac:dyDescent="0.3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 t="str">
        <f t="shared" si="30"/>
        <v>0-7 days</v>
      </c>
      <c r="L1927">
        <v>0</v>
      </c>
      <c r="M1927">
        <v>4</v>
      </c>
      <c r="N1927">
        <v>2</v>
      </c>
      <c r="O1927" t="s">
        <v>25</v>
      </c>
      <c r="P1927" t="s">
        <v>35</v>
      </c>
      <c r="Q1927">
        <v>3.3</v>
      </c>
      <c r="R1927">
        <v>33</v>
      </c>
      <c r="S1927" t="s">
        <v>36</v>
      </c>
    </row>
    <row r="1928" spans="1:19" x14ac:dyDescent="0.3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 t="str">
        <f t="shared" si="30"/>
        <v>15-30 days</v>
      </c>
      <c r="L1928">
        <v>23</v>
      </c>
      <c r="M1928">
        <v>3</v>
      </c>
      <c r="N1928">
        <v>0</v>
      </c>
      <c r="O1928" t="s">
        <v>25</v>
      </c>
      <c r="P1928" t="s">
        <v>35</v>
      </c>
      <c r="Q1928">
        <v>30.4</v>
      </c>
      <c r="R1928">
        <v>22</v>
      </c>
      <c r="S1928" t="s">
        <v>27</v>
      </c>
    </row>
    <row r="1929" spans="1:19" x14ac:dyDescent="0.3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 t="str">
        <f t="shared" si="30"/>
        <v>15-30 days</v>
      </c>
      <c r="L1929">
        <v>17</v>
      </c>
      <c r="M1929">
        <v>2</v>
      </c>
      <c r="N1929">
        <v>0</v>
      </c>
      <c r="O1929" t="s">
        <v>54</v>
      </c>
      <c r="P1929" t="s">
        <v>55</v>
      </c>
      <c r="Q1929">
        <v>5.4</v>
      </c>
      <c r="R1929">
        <v>37</v>
      </c>
      <c r="S1929" t="s">
        <v>36</v>
      </c>
    </row>
    <row r="1930" spans="1:19" x14ac:dyDescent="0.3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 t="str">
        <f t="shared" si="30"/>
        <v>31-60 days</v>
      </c>
      <c r="L1930">
        <v>44</v>
      </c>
      <c r="M1930">
        <v>7</v>
      </c>
      <c r="N1930">
        <v>4</v>
      </c>
      <c r="O1930" t="s">
        <v>54</v>
      </c>
      <c r="P1930" t="s">
        <v>55</v>
      </c>
      <c r="Q1930">
        <v>7.7</v>
      </c>
      <c r="R1930">
        <v>21</v>
      </c>
      <c r="S1930" t="s">
        <v>27</v>
      </c>
    </row>
    <row r="1931" spans="1:19" x14ac:dyDescent="0.3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 t="str">
        <f t="shared" si="30"/>
        <v>31-60 days</v>
      </c>
      <c r="L1931">
        <v>45</v>
      </c>
      <c r="M1931">
        <v>3</v>
      </c>
      <c r="N1931">
        <v>0</v>
      </c>
      <c r="O1931" t="s">
        <v>54</v>
      </c>
      <c r="P1931" t="s">
        <v>55</v>
      </c>
      <c r="Q1931">
        <v>2.4</v>
      </c>
      <c r="R1931">
        <v>31</v>
      </c>
      <c r="S1931" t="s">
        <v>27</v>
      </c>
    </row>
    <row r="1932" spans="1:19" x14ac:dyDescent="0.3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 t="str">
        <f t="shared" si="30"/>
        <v>0-7 days</v>
      </c>
      <c r="L1932">
        <v>5</v>
      </c>
      <c r="M1932">
        <v>3</v>
      </c>
      <c r="N1932">
        <v>1</v>
      </c>
      <c r="O1932" t="s">
        <v>25</v>
      </c>
      <c r="P1932" t="s">
        <v>26</v>
      </c>
      <c r="Q1932">
        <v>9.5</v>
      </c>
      <c r="R1932">
        <v>7</v>
      </c>
      <c r="S1932" t="s">
        <v>71</v>
      </c>
    </row>
    <row r="1933" spans="1:19" x14ac:dyDescent="0.3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 t="str">
        <f t="shared" si="30"/>
        <v>31-60 days</v>
      </c>
      <c r="L1933">
        <v>48</v>
      </c>
      <c r="M1933">
        <v>3</v>
      </c>
      <c r="N1933">
        <v>0</v>
      </c>
      <c r="O1933" t="s">
        <v>25</v>
      </c>
      <c r="P1933" t="s">
        <v>50</v>
      </c>
      <c r="Q1933">
        <v>25.5</v>
      </c>
      <c r="R1933">
        <v>14</v>
      </c>
      <c r="S1933" t="s">
        <v>27</v>
      </c>
    </row>
    <row r="1934" spans="1:19" x14ac:dyDescent="0.3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 t="str">
        <f t="shared" si="30"/>
        <v>0-7 days</v>
      </c>
      <c r="L1934">
        <v>4</v>
      </c>
      <c r="M1934">
        <v>0</v>
      </c>
      <c r="N1934">
        <v>0</v>
      </c>
      <c r="O1934" t="s">
        <v>25</v>
      </c>
      <c r="P1934" t="s">
        <v>26</v>
      </c>
      <c r="Q1934">
        <v>3.6</v>
      </c>
      <c r="R1934">
        <v>22</v>
      </c>
      <c r="S1934" t="s">
        <v>36</v>
      </c>
    </row>
    <row r="1935" spans="1:19" x14ac:dyDescent="0.3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 t="str">
        <f t="shared" si="30"/>
        <v>31-60 days</v>
      </c>
      <c r="L1935">
        <v>37</v>
      </c>
      <c r="M1935">
        <v>3</v>
      </c>
      <c r="N1935">
        <v>1</v>
      </c>
      <c r="O1935" t="s">
        <v>25</v>
      </c>
      <c r="P1935" t="s">
        <v>26</v>
      </c>
      <c r="Q1935">
        <v>9.8000000000000007</v>
      </c>
      <c r="R1935">
        <v>20</v>
      </c>
      <c r="S1935" t="s">
        <v>27</v>
      </c>
    </row>
    <row r="1936" spans="1:19" x14ac:dyDescent="0.3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 t="str">
        <f t="shared" si="30"/>
        <v>15-30 days</v>
      </c>
      <c r="L1936">
        <v>23</v>
      </c>
      <c r="M1936">
        <v>4</v>
      </c>
      <c r="N1936">
        <v>0</v>
      </c>
      <c r="O1936" t="s">
        <v>25</v>
      </c>
      <c r="P1936" t="s">
        <v>35</v>
      </c>
      <c r="Q1936">
        <v>6.3</v>
      </c>
      <c r="R1936">
        <v>51</v>
      </c>
      <c r="S1936" t="s">
        <v>71</v>
      </c>
    </row>
    <row r="1937" spans="1:19" x14ac:dyDescent="0.3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 t="str">
        <f t="shared" si="30"/>
        <v>15-30 days</v>
      </c>
      <c r="L1937">
        <v>18</v>
      </c>
      <c r="M1937">
        <v>2</v>
      </c>
      <c r="N1937">
        <v>1</v>
      </c>
      <c r="O1937" t="s">
        <v>25</v>
      </c>
      <c r="P1937" t="s">
        <v>26</v>
      </c>
      <c r="Q1937">
        <v>8.6</v>
      </c>
      <c r="R1937">
        <v>35</v>
      </c>
      <c r="S1937" t="s">
        <v>36</v>
      </c>
    </row>
    <row r="1938" spans="1:19" x14ac:dyDescent="0.3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 t="str">
        <f t="shared" si="30"/>
        <v>15-30 days</v>
      </c>
      <c r="L1938">
        <v>29</v>
      </c>
      <c r="M1938">
        <v>0</v>
      </c>
      <c r="N1938">
        <v>0</v>
      </c>
      <c r="O1938" t="s">
        <v>25</v>
      </c>
      <c r="P1938" t="s">
        <v>26</v>
      </c>
      <c r="Q1938">
        <v>6.6</v>
      </c>
      <c r="R1938">
        <v>35</v>
      </c>
      <c r="S1938" t="s">
        <v>36</v>
      </c>
    </row>
    <row r="1939" spans="1:19" x14ac:dyDescent="0.3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 t="str">
        <f t="shared" si="30"/>
        <v>15-30 days</v>
      </c>
      <c r="L1939">
        <v>18</v>
      </c>
      <c r="M1939">
        <v>3</v>
      </c>
      <c r="N1939">
        <v>0</v>
      </c>
      <c r="O1939" t="s">
        <v>25</v>
      </c>
      <c r="P1939" t="s">
        <v>26</v>
      </c>
      <c r="Q1939">
        <v>3.1</v>
      </c>
      <c r="R1939">
        <v>22</v>
      </c>
      <c r="S1939" t="s">
        <v>36</v>
      </c>
    </row>
    <row r="1940" spans="1:19" x14ac:dyDescent="0.3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 t="str">
        <f t="shared" si="30"/>
        <v>31-60 days</v>
      </c>
      <c r="L1940">
        <v>48</v>
      </c>
      <c r="M1940">
        <v>4</v>
      </c>
      <c r="N1940">
        <v>0</v>
      </c>
      <c r="O1940" t="s">
        <v>25</v>
      </c>
      <c r="P1940" t="s">
        <v>26</v>
      </c>
      <c r="Q1940">
        <v>10.4</v>
      </c>
      <c r="R1940">
        <v>9</v>
      </c>
      <c r="S1940" t="s">
        <v>27</v>
      </c>
    </row>
    <row r="1941" spans="1:19" x14ac:dyDescent="0.3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 t="str">
        <f t="shared" si="30"/>
        <v>31-60 days</v>
      </c>
      <c r="L1941">
        <v>58</v>
      </c>
      <c r="M1941">
        <v>2</v>
      </c>
      <c r="N1941">
        <v>1</v>
      </c>
      <c r="O1941" t="s">
        <v>54</v>
      </c>
      <c r="P1941" t="s">
        <v>55</v>
      </c>
      <c r="Q1941">
        <v>14.6</v>
      </c>
      <c r="R1941">
        <v>42</v>
      </c>
      <c r="S1941" t="s">
        <v>27</v>
      </c>
    </row>
    <row r="1942" spans="1:19" x14ac:dyDescent="0.3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 t="str">
        <f t="shared" si="30"/>
        <v>31-60 days</v>
      </c>
      <c r="L1942">
        <v>49</v>
      </c>
      <c r="M1942">
        <v>3</v>
      </c>
      <c r="N1942">
        <v>0</v>
      </c>
      <c r="O1942" t="s">
        <v>25</v>
      </c>
      <c r="P1942" t="s">
        <v>35</v>
      </c>
      <c r="Q1942">
        <v>6.4</v>
      </c>
      <c r="R1942">
        <v>6</v>
      </c>
      <c r="S1942" t="s">
        <v>36</v>
      </c>
    </row>
    <row r="1943" spans="1:19" x14ac:dyDescent="0.3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 t="str">
        <f t="shared" si="30"/>
        <v>15-30 days</v>
      </c>
      <c r="L1943">
        <v>26</v>
      </c>
      <c r="M1943">
        <v>3</v>
      </c>
      <c r="N1943">
        <v>0</v>
      </c>
      <c r="O1943" t="s">
        <v>25</v>
      </c>
      <c r="P1943" t="s">
        <v>26</v>
      </c>
      <c r="Q1943">
        <v>17.2</v>
      </c>
      <c r="R1943">
        <v>18</v>
      </c>
      <c r="S1943" t="s">
        <v>36</v>
      </c>
    </row>
    <row r="1944" spans="1:19" x14ac:dyDescent="0.3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 t="str">
        <f t="shared" si="30"/>
        <v>15-30 days</v>
      </c>
      <c r="L1944">
        <v>30</v>
      </c>
      <c r="M1944">
        <v>4</v>
      </c>
      <c r="N1944">
        <v>0</v>
      </c>
      <c r="O1944" t="s">
        <v>25</v>
      </c>
      <c r="P1944" t="s">
        <v>35</v>
      </c>
      <c r="Q1944">
        <v>17.399999999999999</v>
      </c>
      <c r="R1944">
        <v>30</v>
      </c>
      <c r="S1944" t="s">
        <v>36</v>
      </c>
    </row>
    <row r="1945" spans="1:19" x14ac:dyDescent="0.3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 t="str">
        <f t="shared" si="30"/>
        <v>15-30 days</v>
      </c>
      <c r="L1945">
        <v>27</v>
      </c>
      <c r="M1945">
        <v>3</v>
      </c>
      <c r="N1945">
        <v>1</v>
      </c>
      <c r="O1945" t="s">
        <v>25</v>
      </c>
      <c r="P1945" t="s">
        <v>26</v>
      </c>
      <c r="Q1945">
        <v>14.6</v>
      </c>
      <c r="R1945">
        <v>53</v>
      </c>
      <c r="S1945" t="s">
        <v>27</v>
      </c>
    </row>
    <row r="1946" spans="1:19" x14ac:dyDescent="0.3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 t="str">
        <f t="shared" si="30"/>
        <v>31-60 days</v>
      </c>
      <c r="L1946">
        <v>48</v>
      </c>
      <c r="M1946">
        <v>0</v>
      </c>
      <c r="N1946">
        <v>0</v>
      </c>
      <c r="O1946" t="s">
        <v>25</v>
      </c>
      <c r="P1946" t="s">
        <v>35</v>
      </c>
      <c r="Q1946">
        <v>3.9</v>
      </c>
      <c r="R1946">
        <v>43</v>
      </c>
      <c r="S1946" t="s">
        <v>27</v>
      </c>
    </row>
    <row r="1947" spans="1:19" x14ac:dyDescent="0.3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 t="str">
        <f t="shared" si="30"/>
        <v>31-60 days</v>
      </c>
      <c r="L1947">
        <v>33</v>
      </c>
      <c r="M1947">
        <v>1</v>
      </c>
      <c r="N1947">
        <v>1</v>
      </c>
      <c r="O1947" t="s">
        <v>25</v>
      </c>
      <c r="P1947" t="s">
        <v>35</v>
      </c>
      <c r="Q1947">
        <v>12.4</v>
      </c>
      <c r="R1947">
        <v>31</v>
      </c>
      <c r="S1947" t="s">
        <v>27</v>
      </c>
    </row>
    <row r="1948" spans="1:19" x14ac:dyDescent="0.3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 t="str">
        <f t="shared" si="30"/>
        <v>15-30 days</v>
      </c>
      <c r="L1948">
        <v>28</v>
      </c>
      <c r="M1948">
        <v>2</v>
      </c>
      <c r="N1948">
        <v>0</v>
      </c>
      <c r="O1948" t="s">
        <v>25</v>
      </c>
      <c r="P1948" t="s">
        <v>26</v>
      </c>
      <c r="Q1948">
        <v>11.6</v>
      </c>
      <c r="R1948">
        <v>48</v>
      </c>
      <c r="S1948" t="s">
        <v>36</v>
      </c>
    </row>
    <row r="1949" spans="1:19" x14ac:dyDescent="0.3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 t="str">
        <f t="shared" si="30"/>
        <v>15-30 days</v>
      </c>
      <c r="L1949">
        <v>24</v>
      </c>
      <c r="M1949">
        <v>3</v>
      </c>
      <c r="N1949">
        <v>0</v>
      </c>
      <c r="O1949" t="s">
        <v>25</v>
      </c>
      <c r="P1949" t="s">
        <v>35</v>
      </c>
      <c r="Q1949">
        <v>4.5</v>
      </c>
      <c r="R1949">
        <v>19</v>
      </c>
      <c r="S1949" t="s">
        <v>36</v>
      </c>
    </row>
    <row r="1950" spans="1:19" x14ac:dyDescent="0.3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 t="str">
        <f t="shared" si="30"/>
        <v>15-30 days</v>
      </c>
      <c r="L1950">
        <v>22</v>
      </c>
      <c r="M1950">
        <v>3</v>
      </c>
      <c r="N1950">
        <v>0</v>
      </c>
      <c r="O1950" t="s">
        <v>25</v>
      </c>
      <c r="P1950" t="s">
        <v>35</v>
      </c>
      <c r="Q1950">
        <v>6</v>
      </c>
      <c r="R1950">
        <v>29</v>
      </c>
      <c r="S1950" t="s">
        <v>36</v>
      </c>
    </row>
    <row r="1951" spans="1:19" x14ac:dyDescent="0.3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 t="str">
        <f t="shared" si="30"/>
        <v>31-60 days</v>
      </c>
      <c r="L1951">
        <v>33</v>
      </c>
      <c r="M1951">
        <v>5</v>
      </c>
      <c r="N1951">
        <v>0</v>
      </c>
      <c r="O1951" t="s">
        <v>25</v>
      </c>
      <c r="P1951" t="s">
        <v>26</v>
      </c>
      <c r="Q1951">
        <v>8.6999999999999993</v>
      </c>
      <c r="R1951">
        <v>40</v>
      </c>
      <c r="S1951" t="s">
        <v>27</v>
      </c>
    </row>
    <row r="1952" spans="1:19" x14ac:dyDescent="0.3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 t="str">
        <f t="shared" si="30"/>
        <v>31-60 days</v>
      </c>
      <c r="L1952">
        <v>42</v>
      </c>
      <c r="M1952">
        <v>1</v>
      </c>
      <c r="N1952">
        <v>0</v>
      </c>
      <c r="O1952" t="s">
        <v>54</v>
      </c>
      <c r="P1952" t="s">
        <v>55</v>
      </c>
      <c r="Q1952">
        <v>5.8</v>
      </c>
      <c r="R1952">
        <v>9</v>
      </c>
      <c r="S1952" t="s">
        <v>27</v>
      </c>
    </row>
    <row r="1953" spans="1:19" x14ac:dyDescent="0.3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 t="str">
        <f t="shared" si="30"/>
        <v>15-30 days</v>
      </c>
      <c r="L1953">
        <v>26</v>
      </c>
      <c r="M1953">
        <v>3</v>
      </c>
      <c r="N1953">
        <v>2</v>
      </c>
      <c r="O1953" t="s">
        <v>25</v>
      </c>
      <c r="P1953" t="s">
        <v>26</v>
      </c>
      <c r="Q1953">
        <v>7.8</v>
      </c>
      <c r="R1953">
        <v>28</v>
      </c>
      <c r="S1953" t="s">
        <v>27</v>
      </c>
    </row>
    <row r="1954" spans="1:19" x14ac:dyDescent="0.3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 t="str">
        <f t="shared" si="30"/>
        <v>31-60 days</v>
      </c>
      <c r="L1954">
        <v>49</v>
      </c>
      <c r="M1954">
        <v>4</v>
      </c>
      <c r="N1954">
        <v>1</v>
      </c>
      <c r="O1954" t="s">
        <v>25</v>
      </c>
      <c r="P1954" t="s">
        <v>26</v>
      </c>
      <c r="Q1954">
        <v>22.3</v>
      </c>
      <c r="R1954">
        <v>29</v>
      </c>
      <c r="S1954" t="s">
        <v>27</v>
      </c>
    </row>
    <row r="1955" spans="1:19" x14ac:dyDescent="0.3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 t="str">
        <f t="shared" si="30"/>
        <v>31-60 days</v>
      </c>
      <c r="L1955">
        <v>50</v>
      </c>
      <c r="M1955">
        <v>2</v>
      </c>
      <c r="N1955">
        <v>1</v>
      </c>
      <c r="O1955" t="s">
        <v>25</v>
      </c>
      <c r="P1955" t="s">
        <v>35</v>
      </c>
      <c r="Q1955">
        <v>4.8</v>
      </c>
      <c r="R1955">
        <v>29</v>
      </c>
      <c r="S1955" t="s">
        <v>27</v>
      </c>
    </row>
    <row r="1956" spans="1:19" x14ac:dyDescent="0.3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 t="str">
        <f t="shared" si="30"/>
        <v>15-30 days</v>
      </c>
      <c r="L1956">
        <v>26</v>
      </c>
      <c r="M1956">
        <v>4</v>
      </c>
      <c r="N1956">
        <v>1</v>
      </c>
      <c r="O1956" t="s">
        <v>54</v>
      </c>
      <c r="P1956" t="s">
        <v>55</v>
      </c>
      <c r="Q1956">
        <v>4.7</v>
      </c>
      <c r="R1956">
        <v>13</v>
      </c>
      <c r="S1956" t="s">
        <v>71</v>
      </c>
    </row>
    <row r="1957" spans="1:19" x14ac:dyDescent="0.3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 t="str">
        <f t="shared" si="30"/>
        <v>31-60 days</v>
      </c>
      <c r="L1957">
        <v>55</v>
      </c>
      <c r="M1957">
        <v>1</v>
      </c>
      <c r="N1957">
        <v>0</v>
      </c>
      <c r="O1957" t="s">
        <v>25</v>
      </c>
      <c r="P1957" t="s">
        <v>35</v>
      </c>
      <c r="Q1957">
        <v>16.5</v>
      </c>
      <c r="R1957">
        <v>29</v>
      </c>
      <c r="S1957" t="s">
        <v>36</v>
      </c>
    </row>
    <row r="1958" spans="1:19" x14ac:dyDescent="0.3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 t="str">
        <f t="shared" si="30"/>
        <v>8-14 days</v>
      </c>
      <c r="L1958">
        <v>10</v>
      </c>
      <c r="M1958">
        <v>3</v>
      </c>
      <c r="N1958">
        <v>0</v>
      </c>
      <c r="O1958" t="s">
        <v>25</v>
      </c>
      <c r="P1958" t="s">
        <v>26</v>
      </c>
      <c r="Q1958">
        <v>9</v>
      </c>
      <c r="R1958">
        <v>27</v>
      </c>
      <c r="S1958" t="s">
        <v>36</v>
      </c>
    </row>
    <row r="1959" spans="1:19" x14ac:dyDescent="0.3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 t="str">
        <f t="shared" si="30"/>
        <v>31-60 days</v>
      </c>
      <c r="L1959">
        <v>56</v>
      </c>
      <c r="M1959">
        <v>2</v>
      </c>
      <c r="N1959">
        <v>0</v>
      </c>
      <c r="O1959" t="s">
        <v>25</v>
      </c>
      <c r="P1959" t="s">
        <v>35</v>
      </c>
      <c r="Q1959">
        <v>9.6999999999999993</v>
      </c>
      <c r="R1959">
        <v>18</v>
      </c>
      <c r="S1959" t="s">
        <v>27</v>
      </c>
    </row>
    <row r="1960" spans="1:19" x14ac:dyDescent="0.3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 t="str">
        <f t="shared" si="30"/>
        <v>15-30 days</v>
      </c>
      <c r="L1960">
        <v>17</v>
      </c>
      <c r="M1960">
        <v>7</v>
      </c>
      <c r="N1960">
        <v>4</v>
      </c>
      <c r="O1960" t="s">
        <v>54</v>
      </c>
      <c r="P1960" t="s">
        <v>55</v>
      </c>
      <c r="Q1960">
        <v>7.2</v>
      </c>
      <c r="R1960">
        <v>33</v>
      </c>
      <c r="S1960" t="s">
        <v>27</v>
      </c>
    </row>
    <row r="1961" spans="1:19" x14ac:dyDescent="0.3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 t="str">
        <f t="shared" si="30"/>
        <v>31-60 days</v>
      </c>
      <c r="L1961">
        <v>34</v>
      </c>
      <c r="M1961">
        <v>3</v>
      </c>
      <c r="N1961">
        <v>1</v>
      </c>
      <c r="O1961" t="s">
        <v>25</v>
      </c>
      <c r="P1961" t="s">
        <v>26</v>
      </c>
      <c r="Q1961">
        <v>7.2</v>
      </c>
      <c r="R1961">
        <v>39</v>
      </c>
      <c r="S1961" t="s">
        <v>36</v>
      </c>
    </row>
    <row r="1962" spans="1:19" x14ac:dyDescent="0.3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 t="str">
        <f t="shared" si="30"/>
        <v>15-30 days</v>
      </c>
      <c r="L1962">
        <v>17</v>
      </c>
      <c r="M1962">
        <v>5</v>
      </c>
      <c r="N1962">
        <v>1</v>
      </c>
      <c r="O1962" t="s">
        <v>25</v>
      </c>
      <c r="P1962" t="s">
        <v>35</v>
      </c>
      <c r="Q1962">
        <v>8</v>
      </c>
      <c r="R1962">
        <v>16</v>
      </c>
      <c r="S1962" t="s">
        <v>36</v>
      </c>
    </row>
    <row r="1963" spans="1:19" x14ac:dyDescent="0.3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 t="str">
        <f t="shared" si="30"/>
        <v>15-30 days</v>
      </c>
      <c r="L1963">
        <v>26</v>
      </c>
      <c r="M1963">
        <v>3</v>
      </c>
      <c r="N1963">
        <v>0</v>
      </c>
      <c r="O1963" t="s">
        <v>25</v>
      </c>
      <c r="P1963" t="s">
        <v>26</v>
      </c>
      <c r="Q1963">
        <v>9.6999999999999993</v>
      </c>
      <c r="R1963">
        <v>29</v>
      </c>
      <c r="S1963" t="s">
        <v>27</v>
      </c>
    </row>
    <row r="1964" spans="1:19" x14ac:dyDescent="0.3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 t="str">
        <f t="shared" si="30"/>
        <v>15-30 days</v>
      </c>
      <c r="L1964">
        <v>20</v>
      </c>
      <c r="M1964">
        <v>3</v>
      </c>
      <c r="N1964">
        <v>1</v>
      </c>
      <c r="O1964" t="s">
        <v>25</v>
      </c>
      <c r="P1964" t="s">
        <v>35</v>
      </c>
      <c r="Q1964">
        <v>14.5</v>
      </c>
      <c r="R1964">
        <v>39</v>
      </c>
      <c r="S1964" t="s">
        <v>27</v>
      </c>
    </row>
    <row r="1965" spans="1:19" x14ac:dyDescent="0.3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 t="str">
        <f t="shared" si="30"/>
        <v>31-60 days</v>
      </c>
      <c r="L1965">
        <v>43</v>
      </c>
      <c r="M1965">
        <v>2</v>
      </c>
      <c r="N1965">
        <v>1</v>
      </c>
      <c r="O1965" t="s">
        <v>25</v>
      </c>
      <c r="P1965" t="s">
        <v>26</v>
      </c>
      <c r="Q1965">
        <v>4.2</v>
      </c>
      <c r="R1965">
        <v>39</v>
      </c>
      <c r="S1965" t="s">
        <v>27</v>
      </c>
    </row>
    <row r="1966" spans="1:19" x14ac:dyDescent="0.3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 t="str">
        <f t="shared" si="30"/>
        <v>0-7 days</v>
      </c>
      <c r="L1966">
        <v>4</v>
      </c>
      <c r="M1966">
        <v>0</v>
      </c>
      <c r="N1966">
        <v>0</v>
      </c>
      <c r="O1966" t="s">
        <v>25</v>
      </c>
      <c r="P1966" t="s">
        <v>50</v>
      </c>
      <c r="Q1966">
        <v>5</v>
      </c>
      <c r="R1966">
        <v>22</v>
      </c>
      <c r="S1966" t="s">
        <v>27</v>
      </c>
    </row>
    <row r="1967" spans="1:19" x14ac:dyDescent="0.3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 t="str">
        <f t="shared" si="30"/>
        <v>31-60 days</v>
      </c>
      <c r="L1967">
        <v>51</v>
      </c>
      <c r="M1967">
        <v>5</v>
      </c>
      <c r="N1967">
        <v>1</v>
      </c>
      <c r="O1967" t="s">
        <v>25</v>
      </c>
      <c r="P1967" t="s">
        <v>50</v>
      </c>
      <c r="Q1967">
        <v>16.7</v>
      </c>
      <c r="R1967">
        <v>36</v>
      </c>
      <c r="S1967" t="s">
        <v>36</v>
      </c>
    </row>
    <row r="1968" spans="1:19" x14ac:dyDescent="0.3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 t="str">
        <f t="shared" si="30"/>
        <v>31-60 days</v>
      </c>
      <c r="L1968">
        <v>55</v>
      </c>
      <c r="M1968">
        <v>3</v>
      </c>
      <c r="N1968">
        <v>0</v>
      </c>
      <c r="O1968" t="s">
        <v>25</v>
      </c>
      <c r="P1968" t="s">
        <v>35</v>
      </c>
      <c r="Q1968">
        <v>9.3000000000000007</v>
      </c>
      <c r="R1968">
        <v>21</v>
      </c>
      <c r="S1968" t="s">
        <v>27</v>
      </c>
    </row>
    <row r="1969" spans="1:19" x14ac:dyDescent="0.3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 t="str">
        <f t="shared" si="30"/>
        <v>31-60 days</v>
      </c>
      <c r="L1969">
        <v>34</v>
      </c>
      <c r="M1969">
        <v>3</v>
      </c>
      <c r="N1969">
        <v>1</v>
      </c>
      <c r="O1969" t="s">
        <v>25</v>
      </c>
      <c r="P1969" t="s">
        <v>26</v>
      </c>
      <c r="Q1969">
        <v>6.7</v>
      </c>
      <c r="R1969">
        <v>33</v>
      </c>
      <c r="S1969" t="s">
        <v>27</v>
      </c>
    </row>
    <row r="1970" spans="1:19" x14ac:dyDescent="0.3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 t="str">
        <f t="shared" si="30"/>
        <v>31-60 days</v>
      </c>
      <c r="L1970">
        <v>33</v>
      </c>
      <c r="M1970">
        <v>2</v>
      </c>
      <c r="N1970">
        <v>0</v>
      </c>
      <c r="O1970" t="s">
        <v>54</v>
      </c>
      <c r="P1970" t="s">
        <v>55</v>
      </c>
      <c r="Q1970">
        <v>10.6</v>
      </c>
      <c r="R1970">
        <v>16</v>
      </c>
      <c r="S1970" t="s">
        <v>27</v>
      </c>
    </row>
    <row r="1971" spans="1:19" x14ac:dyDescent="0.3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 t="str">
        <f t="shared" si="30"/>
        <v>31-60 days</v>
      </c>
      <c r="L1971">
        <v>42</v>
      </c>
      <c r="M1971">
        <v>8</v>
      </c>
      <c r="N1971">
        <v>1</v>
      </c>
      <c r="O1971" t="s">
        <v>25</v>
      </c>
      <c r="P1971" t="s">
        <v>26</v>
      </c>
      <c r="Q1971">
        <v>5.9</v>
      </c>
      <c r="R1971">
        <v>7</v>
      </c>
      <c r="S1971" t="s">
        <v>27</v>
      </c>
    </row>
    <row r="1972" spans="1:19" x14ac:dyDescent="0.3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 t="str">
        <f t="shared" si="30"/>
        <v>8-14 days</v>
      </c>
      <c r="L1972">
        <v>12</v>
      </c>
      <c r="M1972">
        <v>1</v>
      </c>
      <c r="N1972">
        <v>0</v>
      </c>
      <c r="O1972" t="s">
        <v>25</v>
      </c>
      <c r="P1972" t="s">
        <v>26</v>
      </c>
      <c r="Q1972">
        <v>16.100000000000001</v>
      </c>
      <c r="R1972">
        <v>30</v>
      </c>
      <c r="S1972" t="s">
        <v>27</v>
      </c>
    </row>
    <row r="1973" spans="1:19" x14ac:dyDescent="0.3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 t="str">
        <f t="shared" si="30"/>
        <v>31-60 days</v>
      </c>
      <c r="L1973">
        <v>45</v>
      </c>
      <c r="M1973">
        <v>2</v>
      </c>
      <c r="N1973">
        <v>1</v>
      </c>
      <c r="O1973" t="s">
        <v>25</v>
      </c>
      <c r="P1973" t="s">
        <v>26</v>
      </c>
      <c r="Q1973">
        <v>5.3</v>
      </c>
      <c r="R1973">
        <v>34</v>
      </c>
      <c r="S1973" t="s">
        <v>36</v>
      </c>
    </row>
    <row r="1974" spans="1:19" x14ac:dyDescent="0.3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 t="str">
        <f t="shared" si="30"/>
        <v>8-14 days</v>
      </c>
      <c r="L1974">
        <v>13</v>
      </c>
      <c r="M1974">
        <v>2</v>
      </c>
      <c r="N1974">
        <v>1</v>
      </c>
      <c r="O1974" t="s">
        <v>25</v>
      </c>
      <c r="P1974" t="s">
        <v>35</v>
      </c>
      <c r="Q1974">
        <v>5.8</v>
      </c>
      <c r="R1974">
        <v>32</v>
      </c>
      <c r="S1974" t="s">
        <v>27</v>
      </c>
    </row>
    <row r="1975" spans="1:19" x14ac:dyDescent="0.3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 t="str">
        <f t="shared" si="30"/>
        <v>31-60 days</v>
      </c>
      <c r="L1975">
        <v>41</v>
      </c>
      <c r="M1975">
        <v>1</v>
      </c>
      <c r="N1975">
        <v>0</v>
      </c>
      <c r="O1975" t="s">
        <v>25</v>
      </c>
      <c r="P1975" t="s">
        <v>26</v>
      </c>
      <c r="Q1975">
        <v>6.5</v>
      </c>
      <c r="R1975">
        <v>15</v>
      </c>
      <c r="S1975" t="s">
        <v>27</v>
      </c>
    </row>
    <row r="1976" spans="1:19" x14ac:dyDescent="0.3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 t="str">
        <f t="shared" si="30"/>
        <v>15-30 days</v>
      </c>
      <c r="L1976">
        <v>18</v>
      </c>
      <c r="M1976">
        <v>2</v>
      </c>
      <c r="N1976">
        <v>0</v>
      </c>
      <c r="O1976" t="s">
        <v>25</v>
      </c>
      <c r="P1976" t="s">
        <v>26</v>
      </c>
      <c r="Q1976">
        <v>11.6</v>
      </c>
      <c r="R1976">
        <v>2</v>
      </c>
      <c r="S1976" t="s">
        <v>36</v>
      </c>
    </row>
    <row r="1977" spans="1:19" x14ac:dyDescent="0.3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 t="str">
        <f t="shared" si="30"/>
        <v>31-60 days</v>
      </c>
      <c r="L1977">
        <v>45</v>
      </c>
      <c r="M1977">
        <v>4</v>
      </c>
      <c r="N1977">
        <v>0</v>
      </c>
      <c r="O1977" t="s">
        <v>25</v>
      </c>
      <c r="P1977" t="s">
        <v>26</v>
      </c>
      <c r="Q1977">
        <v>17.3</v>
      </c>
      <c r="R1977">
        <v>34</v>
      </c>
      <c r="S1977" t="s">
        <v>36</v>
      </c>
    </row>
    <row r="1978" spans="1:19" x14ac:dyDescent="0.3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 t="str">
        <f t="shared" si="30"/>
        <v>31-60 days</v>
      </c>
      <c r="L1978">
        <v>48</v>
      </c>
      <c r="M1978">
        <v>1</v>
      </c>
      <c r="N1978">
        <v>0</v>
      </c>
      <c r="O1978" t="s">
        <v>54</v>
      </c>
      <c r="P1978" t="s">
        <v>55</v>
      </c>
      <c r="Q1978">
        <v>12.4</v>
      </c>
      <c r="R1978">
        <v>40</v>
      </c>
      <c r="S1978" t="s">
        <v>27</v>
      </c>
    </row>
    <row r="1979" spans="1:19" x14ac:dyDescent="0.3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 t="str">
        <f t="shared" si="30"/>
        <v>8-14 days</v>
      </c>
      <c r="L1979">
        <v>12</v>
      </c>
      <c r="M1979">
        <v>3</v>
      </c>
      <c r="N1979">
        <v>1</v>
      </c>
      <c r="O1979" t="s">
        <v>25</v>
      </c>
      <c r="P1979" t="s">
        <v>35</v>
      </c>
      <c r="Q1979">
        <v>14.6</v>
      </c>
      <c r="R1979">
        <v>3</v>
      </c>
      <c r="S1979" t="s">
        <v>36</v>
      </c>
    </row>
    <row r="1980" spans="1:19" x14ac:dyDescent="0.3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 t="str">
        <f t="shared" si="30"/>
        <v>31-60 days</v>
      </c>
      <c r="L1980">
        <v>37</v>
      </c>
      <c r="M1980">
        <v>1</v>
      </c>
      <c r="N1980">
        <v>0</v>
      </c>
      <c r="O1980" t="s">
        <v>54</v>
      </c>
      <c r="P1980" t="s">
        <v>55</v>
      </c>
      <c r="Q1980">
        <v>2.5</v>
      </c>
      <c r="R1980">
        <v>21</v>
      </c>
      <c r="S1980" t="s">
        <v>27</v>
      </c>
    </row>
    <row r="1981" spans="1:19" x14ac:dyDescent="0.3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 t="str">
        <f t="shared" si="30"/>
        <v>15-30 days</v>
      </c>
      <c r="L1981">
        <v>30</v>
      </c>
      <c r="M1981">
        <v>3</v>
      </c>
      <c r="N1981">
        <v>0</v>
      </c>
      <c r="O1981" t="s">
        <v>54</v>
      </c>
      <c r="P1981" t="s">
        <v>55</v>
      </c>
      <c r="Q1981">
        <v>2.4</v>
      </c>
      <c r="R1981">
        <v>14</v>
      </c>
      <c r="S1981" t="s">
        <v>27</v>
      </c>
    </row>
    <row r="1982" spans="1:19" x14ac:dyDescent="0.3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 t="str">
        <f t="shared" si="30"/>
        <v>15-30 days</v>
      </c>
      <c r="L1982">
        <v>17</v>
      </c>
      <c r="M1982">
        <v>1</v>
      </c>
      <c r="N1982">
        <v>0</v>
      </c>
      <c r="O1982" t="s">
        <v>25</v>
      </c>
      <c r="P1982" t="s">
        <v>26</v>
      </c>
      <c r="Q1982">
        <v>3.1</v>
      </c>
      <c r="R1982">
        <v>27</v>
      </c>
      <c r="S1982" t="s">
        <v>71</v>
      </c>
    </row>
    <row r="1983" spans="1:19" x14ac:dyDescent="0.3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 t="str">
        <f t="shared" si="30"/>
        <v>31-60 days</v>
      </c>
      <c r="L1983">
        <v>35</v>
      </c>
      <c r="M1983">
        <v>3</v>
      </c>
      <c r="N1983">
        <v>0</v>
      </c>
      <c r="O1983" t="s">
        <v>54</v>
      </c>
      <c r="P1983" t="s">
        <v>55</v>
      </c>
      <c r="Q1983">
        <v>8.1999999999999993</v>
      </c>
      <c r="R1983">
        <v>39</v>
      </c>
      <c r="S1983" t="s">
        <v>36</v>
      </c>
    </row>
    <row r="1984" spans="1:19" x14ac:dyDescent="0.3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 t="str">
        <f t="shared" si="30"/>
        <v>31-60 days</v>
      </c>
      <c r="L1984">
        <v>60</v>
      </c>
      <c r="M1984">
        <v>1</v>
      </c>
      <c r="N1984">
        <v>0</v>
      </c>
      <c r="O1984" t="s">
        <v>25</v>
      </c>
      <c r="P1984" t="s">
        <v>26</v>
      </c>
      <c r="Q1984">
        <v>6.2</v>
      </c>
      <c r="R1984">
        <v>21</v>
      </c>
      <c r="S1984" t="s">
        <v>27</v>
      </c>
    </row>
    <row r="1985" spans="1:19" x14ac:dyDescent="0.3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 t="str">
        <f t="shared" si="30"/>
        <v>0-7 days</v>
      </c>
      <c r="L1985">
        <v>0</v>
      </c>
      <c r="M1985">
        <v>5</v>
      </c>
      <c r="N1985">
        <v>2</v>
      </c>
      <c r="O1985" t="s">
        <v>25</v>
      </c>
      <c r="P1985" t="s">
        <v>35</v>
      </c>
      <c r="Q1985">
        <v>3.2</v>
      </c>
      <c r="R1985">
        <v>18</v>
      </c>
      <c r="S1985" t="s">
        <v>27</v>
      </c>
    </row>
    <row r="1986" spans="1:19" x14ac:dyDescent="0.3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 t="str">
        <f t="shared" si="30"/>
        <v>31-60 days</v>
      </c>
      <c r="L1986">
        <v>58</v>
      </c>
      <c r="M1986">
        <v>3</v>
      </c>
      <c r="N1986">
        <v>0</v>
      </c>
      <c r="O1986" t="s">
        <v>25</v>
      </c>
      <c r="P1986" t="s">
        <v>50</v>
      </c>
      <c r="Q1986">
        <v>0.5</v>
      </c>
      <c r="R1986">
        <v>28</v>
      </c>
      <c r="S1986" t="s">
        <v>27</v>
      </c>
    </row>
    <row r="1987" spans="1:19" x14ac:dyDescent="0.3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 t="str">
        <f t="shared" ref="K1987:K2050" si="31">IF(L1987&lt;=7,"0-7 days",IF(L1987&lt;=14,"8-14 days",IF(L1987&lt;=30,"15-30 days","31-60 days")))</f>
        <v>31-60 days</v>
      </c>
      <c r="L1987">
        <v>52</v>
      </c>
      <c r="M1987">
        <v>6</v>
      </c>
      <c r="N1987">
        <v>0</v>
      </c>
      <c r="O1987" t="s">
        <v>25</v>
      </c>
      <c r="P1987" t="s">
        <v>35</v>
      </c>
      <c r="Q1987">
        <v>12.1</v>
      </c>
      <c r="R1987">
        <v>2</v>
      </c>
      <c r="S1987" t="s">
        <v>36</v>
      </c>
    </row>
    <row r="1988" spans="1:19" x14ac:dyDescent="0.3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 t="str">
        <f t="shared" si="31"/>
        <v>31-60 days</v>
      </c>
      <c r="L1988">
        <v>32</v>
      </c>
      <c r="M1988">
        <v>5</v>
      </c>
      <c r="N1988">
        <v>1</v>
      </c>
      <c r="O1988" t="s">
        <v>25</v>
      </c>
      <c r="P1988" t="s">
        <v>35</v>
      </c>
      <c r="Q1988">
        <v>19.2</v>
      </c>
      <c r="R1988">
        <v>33</v>
      </c>
      <c r="S1988" t="s">
        <v>27</v>
      </c>
    </row>
    <row r="1989" spans="1:19" x14ac:dyDescent="0.3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 t="str">
        <f t="shared" si="31"/>
        <v>31-60 days</v>
      </c>
      <c r="L1989">
        <v>37</v>
      </c>
      <c r="M1989">
        <v>2</v>
      </c>
      <c r="N1989">
        <v>0</v>
      </c>
      <c r="O1989" t="s">
        <v>25</v>
      </c>
      <c r="P1989" t="s">
        <v>35</v>
      </c>
      <c r="Q1989">
        <v>14.9</v>
      </c>
      <c r="R1989">
        <v>36</v>
      </c>
      <c r="S1989" t="s">
        <v>27</v>
      </c>
    </row>
    <row r="1990" spans="1:19" x14ac:dyDescent="0.3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 t="str">
        <f t="shared" si="31"/>
        <v>15-30 days</v>
      </c>
      <c r="L1990">
        <v>22</v>
      </c>
      <c r="M1990">
        <v>5</v>
      </c>
      <c r="N1990">
        <v>1</v>
      </c>
      <c r="O1990" t="s">
        <v>25</v>
      </c>
      <c r="P1990" t="s">
        <v>50</v>
      </c>
      <c r="Q1990">
        <v>7.9</v>
      </c>
      <c r="R1990">
        <v>24</v>
      </c>
      <c r="S1990" t="s">
        <v>27</v>
      </c>
    </row>
    <row r="1991" spans="1:19" x14ac:dyDescent="0.3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 t="str">
        <f t="shared" si="31"/>
        <v>0-7 days</v>
      </c>
      <c r="L1991">
        <v>7</v>
      </c>
      <c r="M1991">
        <v>1</v>
      </c>
      <c r="N1991">
        <v>1</v>
      </c>
      <c r="O1991" t="s">
        <v>25</v>
      </c>
      <c r="P1991" t="s">
        <v>35</v>
      </c>
      <c r="Q1991">
        <v>9.9</v>
      </c>
      <c r="R1991">
        <v>19</v>
      </c>
      <c r="S1991" t="s">
        <v>36</v>
      </c>
    </row>
    <row r="1992" spans="1:19" x14ac:dyDescent="0.3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 t="str">
        <f t="shared" si="31"/>
        <v>31-60 days</v>
      </c>
      <c r="L1992">
        <v>34</v>
      </c>
      <c r="M1992">
        <v>2</v>
      </c>
      <c r="N1992">
        <v>0</v>
      </c>
      <c r="O1992" t="s">
        <v>25</v>
      </c>
      <c r="P1992" t="s">
        <v>26</v>
      </c>
      <c r="Q1992">
        <v>5.3</v>
      </c>
      <c r="R1992">
        <v>21</v>
      </c>
      <c r="S1992" t="s">
        <v>36</v>
      </c>
    </row>
    <row r="1993" spans="1:19" x14ac:dyDescent="0.3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 t="str">
        <f t="shared" si="31"/>
        <v>31-60 days</v>
      </c>
      <c r="L1993">
        <v>49</v>
      </c>
      <c r="M1993">
        <v>5</v>
      </c>
      <c r="N1993">
        <v>2</v>
      </c>
      <c r="O1993" t="s">
        <v>25</v>
      </c>
      <c r="P1993" t="s">
        <v>35</v>
      </c>
      <c r="Q1993">
        <v>8.5</v>
      </c>
      <c r="R1993">
        <v>21</v>
      </c>
      <c r="S1993" t="s">
        <v>36</v>
      </c>
    </row>
    <row r="1994" spans="1:19" x14ac:dyDescent="0.3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 t="str">
        <f t="shared" si="31"/>
        <v>8-14 days</v>
      </c>
      <c r="L1994">
        <v>14</v>
      </c>
      <c r="M1994">
        <v>1</v>
      </c>
      <c r="N1994">
        <v>0</v>
      </c>
      <c r="O1994" t="s">
        <v>54</v>
      </c>
      <c r="P1994" t="s">
        <v>55</v>
      </c>
      <c r="Q1994">
        <v>8.1</v>
      </c>
      <c r="R1994">
        <v>23</v>
      </c>
      <c r="S1994" t="s">
        <v>27</v>
      </c>
    </row>
    <row r="1995" spans="1:19" x14ac:dyDescent="0.3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 t="str">
        <f t="shared" si="31"/>
        <v>31-60 days</v>
      </c>
      <c r="L1995">
        <v>43</v>
      </c>
      <c r="M1995">
        <v>5</v>
      </c>
      <c r="N1995">
        <v>1</v>
      </c>
      <c r="O1995" t="s">
        <v>54</v>
      </c>
      <c r="P1995" t="s">
        <v>55</v>
      </c>
      <c r="Q1995">
        <v>11.1</v>
      </c>
      <c r="R1995">
        <v>7</v>
      </c>
      <c r="S1995" t="s">
        <v>27</v>
      </c>
    </row>
    <row r="1996" spans="1:19" x14ac:dyDescent="0.3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 t="str">
        <f t="shared" si="31"/>
        <v>31-60 days</v>
      </c>
      <c r="L1996">
        <v>45</v>
      </c>
      <c r="M1996">
        <v>0</v>
      </c>
      <c r="N1996">
        <v>0</v>
      </c>
      <c r="O1996" t="s">
        <v>25</v>
      </c>
      <c r="P1996" t="s">
        <v>35</v>
      </c>
      <c r="Q1996">
        <v>5.0999999999999996</v>
      </c>
      <c r="R1996">
        <v>29</v>
      </c>
      <c r="S1996" t="s">
        <v>27</v>
      </c>
    </row>
    <row r="1997" spans="1:19" x14ac:dyDescent="0.3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 t="str">
        <f t="shared" si="31"/>
        <v>31-60 days</v>
      </c>
      <c r="L1997">
        <v>46</v>
      </c>
      <c r="M1997">
        <v>3</v>
      </c>
      <c r="N1997">
        <v>1</v>
      </c>
      <c r="O1997" t="s">
        <v>54</v>
      </c>
      <c r="P1997" t="s">
        <v>55</v>
      </c>
      <c r="Q1997">
        <v>30</v>
      </c>
      <c r="R1997">
        <v>20</v>
      </c>
      <c r="S1997" t="s">
        <v>27</v>
      </c>
    </row>
    <row r="1998" spans="1:19" x14ac:dyDescent="0.3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 t="str">
        <f t="shared" si="31"/>
        <v>15-30 days</v>
      </c>
      <c r="L1998">
        <v>20</v>
      </c>
      <c r="M1998">
        <v>3</v>
      </c>
      <c r="N1998">
        <v>3</v>
      </c>
      <c r="O1998" t="s">
        <v>54</v>
      </c>
      <c r="P1998" t="s">
        <v>55</v>
      </c>
      <c r="Q1998">
        <v>3.5</v>
      </c>
      <c r="R1998">
        <v>24</v>
      </c>
      <c r="S1998" t="s">
        <v>27</v>
      </c>
    </row>
    <row r="1999" spans="1:19" x14ac:dyDescent="0.3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 t="str">
        <f t="shared" si="31"/>
        <v>15-30 days</v>
      </c>
      <c r="L1999">
        <v>23</v>
      </c>
      <c r="M1999">
        <v>4</v>
      </c>
      <c r="N1999">
        <v>0</v>
      </c>
      <c r="O1999" t="s">
        <v>25</v>
      </c>
      <c r="P1999" t="s">
        <v>35</v>
      </c>
      <c r="Q1999">
        <v>9.9</v>
      </c>
      <c r="R1999">
        <v>18</v>
      </c>
      <c r="S1999" t="s">
        <v>36</v>
      </c>
    </row>
    <row r="2000" spans="1:19" x14ac:dyDescent="0.3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 t="str">
        <f t="shared" si="31"/>
        <v>15-30 days</v>
      </c>
      <c r="L2000">
        <v>25</v>
      </c>
      <c r="M2000">
        <v>5</v>
      </c>
      <c r="N2000">
        <v>2</v>
      </c>
      <c r="O2000" t="s">
        <v>54</v>
      </c>
      <c r="P2000" t="s">
        <v>55</v>
      </c>
      <c r="Q2000">
        <v>13.3</v>
      </c>
      <c r="R2000">
        <v>28</v>
      </c>
      <c r="S2000" t="s">
        <v>36</v>
      </c>
    </row>
    <row r="2001" spans="1:19" x14ac:dyDescent="0.3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 t="str">
        <f t="shared" si="31"/>
        <v>31-60 days</v>
      </c>
      <c r="L2001">
        <v>52</v>
      </c>
      <c r="M2001">
        <v>4</v>
      </c>
      <c r="N2001">
        <v>1</v>
      </c>
      <c r="O2001" t="s">
        <v>54</v>
      </c>
      <c r="P2001" t="s">
        <v>55</v>
      </c>
      <c r="Q2001">
        <v>3.7</v>
      </c>
      <c r="R2001">
        <v>39</v>
      </c>
      <c r="S2001" t="s">
        <v>36</v>
      </c>
    </row>
    <row r="2002" spans="1:19" x14ac:dyDescent="0.3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 t="str">
        <f t="shared" si="31"/>
        <v>31-60 days</v>
      </c>
      <c r="L2002">
        <v>54</v>
      </c>
      <c r="M2002">
        <v>3</v>
      </c>
      <c r="N2002">
        <v>2</v>
      </c>
      <c r="O2002" t="s">
        <v>54</v>
      </c>
      <c r="P2002" t="s">
        <v>55</v>
      </c>
      <c r="Q2002">
        <v>2.2000000000000002</v>
      </c>
      <c r="R2002">
        <v>26</v>
      </c>
      <c r="S2002" t="s">
        <v>27</v>
      </c>
    </row>
    <row r="2003" spans="1:19" x14ac:dyDescent="0.3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 t="str">
        <f t="shared" si="31"/>
        <v>15-30 days</v>
      </c>
      <c r="L2003">
        <v>25</v>
      </c>
      <c r="M2003">
        <v>1</v>
      </c>
      <c r="N2003">
        <v>0</v>
      </c>
      <c r="O2003" t="s">
        <v>25</v>
      </c>
      <c r="P2003" t="s">
        <v>35</v>
      </c>
      <c r="Q2003">
        <v>13.4</v>
      </c>
      <c r="R2003">
        <v>6</v>
      </c>
      <c r="S2003" t="s">
        <v>27</v>
      </c>
    </row>
    <row r="2004" spans="1:19" x14ac:dyDescent="0.3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 t="str">
        <f t="shared" si="31"/>
        <v>31-60 days</v>
      </c>
      <c r="L2004">
        <v>59</v>
      </c>
      <c r="M2004">
        <v>7</v>
      </c>
      <c r="N2004">
        <v>2</v>
      </c>
      <c r="O2004" t="s">
        <v>54</v>
      </c>
      <c r="P2004" t="s">
        <v>55</v>
      </c>
      <c r="Q2004">
        <v>30.3</v>
      </c>
      <c r="R2004">
        <v>24</v>
      </c>
      <c r="S2004" t="s">
        <v>36</v>
      </c>
    </row>
    <row r="2005" spans="1:19" x14ac:dyDescent="0.3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 t="str">
        <f t="shared" si="31"/>
        <v>31-60 days</v>
      </c>
      <c r="L2005">
        <v>34</v>
      </c>
      <c r="M2005">
        <v>4</v>
      </c>
      <c r="N2005">
        <v>2</v>
      </c>
      <c r="O2005" t="s">
        <v>25</v>
      </c>
      <c r="P2005" t="s">
        <v>35</v>
      </c>
      <c r="Q2005">
        <v>1.7</v>
      </c>
      <c r="R2005">
        <v>26</v>
      </c>
      <c r="S2005" t="s">
        <v>36</v>
      </c>
    </row>
    <row r="2006" spans="1:19" x14ac:dyDescent="0.3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 t="str">
        <f t="shared" si="31"/>
        <v>15-30 days</v>
      </c>
      <c r="L2006">
        <v>23</v>
      </c>
      <c r="M2006">
        <v>4</v>
      </c>
      <c r="N2006">
        <v>1</v>
      </c>
      <c r="O2006" t="s">
        <v>54</v>
      </c>
      <c r="P2006" t="s">
        <v>55</v>
      </c>
      <c r="Q2006">
        <v>30.2</v>
      </c>
      <c r="R2006">
        <v>23</v>
      </c>
      <c r="S2006" t="s">
        <v>27</v>
      </c>
    </row>
    <row r="2007" spans="1:19" x14ac:dyDescent="0.3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 t="str">
        <f t="shared" si="31"/>
        <v>0-7 days</v>
      </c>
      <c r="L2007">
        <v>0</v>
      </c>
      <c r="M2007">
        <v>9</v>
      </c>
      <c r="N2007">
        <v>3</v>
      </c>
      <c r="O2007" t="s">
        <v>25</v>
      </c>
      <c r="P2007" t="s">
        <v>35</v>
      </c>
      <c r="Q2007">
        <v>13.7</v>
      </c>
      <c r="R2007">
        <v>16</v>
      </c>
      <c r="S2007" t="s">
        <v>36</v>
      </c>
    </row>
    <row r="2008" spans="1:19" x14ac:dyDescent="0.3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 t="str">
        <f t="shared" si="31"/>
        <v>31-60 days</v>
      </c>
      <c r="L2008">
        <v>37</v>
      </c>
      <c r="M2008">
        <v>1</v>
      </c>
      <c r="N2008">
        <v>0</v>
      </c>
      <c r="O2008" t="s">
        <v>54</v>
      </c>
      <c r="P2008" t="s">
        <v>55</v>
      </c>
      <c r="Q2008">
        <v>8.4</v>
      </c>
      <c r="R2008">
        <v>23</v>
      </c>
      <c r="S2008" t="s">
        <v>27</v>
      </c>
    </row>
    <row r="2009" spans="1:19" x14ac:dyDescent="0.3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 t="str">
        <f t="shared" si="31"/>
        <v>31-60 days</v>
      </c>
      <c r="L2009">
        <v>39</v>
      </c>
      <c r="M2009">
        <v>6</v>
      </c>
      <c r="N2009">
        <v>0</v>
      </c>
      <c r="O2009" t="s">
        <v>54</v>
      </c>
      <c r="P2009" t="s">
        <v>55</v>
      </c>
      <c r="Q2009">
        <v>14.9</v>
      </c>
      <c r="R2009">
        <v>33</v>
      </c>
      <c r="S2009" t="s">
        <v>36</v>
      </c>
    </row>
    <row r="2010" spans="1:19" x14ac:dyDescent="0.3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 t="str">
        <f t="shared" si="31"/>
        <v>31-60 days</v>
      </c>
      <c r="L2010">
        <v>59</v>
      </c>
      <c r="M2010">
        <v>5</v>
      </c>
      <c r="N2010">
        <v>1</v>
      </c>
      <c r="O2010" t="s">
        <v>25</v>
      </c>
      <c r="P2010" t="s">
        <v>50</v>
      </c>
      <c r="Q2010">
        <v>17.7</v>
      </c>
      <c r="R2010">
        <v>21</v>
      </c>
      <c r="S2010" t="s">
        <v>27</v>
      </c>
    </row>
    <row r="2011" spans="1:19" x14ac:dyDescent="0.3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 t="str">
        <f t="shared" si="31"/>
        <v>31-60 days</v>
      </c>
      <c r="L2011">
        <v>43</v>
      </c>
      <c r="M2011">
        <v>5</v>
      </c>
      <c r="N2011">
        <v>0</v>
      </c>
      <c r="O2011" t="s">
        <v>25</v>
      </c>
      <c r="P2011" t="s">
        <v>35</v>
      </c>
      <c r="Q2011">
        <v>7.5</v>
      </c>
      <c r="R2011">
        <v>39</v>
      </c>
      <c r="S2011" t="s">
        <v>36</v>
      </c>
    </row>
    <row r="2012" spans="1:19" x14ac:dyDescent="0.3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 t="str">
        <f t="shared" si="31"/>
        <v>0-7 days</v>
      </c>
      <c r="L2012">
        <v>1</v>
      </c>
      <c r="M2012">
        <v>2</v>
      </c>
      <c r="N2012">
        <v>0</v>
      </c>
      <c r="O2012" t="s">
        <v>25</v>
      </c>
      <c r="P2012" t="s">
        <v>35</v>
      </c>
      <c r="Q2012">
        <v>35.700000000000003</v>
      </c>
      <c r="R2012">
        <v>17</v>
      </c>
      <c r="S2012" t="s">
        <v>27</v>
      </c>
    </row>
    <row r="2013" spans="1:19" x14ac:dyDescent="0.3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 t="str">
        <f t="shared" si="31"/>
        <v>31-60 days</v>
      </c>
      <c r="L2013">
        <v>34</v>
      </c>
      <c r="M2013">
        <v>4</v>
      </c>
      <c r="N2013">
        <v>2</v>
      </c>
      <c r="O2013" t="s">
        <v>25</v>
      </c>
      <c r="P2013" t="s">
        <v>35</v>
      </c>
      <c r="Q2013">
        <v>29.6</v>
      </c>
      <c r="R2013">
        <v>13</v>
      </c>
      <c r="S2013" t="s">
        <v>27</v>
      </c>
    </row>
    <row r="2014" spans="1:19" x14ac:dyDescent="0.3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 t="str">
        <f t="shared" si="31"/>
        <v>31-60 days</v>
      </c>
      <c r="L2014">
        <v>45</v>
      </c>
      <c r="M2014">
        <v>7</v>
      </c>
      <c r="N2014">
        <v>1</v>
      </c>
      <c r="O2014" t="s">
        <v>54</v>
      </c>
      <c r="P2014" t="s">
        <v>55</v>
      </c>
      <c r="Q2014">
        <v>5.6</v>
      </c>
      <c r="R2014">
        <v>21</v>
      </c>
      <c r="S2014" t="s">
        <v>27</v>
      </c>
    </row>
    <row r="2015" spans="1:19" x14ac:dyDescent="0.3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 t="str">
        <f t="shared" si="31"/>
        <v>15-30 days</v>
      </c>
      <c r="L2015">
        <v>30</v>
      </c>
      <c r="M2015">
        <v>3</v>
      </c>
      <c r="N2015">
        <v>2</v>
      </c>
      <c r="O2015" t="s">
        <v>54</v>
      </c>
      <c r="P2015" t="s">
        <v>55</v>
      </c>
      <c r="Q2015">
        <v>10.6</v>
      </c>
      <c r="R2015">
        <v>2</v>
      </c>
      <c r="S2015" t="s">
        <v>27</v>
      </c>
    </row>
    <row r="2016" spans="1:19" x14ac:dyDescent="0.3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 t="str">
        <f t="shared" si="31"/>
        <v>15-30 days</v>
      </c>
      <c r="L2016">
        <v>26</v>
      </c>
      <c r="M2016">
        <v>2</v>
      </c>
      <c r="N2016">
        <v>0</v>
      </c>
      <c r="O2016" t="s">
        <v>54</v>
      </c>
      <c r="P2016" t="s">
        <v>55</v>
      </c>
      <c r="Q2016">
        <v>3.6</v>
      </c>
      <c r="R2016">
        <v>24</v>
      </c>
      <c r="S2016" t="s">
        <v>27</v>
      </c>
    </row>
    <row r="2017" spans="1:19" x14ac:dyDescent="0.3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 t="str">
        <f t="shared" si="31"/>
        <v>31-60 days</v>
      </c>
      <c r="L2017">
        <v>49</v>
      </c>
      <c r="M2017">
        <v>5</v>
      </c>
      <c r="N2017">
        <v>0</v>
      </c>
      <c r="O2017" t="s">
        <v>54</v>
      </c>
      <c r="P2017" t="s">
        <v>55</v>
      </c>
      <c r="Q2017">
        <v>2.9</v>
      </c>
      <c r="R2017">
        <v>20</v>
      </c>
      <c r="S2017" t="s">
        <v>36</v>
      </c>
    </row>
    <row r="2018" spans="1:19" x14ac:dyDescent="0.3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 t="str">
        <f t="shared" si="31"/>
        <v>31-60 days</v>
      </c>
      <c r="L2018">
        <v>37</v>
      </c>
      <c r="M2018">
        <v>2</v>
      </c>
      <c r="N2018">
        <v>0</v>
      </c>
      <c r="O2018" t="s">
        <v>25</v>
      </c>
      <c r="P2018" t="s">
        <v>26</v>
      </c>
      <c r="Q2018">
        <v>6.9</v>
      </c>
      <c r="R2018">
        <v>32</v>
      </c>
      <c r="S2018" t="s">
        <v>27</v>
      </c>
    </row>
    <row r="2019" spans="1:19" x14ac:dyDescent="0.3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 t="str">
        <f t="shared" si="31"/>
        <v>31-60 days</v>
      </c>
      <c r="L2019">
        <v>41</v>
      </c>
      <c r="M2019">
        <v>4</v>
      </c>
      <c r="N2019">
        <v>2</v>
      </c>
      <c r="O2019" t="s">
        <v>25</v>
      </c>
      <c r="P2019" t="s">
        <v>26</v>
      </c>
      <c r="Q2019">
        <v>10.3</v>
      </c>
      <c r="R2019">
        <v>5</v>
      </c>
      <c r="S2019" t="s">
        <v>27</v>
      </c>
    </row>
    <row r="2020" spans="1:19" x14ac:dyDescent="0.3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 t="str">
        <f t="shared" si="31"/>
        <v>15-30 days</v>
      </c>
      <c r="L2020">
        <v>28</v>
      </c>
      <c r="M2020">
        <v>1</v>
      </c>
      <c r="N2020">
        <v>0</v>
      </c>
      <c r="O2020" t="s">
        <v>25</v>
      </c>
      <c r="P2020" t="s">
        <v>35</v>
      </c>
      <c r="Q2020">
        <v>4.5</v>
      </c>
      <c r="R2020">
        <v>32</v>
      </c>
      <c r="S2020" t="s">
        <v>27</v>
      </c>
    </row>
    <row r="2021" spans="1:19" x14ac:dyDescent="0.3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 t="str">
        <f t="shared" si="31"/>
        <v>15-30 days</v>
      </c>
      <c r="L2021">
        <v>16</v>
      </c>
      <c r="M2021">
        <v>3</v>
      </c>
      <c r="N2021">
        <v>2</v>
      </c>
      <c r="O2021" t="s">
        <v>25</v>
      </c>
      <c r="P2021" t="s">
        <v>26</v>
      </c>
      <c r="Q2021">
        <v>14.6</v>
      </c>
      <c r="R2021">
        <v>26</v>
      </c>
      <c r="S2021" t="s">
        <v>36</v>
      </c>
    </row>
    <row r="2022" spans="1:19" x14ac:dyDescent="0.3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 t="str">
        <f t="shared" si="31"/>
        <v>31-60 days</v>
      </c>
      <c r="L2022">
        <v>31</v>
      </c>
      <c r="M2022">
        <v>3</v>
      </c>
      <c r="N2022">
        <v>0</v>
      </c>
      <c r="O2022" t="s">
        <v>54</v>
      </c>
      <c r="P2022" t="s">
        <v>55</v>
      </c>
      <c r="Q2022">
        <v>10.9</v>
      </c>
      <c r="R2022">
        <v>41</v>
      </c>
      <c r="S2022" t="s">
        <v>27</v>
      </c>
    </row>
    <row r="2023" spans="1:19" x14ac:dyDescent="0.3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 t="str">
        <f t="shared" si="31"/>
        <v>31-60 days</v>
      </c>
      <c r="L2023">
        <v>58</v>
      </c>
      <c r="M2023">
        <v>5</v>
      </c>
      <c r="N2023">
        <v>0</v>
      </c>
      <c r="O2023" t="s">
        <v>54</v>
      </c>
      <c r="P2023" t="s">
        <v>55</v>
      </c>
      <c r="Q2023">
        <v>8.9</v>
      </c>
      <c r="R2023">
        <v>22</v>
      </c>
      <c r="S2023" t="s">
        <v>27</v>
      </c>
    </row>
    <row r="2024" spans="1:19" x14ac:dyDescent="0.3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 t="str">
        <f t="shared" si="31"/>
        <v>31-60 days</v>
      </c>
      <c r="L2024">
        <v>36</v>
      </c>
      <c r="M2024">
        <v>4</v>
      </c>
      <c r="N2024">
        <v>1</v>
      </c>
      <c r="O2024" t="s">
        <v>25</v>
      </c>
      <c r="P2024" t="s">
        <v>26</v>
      </c>
      <c r="Q2024">
        <v>4.9000000000000004</v>
      </c>
      <c r="R2024">
        <v>28</v>
      </c>
      <c r="S2024" t="s">
        <v>27</v>
      </c>
    </row>
    <row r="2025" spans="1:19" x14ac:dyDescent="0.3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 t="str">
        <f t="shared" si="31"/>
        <v>31-60 days</v>
      </c>
      <c r="L2025">
        <v>43</v>
      </c>
      <c r="M2025">
        <v>2</v>
      </c>
      <c r="N2025">
        <v>0</v>
      </c>
      <c r="O2025" t="s">
        <v>25</v>
      </c>
      <c r="P2025" t="s">
        <v>26</v>
      </c>
      <c r="Q2025">
        <v>5.3</v>
      </c>
      <c r="R2025">
        <v>31</v>
      </c>
      <c r="S2025" t="s">
        <v>27</v>
      </c>
    </row>
    <row r="2026" spans="1:19" x14ac:dyDescent="0.3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 t="str">
        <f t="shared" si="31"/>
        <v>0-7 days</v>
      </c>
      <c r="L2026">
        <v>7</v>
      </c>
      <c r="M2026">
        <v>2</v>
      </c>
      <c r="N2026">
        <v>0</v>
      </c>
      <c r="O2026" t="s">
        <v>25</v>
      </c>
      <c r="P2026" t="s">
        <v>35</v>
      </c>
      <c r="Q2026">
        <v>7.2</v>
      </c>
      <c r="R2026">
        <v>2</v>
      </c>
      <c r="S2026" t="s">
        <v>36</v>
      </c>
    </row>
    <row r="2027" spans="1:19" x14ac:dyDescent="0.3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 t="str">
        <f t="shared" si="31"/>
        <v>31-60 days</v>
      </c>
      <c r="L2027">
        <v>60</v>
      </c>
      <c r="M2027">
        <v>2</v>
      </c>
      <c r="N2027">
        <v>0</v>
      </c>
      <c r="O2027" t="s">
        <v>25</v>
      </c>
      <c r="P2027" t="s">
        <v>35</v>
      </c>
      <c r="Q2027">
        <v>5.6</v>
      </c>
      <c r="R2027">
        <v>36</v>
      </c>
      <c r="S2027" t="s">
        <v>27</v>
      </c>
    </row>
    <row r="2028" spans="1:19" x14ac:dyDescent="0.3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 t="str">
        <f t="shared" si="31"/>
        <v>8-14 days</v>
      </c>
      <c r="L2028">
        <v>14</v>
      </c>
      <c r="M2028">
        <v>3</v>
      </c>
      <c r="N2028">
        <v>0</v>
      </c>
      <c r="O2028" t="s">
        <v>25</v>
      </c>
      <c r="P2028" t="s">
        <v>26</v>
      </c>
      <c r="Q2028">
        <v>6.6</v>
      </c>
      <c r="R2028">
        <v>23</v>
      </c>
      <c r="S2028" t="s">
        <v>36</v>
      </c>
    </row>
    <row r="2029" spans="1:19" x14ac:dyDescent="0.3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 t="str">
        <f t="shared" si="31"/>
        <v>31-60 days</v>
      </c>
      <c r="L2029">
        <v>59</v>
      </c>
      <c r="M2029">
        <v>5</v>
      </c>
      <c r="N2029">
        <v>2</v>
      </c>
      <c r="O2029" t="s">
        <v>25</v>
      </c>
      <c r="P2029" t="s">
        <v>35</v>
      </c>
      <c r="Q2029">
        <v>5</v>
      </c>
      <c r="R2029">
        <v>10</v>
      </c>
      <c r="S2029" t="s">
        <v>71</v>
      </c>
    </row>
    <row r="2030" spans="1:19" x14ac:dyDescent="0.3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 t="str">
        <f t="shared" si="31"/>
        <v>15-30 days</v>
      </c>
      <c r="L2030">
        <v>27</v>
      </c>
      <c r="M2030">
        <v>3</v>
      </c>
      <c r="N2030">
        <v>0</v>
      </c>
      <c r="O2030" t="s">
        <v>25</v>
      </c>
      <c r="P2030" t="s">
        <v>26</v>
      </c>
      <c r="Q2030">
        <v>11.6</v>
      </c>
      <c r="R2030">
        <v>23</v>
      </c>
      <c r="S2030" t="s">
        <v>27</v>
      </c>
    </row>
    <row r="2031" spans="1:19" x14ac:dyDescent="0.3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 t="str">
        <f t="shared" si="31"/>
        <v>31-60 days</v>
      </c>
      <c r="L2031">
        <v>56</v>
      </c>
      <c r="M2031">
        <v>3</v>
      </c>
      <c r="N2031">
        <v>0</v>
      </c>
      <c r="O2031" t="s">
        <v>54</v>
      </c>
      <c r="P2031" t="s">
        <v>55</v>
      </c>
      <c r="Q2031">
        <v>3.3</v>
      </c>
      <c r="R2031">
        <v>37</v>
      </c>
      <c r="S2031" t="s">
        <v>27</v>
      </c>
    </row>
    <row r="2032" spans="1:19" x14ac:dyDescent="0.3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 t="str">
        <f t="shared" si="31"/>
        <v>31-60 days</v>
      </c>
      <c r="L2032">
        <v>54</v>
      </c>
      <c r="M2032">
        <v>2</v>
      </c>
      <c r="N2032">
        <v>0</v>
      </c>
      <c r="O2032" t="s">
        <v>25</v>
      </c>
      <c r="P2032" t="s">
        <v>26</v>
      </c>
      <c r="Q2032">
        <v>15.9</v>
      </c>
      <c r="R2032">
        <v>20</v>
      </c>
      <c r="S2032" t="s">
        <v>27</v>
      </c>
    </row>
    <row r="2033" spans="1:19" x14ac:dyDescent="0.3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 t="str">
        <f t="shared" si="31"/>
        <v>31-60 days</v>
      </c>
      <c r="L2033">
        <v>46</v>
      </c>
      <c r="M2033">
        <v>7</v>
      </c>
      <c r="N2033">
        <v>1</v>
      </c>
      <c r="O2033" t="s">
        <v>25</v>
      </c>
      <c r="P2033" t="s">
        <v>35</v>
      </c>
      <c r="Q2033">
        <v>5.9</v>
      </c>
      <c r="R2033">
        <v>25</v>
      </c>
      <c r="S2033" t="s">
        <v>71</v>
      </c>
    </row>
    <row r="2034" spans="1:19" x14ac:dyDescent="0.3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 t="str">
        <f t="shared" si="31"/>
        <v>31-60 days</v>
      </c>
      <c r="L2034">
        <v>55</v>
      </c>
      <c r="M2034">
        <v>4</v>
      </c>
      <c r="N2034">
        <v>1</v>
      </c>
      <c r="O2034" t="s">
        <v>25</v>
      </c>
      <c r="P2034" t="s">
        <v>26</v>
      </c>
      <c r="Q2034">
        <v>11.9</v>
      </c>
      <c r="R2034">
        <v>2</v>
      </c>
      <c r="S2034" t="s">
        <v>27</v>
      </c>
    </row>
    <row r="2035" spans="1:19" x14ac:dyDescent="0.3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 t="str">
        <f t="shared" si="31"/>
        <v>31-60 days</v>
      </c>
      <c r="L2035">
        <v>37</v>
      </c>
      <c r="M2035">
        <v>1</v>
      </c>
      <c r="N2035">
        <v>0</v>
      </c>
      <c r="O2035" t="s">
        <v>54</v>
      </c>
      <c r="P2035" t="s">
        <v>55</v>
      </c>
      <c r="Q2035">
        <v>8.6999999999999993</v>
      </c>
      <c r="R2035">
        <v>15</v>
      </c>
      <c r="S2035" t="s">
        <v>27</v>
      </c>
    </row>
    <row r="2036" spans="1:19" x14ac:dyDescent="0.3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 t="str">
        <f t="shared" si="31"/>
        <v>31-60 days</v>
      </c>
      <c r="L2036">
        <v>51</v>
      </c>
      <c r="M2036">
        <v>4</v>
      </c>
      <c r="N2036">
        <v>3</v>
      </c>
      <c r="O2036" t="s">
        <v>54</v>
      </c>
      <c r="P2036" t="s">
        <v>55</v>
      </c>
      <c r="Q2036">
        <v>2.9</v>
      </c>
      <c r="R2036">
        <v>32</v>
      </c>
      <c r="S2036" t="s">
        <v>27</v>
      </c>
    </row>
    <row r="2037" spans="1:19" x14ac:dyDescent="0.3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 t="str">
        <f t="shared" si="31"/>
        <v>8-14 days</v>
      </c>
      <c r="L2037">
        <v>10</v>
      </c>
      <c r="M2037">
        <v>2</v>
      </c>
      <c r="N2037">
        <v>0</v>
      </c>
      <c r="O2037" t="s">
        <v>25</v>
      </c>
      <c r="P2037" t="s">
        <v>35</v>
      </c>
      <c r="Q2037">
        <v>15.3</v>
      </c>
      <c r="R2037">
        <v>36</v>
      </c>
      <c r="S2037" t="s">
        <v>36</v>
      </c>
    </row>
    <row r="2038" spans="1:19" x14ac:dyDescent="0.3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 t="str">
        <f t="shared" si="31"/>
        <v>0-7 days</v>
      </c>
      <c r="L2038">
        <v>4</v>
      </c>
      <c r="M2038">
        <v>2</v>
      </c>
      <c r="N2038">
        <v>0</v>
      </c>
      <c r="O2038" t="s">
        <v>25</v>
      </c>
      <c r="P2038" t="s">
        <v>35</v>
      </c>
      <c r="Q2038">
        <v>23.6</v>
      </c>
      <c r="R2038">
        <v>26</v>
      </c>
      <c r="S2038" t="s">
        <v>36</v>
      </c>
    </row>
    <row r="2039" spans="1:19" x14ac:dyDescent="0.3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 t="str">
        <f t="shared" si="31"/>
        <v>31-60 days</v>
      </c>
      <c r="L2039">
        <v>33</v>
      </c>
      <c r="M2039">
        <v>2</v>
      </c>
      <c r="N2039">
        <v>0</v>
      </c>
      <c r="O2039" t="s">
        <v>54</v>
      </c>
      <c r="P2039" t="s">
        <v>55</v>
      </c>
      <c r="Q2039">
        <v>7.7</v>
      </c>
      <c r="R2039">
        <v>30</v>
      </c>
      <c r="S2039" t="s">
        <v>36</v>
      </c>
    </row>
    <row r="2040" spans="1:19" x14ac:dyDescent="0.3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 t="str">
        <f t="shared" si="31"/>
        <v>31-60 days</v>
      </c>
      <c r="L2040">
        <v>49</v>
      </c>
      <c r="M2040">
        <v>6</v>
      </c>
      <c r="N2040">
        <v>2</v>
      </c>
      <c r="O2040" t="s">
        <v>25</v>
      </c>
      <c r="P2040" t="s">
        <v>26</v>
      </c>
      <c r="Q2040">
        <v>1.9</v>
      </c>
      <c r="R2040">
        <v>20</v>
      </c>
      <c r="S2040" t="s">
        <v>36</v>
      </c>
    </row>
    <row r="2041" spans="1:19" x14ac:dyDescent="0.3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 t="str">
        <f t="shared" si="31"/>
        <v>31-60 days</v>
      </c>
      <c r="L2041">
        <v>46</v>
      </c>
      <c r="M2041">
        <v>4</v>
      </c>
      <c r="N2041">
        <v>0</v>
      </c>
      <c r="O2041" t="s">
        <v>25</v>
      </c>
      <c r="P2041" t="s">
        <v>35</v>
      </c>
      <c r="Q2041">
        <v>11.1</v>
      </c>
      <c r="R2041">
        <v>24</v>
      </c>
      <c r="S2041" t="s">
        <v>36</v>
      </c>
    </row>
    <row r="2042" spans="1:19" x14ac:dyDescent="0.3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 t="str">
        <f t="shared" si="31"/>
        <v>31-60 days</v>
      </c>
      <c r="L2042">
        <v>32</v>
      </c>
      <c r="M2042">
        <v>2</v>
      </c>
      <c r="N2042">
        <v>0</v>
      </c>
      <c r="O2042" t="s">
        <v>25</v>
      </c>
      <c r="P2042" t="s">
        <v>35</v>
      </c>
      <c r="Q2042">
        <v>9.1</v>
      </c>
      <c r="R2042">
        <v>12</v>
      </c>
      <c r="S2042" t="s">
        <v>27</v>
      </c>
    </row>
    <row r="2043" spans="1:19" x14ac:dyDescent="0.3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 t="str">
        <f t="shared" si="31"/>
        <v>31-60 days</v>
      </c>
      <c r="L2043">
        <v>31</v>
      </c>
      <c r="M2043">
        <v>3</v>
      </c>
      <c r="N2043">
        <v>0</v>
      </c>
      <c r="O2043" t="s">
        <v>25</v>
      </c>
      <c r="P2043" t="s">
        <v>35</v>
      </c>
      <c r="Q2043">
        <v>4.5999999999999996</v>
      </c>
      <c r="R2043">
        <v>19</v>
      </c>
      <c r="S2043" t="s">
        <v>36</v>
      </c>
    </row>
    <row r="2044" spans="1:19" x14ac:dyDescent="0.3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 t="str">
        <f t="shared" si="31"/>
        <v>31-60 days</v>
      </c>
      <c r="L2044">
        <v>37</v>
      </c>
      <c r="M2044">
        <v>1</v>
      </c>
      <c r="N2044">
        <v>1</v>
      </c>
      <c r="O2044" t="s">
        <v>54</v>
      </c>
      <c r="P2044" t="s">
        <v>55</v>
      </c>
      <c r="Q2044">
        <v>9.1999999999999993</v>
      </c>
      <c r="R2044">
        <v>24</v>
      </c>
      <c r="S2044" t="s">
        <v>27</v>
      </c>
    </row>
    <row r="2045" spans="1:19" x14ac:dyDescent="0.3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 t="str">
        <f t="shared" si="31"/>
        <v>31-60 days</v>
      </c>
      <c r="L2045">
        <v>52</v>
      </c>
      <c r="M2045">
        <v>4</v>
      </c>
      <c r="N2045">
        <v>0</v>
      </c>
      <c r="O2045" t="s">
        <v>25</v>
      </c>
      <c r="P2045" t="s">
        <v>26</v>
      </c>
      <c r="Q2045">
        <v>19.5</v>
      </c>
      <c r="R2045">
        <v>7</v>
      </c>
      <c r="S2045" t="s">
        <v>27</v>
      </c>
    </row>
    <row r="2046" spans="1:19" x14ac:dyDescent="0.3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 t="str">
        <f t="shared" si="31"/>
        <v>31-60 days</v>
      </c>
      <c r="L2046">
        <v>51</v>
      </c>
      <c r="M2046">
        <v>2</v>
      </c>
      <c r="N2046">
        <v>0</v>
      </c>
      <c r="O2046" t="s">
        <v>54</v>
      </c>
      <c r="P2046" t="s">
        <v>55</v>
      </c>
      <c r="Q2046">
        <v>17.2</v>
      </c>
      <c r="R2046">
        <v>50</v>
      </c>
      <c r="S2046" t="s">
        <v>27</v>
      </c>
    </row>
    <row r="2047" spans="1:19" x14ac:dyDescent="0.3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 t="str">
        <f t="shared" si="31"/>
        <v>0-7 days</v>
      </c>
      <c r="L2047">
        <v>6</v>
      </c>
      <c r="M2047">
        <v>1</v>
      </c>
      <c r="N2047">
        <v>0</v>
      </c>
      <c r="O2047" t="s">
        <v>54</v>
      </c>
      <c r="P2047" t="s">
        <v>55</v>
      </c>
      <c r="Q2047">
        <v>6.8</v>
      </c>
      <c r="R2047">
        <v>16</v>
      </c>
      <c r="S2047" t="s">
        <v>36</v>
      </c>
    </row>
    <row r="2048" spans="1:19" x14ac:dyDescent="0.3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 t="str">
        <f t="shared" si="31"/>
        <v>31-60 days</v>
      </c>
      <c r="L2048">
        <v>36</v>
      </c>
      <c r="M2048">
        <v>5</v>
      </c>
      <c r="N2048">
        <v>1</v>
      </c>
      <c r="O2048" t="s">
        <v>25</v>
      </c>
      <c r="P2048" t="s">
        <v>35</v>
      </c>
      <c r="Q2048">
        <v>6.7</v>
      </c>
      <c r="R2048">
        <v>26</v>
      </c>
      <c r="S2048" t="s">
        <v>27</v>
      </c>
    </row>
    <row r="2049" spans="1:19" x14ac:dyDescent="0.3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 t="str">
        <f t="shared" si="31"/>
        <v>15-30 days</v>
      </c>
      <c r="L2049">
        <v>23</v>
      </c>
      <c r="M2049">
        <v>3</v>
      </c>
      <c r="N2049">
        <v>0</v>
      </c>
      <c r="O2049" t="s">
        <v>25</v>
      </c>
      <c r="P2049" t="s">
        <v>26</v>
      </c>
      <c r="Q2049">
        <v>4.3</v>
      </c>
      <c r="R2049">
        <v>10</v>
      </c>
      <c r="S2049" t="s">
        <v>36</v>
      </c>
    </row>
    <row r="2050" spans="1:19" x14ac:dyDescent="0.3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 t="str">
        <f t="shared" si="31"/>
        <v>31-60 days</v>
      </c>
      <c r="L2050">
        <v>48</v>
      </c>
      <c r="M2050">
        <v>1</v>
      </c>
      <c r="N2050">
        <v>0</v>
      </c>
      <c r="O2050" t="s">
        <v>25</v>
      </c>
      <c r="P2050" t="s">
        <v>26</v>
      </c>
      <c r="Q2050">
        <v>6.9</v>
      </c>
      <c r="R2050">
        <v>2</v>
      </c>
      <c r="S2050" t="s">
        <v>27</v>
      </c>
    </row>
    <row r="2051" spans="1:19" x14ac:dyDescent="0.3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 t="str">
        <f t="shared" ref="K2051:K2114" si="32">IF(L2051&lt;=7,"0-7 days",IF(L2051&lt;=14,"8-14 days",IF(L2051&lt;=30,"15-30 days","31-60 days")))</f>
        <v>15-30 days</v>
      </c>
      <c r="L2051">
        <v>30</v>
      </c>
      <c r="M2051">
        <v>3</v>
      </c>
      <c r="N2051">
        <v>1</v>
      </c>
      <c r="O2051" t="s">
        <v>54</v>
      </c>
      <c r="P2051" t="s">
        <v>55</v>
      </c>
      <c r="Q2051">
        <v>10</v>
      </c>
      <c r="R2051">
        <v>43</v>
      </c>
      <c r="S2051" t="s">
        <v>36</v>
      </c>
    </row>
    <row r="2052" spans="1:19" x14ac:dyDescent="0.3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 t="str">
        <f t="shared" si="32"/>
        <v>31-60 days</v>
      </c>
      <c r="L2052">
        <v>60</v>
      </c>
      <c r="M2052">
        <v>1</v>
      </c>
      <c r="N2052">
        <v>0</v>
      </c>
      <c r="O2052" t="s">
        <v>25</v>
      </c>
      <c r="P2052" t="s">
        <v>35</v>
      </c>
      <c r="Q2052">
        <v>9.6999999999999993</v>
      </c>
      <c r="R2052">
        <v>25</v>
      </c>
      <c r="S2052" t="s">
        <v>36</v>
      </c>
    </row>
    <row r="2053" spans="1:19" x14ac:dyDescent="0.3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 t="str">
        <f t="shared" si="32"/>
        <v>15-30 days</v>
      </c>
      <c r="L2053">
        <v>26</v>
      </c>
      <c r="M2053">
        <v>4</v>
      </c>
      <c r="N2053">
        <v>0</v>
      </c>
      <c r="O2053" t="s">
        <v>25</v>
      </c>
      <c r="P2053" t="s">
        <v>50</v>
      </c>
      <c r="Q2053">
        <v>10.7</v>
      </c>
      <c r="R2053">
        <v>2</v>
      </c>
      <c r="S2053" t="s">
        <v>27</v>
      </c>
    </row>
    <row r="2054" spans="1:19" x14ac:dyDescent="0.3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 t="str">
        <f t="shared" si="32"/>
        <v>31-60 days</v>
      </c>
      <c r="L2054">
        <v>41</v>
      </c>
      <c r="M2054">
        <v>3</v>
      </c>
      <c r="N2054">
        <v>0</v>
      </c>
      <c r="O2054" t="s">
        <v>54</v>
      </c>
      <c r="P2054" t="s">
        <v>55</v>
      </c>
      <c r="Q2054">
        <v>10.6</v>
      </c>
      <c r="R2054">
        <v>13</v>
      </c>
      <c r="S2054" t="s">
        <v>27</v>
      </c>
    </row>
    <row r="2055" spans="1:19" x14ac:dyDescent="0.3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 t="str">
        <f t="shared" si="32"/>
        <v>0-7 days</v>
      </c>
      <c r="L2055">
        <v>6</v>
      </c>
      <c r="M2055">
        <v>1</v>
      </c>
      <c r="N2055">
        <v>0</v>
      </c>
      <c r="O2055" t="s">
        <v>25</v>
      </c>
      <c r="P2055" t="s">
        <v>26</v>
      </c>
      <c r="Q2055">
        <v>5</v>
      </c>
      <c r="R2055">
        <v>47</v>
      </c>
      <c r="S2055" t="s">
        <v>36</v>
      </c>
    </row>
    <row r="2056" spans="1:19" x14ac:dyDescent="0.3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 t="str">
        <f t="shared" si="32"/>
        <v>31-60 days</v>
      </c>
      <c r="L2056">
        <v>56</v>
      </c>
      <c r="M2056">
        <v>2</v>
      </c>
      <c r="N2056">
        <v>0</v>
      </c>
      <c r="O2056" t="s">
        <v>25</v>
      </c>
      <c r="P2056" t="s">
        <v>35</v>
      </c>
      <c r="Q2056">
        <v>15.2</v>
      </c>
      <c r="R2056">
        <v>29</v>
      </c>
      <c r="S2056" t="s">
        <v>27</v>
      </c>
    </row>
    <row r="2057" spans="1:19" x14ac:dyDescent="0.3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 t="str">
        <f t="shared" si="32"/>
        <v>8-14 days</v>
      </c>
      <c r="L2057">
        <v>9</v>
      </c>
      <c r="M2057">
        <v>2</v>
      </c>
      <c r="N2057">
        <v>0</v>
      </c>
      <c r="O2057" t="s">
        <v>25</v>
      </c>
      <c r="P2057" t="s">
        <v>35</v>
      </c>
      <c r="Q2057">
        <v>16.899999999999999</v>
      </c>
      <c r="R2057">
        <v>2</v>
      </c>
      <c r="S2057" t="s">
        <v>36</v>
      </c>
    </row>
    <row r="2058" spans="1:19" x14ac:dyDescent="0.3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 t="str">
        <f t="shared" si="32"/>
        <v>15-30 days</v>
      </c>
      <c r="L2058">
        <v>23</v>
      </c>
      <c r="M2058">
        <v>1</v>
      </c>
      <c r="N2058">
        <v>0</v>
      </c>
      <c r="O2058" t="s">
        <v>25</v>
      </c>
      <c r="P2058" t="s">
        <v>35</v>
      </c>
      <c r="Q2058">
        <v>9</v>
      </c>
      <c r="R2058">
        <v>18</v>
      </c>
      <c r="S2058" t="s">
        <v>36</v>
      </c>
    </row>
    <row r="2059" spans="1:19" x14ac:dyDescent="0.3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 t="str">
        <f t="shared" si="32"/>
        <v>31-60 days</v>
      </c>
      <c r="L2059">
        <v>51</v>
      </c>
      <c r="M2059">
        <v>2</v>
      </c>
      <c r="N2059">
        <v>0</v>
      </c>
      <c r="O2059" t="s">
        <v>25</v>
      </c>
      <c r="P2059" t="s">
        <v>35</v>
      </c>
      <c r="Q2059">
        <v>36.299999999999997</v>
      </c>
      <c r="R2059">
        <v>22</v>
      </c>
      <c r="S2059" t="s">
        <v>36</v>
      </c>
    </row>
    <row r="2060" spans="1:19" x14ac:dyDescent="0.3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 t="str">
        <f t="shared" si="32"/>
        <v>31-60 days</v>
      </c>
      <c r="L2060">
        <v>59</v>
      </c>
      <c r="M2060">
        <v>4</v>
      </c>
      <c r="N2060">
        <v>1</v>
      </c>
      <c r="O2060" t="s">
        <v>25</v>
      </c>
      <c r="P2060" t="s">
        <v>26</v>
      </c>
      <c r="Q2060">
        <v>11.5</v>
      </c>
      <c r="R2060">
        <v>30</v>
      </c>
      <c r="S2060" t="s">
        <v>36</v>
      </c>
    </row>
    <row r="2061" spans="1:19" x14ac:dyDescent="0.3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 t="str">
        <f t="shared" si="32"/>
        <v>15-30 days</v>
      </c>
      <c r="L2061">
        <v>29</v>
      </c>
      <c r="M2061">
        <v>2</v>
      </c>
      <c r="N2061">
        <v>0</v>
      </c>
      <c r="O2061" t="s">
        <v>54</v>
      </c>
      <c r="P2061" t="s">
        <v>55</v>
      </c>
      <c r="Q2061">
        <v>3.4</v>
      </c>
      <c r="R2061">
        <v>24</v>
      </c>
      <c r="S2061" t="s">
        <v>36</v>
      </c>
    </row>
    <row r="2062" spans="1:19" x14ac:dyDescent="0.3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 t="str">
        <f t="shared" si="32"/>
        <v>15-30 days</v>
      </c>
      <c r="L2062">
        <v>29</v>
      </c>
      <c r="M2062">
        <v>1</v>
      </c>
      <c r="N2062">
        <v>0</v>
      </c>
      <c r="O2062" t="s">
        <v>54</v>
      </c>
      <c r="P2062" t="s">
        <v>55</v>
      </c>
      <c r="Q2062">
        <v>7.2</v>
      </c>
      <c r="R2062">
        <v>5</v>
      </c>
      <c r="S2062" t="s">
        <v>27</v>
      </c>
    </row>
    <row r="2063" spans="1:19" x14ac:dyDescent="0.3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 t="str">
        <f t="shared" si="32"/>
        <v>0-7 days</v>
      </c>
      <c r="L2063">
        <v>2</v>
      </c>
      <c r="M2063">
        <v>1</v>
      </c>
      <c r="N2063">
        <v>1</v>
      </c>
      <c r="O2063" t="s">
        <v>25</v>
      </c>
      <c r="P2063" t="s">
        <v>35</v>
      </c>
      <c r="Q2063">
        <v>6.9</v>
      </c>
      <c r="R2063">
        <v>17</v>
      </c>
      <c r="S2063" t="s">
        <v>36</v>
      </c>
    </row>
    <row r="2064" spans="1:19" x14ac:dyDescent="0.3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 t="str">
        <f t="shared" si="32"/>
        <v>31-60 days</v>
      </c>
      <c r="L2064">
        <v>59</v>
      </c>
      <c r="M2064">
        <v>3</v>
      </c>
      <c r="N2064">
        <v>1</v>
      </c>
      <c r="O2064" t="s">
        <v>25</v>
      </c>
      <c r="P2064" t="s">
        <v>50</v>
      </c>
      <c r="Q2064">
        <v>1.9</v>
      </c>
      <c r="R2064">
        <v>14</v>
      </c>
      <c r="S2064" t="s">
        <v>36</v>
      </c>
    </row>
    <row r="2065" spans="1:19" x14ac:dyDescent="0.3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 t="str">
        <f t="shared" si="32"/>
        <v>0-7 days</v>
      </c>
      <c r="L2065">
        <v>1</v>
      </c>
      <c r="M2065">
        <v>2</v>
      </c>
      <c r="N2065">
        <v>1</v>
      </c>
      <c r="O2065" t="s">
        <v>25</v>
      </c>
      <c r="P2065" t="s">
        <v>35</v>
      </c>
      <c r="Q2065">
        <v>7.4</v>
      </c>
      <c r="R2065">
        <v>32</v>
      </c>
      <c r="S2065" t="s">
        <v>36</v>
      </c>
    </row>
    <row r="2066" spans="1:19" x14ac:dyDescent="0.3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 t="str">
        <f t="shared" si="32"/>
        <v>0-7 days</v>
      </c>
      <c r="L2066">
        <v>1</v>
      </c>
      <c r="M2066">
        <v>4</v>
      </c>
      <c r="N2066">
        <v>1</v>
      </c>
      <c r="O2066" t="s">
        <v>25</v>
      </c>
      <c r="P2066" t="s">
        <v>26</v>
      </c>
      <c r="Q2066">
        <v>14.8</v>
      </c>
      <c r="R2066">
        <v>18</v>
      </c>
      <c r="S2066" t="s">
        <v>36</v>
      </c>
    </row>
    <row r="2067" spans="1:19" x14ac:dyDescent="0.3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 t="str">
        <f t="shared" si="32"/>
        <v>15-30 days</v>
      </c>
      <c r="L2067">
        <v>28</v>
      </c>
      <c r="M2067">
        <v>1</v>
      </c>
      <c r="N2067">
        <v>0</v>
      </c>
      <c r="O2067" t="s">
        <v>54</v>
      </c>
      <c r="P2067" t="s">
        <v>55</v>
      </c>
      <c r="Q2067">
        <v>16.399999999999999</v>
      </c>
      <c r="R2067">
        <v>18</v>
      </c>
      <c r="S2067" t="s">
        <v>36</v>
      </c>
    </row>
    <row r="2068" spans="1:19" x14ac:dyDescent="0.3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 t="str">
        <f t="shared" si="32"/>
        <v>0-7 days</v>
      </c>
      <c r="L2068">
        <v>0</v>
      </c>
      <c r="M2068">
        <v>3</v>
      </c>
      <c r="N2068">
        <v>0</v>
      </c>
      <c r="O2068" t="s">
        <v>25</v>
      </c>
      <c r="P2068" t="s">
        <v>50</v>
      </c>
      <c r="Q2068">
        <v>24.7</v>
      </c>
      <c r="R2068">
        <v>21</v>
      </c>
      <c r="S2068" t="s">
        <v>36</v>
      </c>
    </row>
    <row r="2069" spans="1:19" x14ac:dyDescent="0.3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 t="str">
        <f t="shared" si="32"/>
        <v>8-14 days</v>
      </c>
      <c r="L2069">
        <v>10</v>
      </c>
      <c r="M2069">
        <v>4</v>
      </c>
      <c r="N2069">
        <v>0</v>
      </c>
      <c r="O2069" t="s">
        <v>25</v>
      </c>
      <c r="P2069" t="s">
        <v>35</v>
      </c>
      <c r="Q2069">
        <v>12</v>
      </c>
      <c r="R2069">
        <v>15</v>
      </c>
      <c r="S2069" t="s">
        <v>36</v>
      </c>
    </row>
    <row r="2070" spans="1:19" x14ac:dyDescent="0.3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 t="str">
        <f t="shared" si="32"/>
        <v>31-60 days</v>
      </c>
      <c r="L2070">
        <v>38</v>
      </c>
      <c r="M2070">
        <v>3</v>
      </c>
      <c r="N2070">
        <v>1</v>
      </c>
      <c r="O2070" t="s">
        <v>25</v>
      </c>
      <c r="P2070" t="s">
        <v>50</v>
      </c>
      <c r="Q2070">
        <v>14</v>
      </c>
      <c r="R2070">
        <v>41</v>
      </c>
      <c r="S2070" t="s">
        <v>27</v>
      </c>
    </row>
    <row r="2071" spans="1:19" x14ac:dyDescent="0.3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 t="str">
        <f t="shared" si="32"/>
        <v>31-60 days</v>
      </c>
      <c r="L2071">
        <v>43</v>
      </c>
      <c r="M2071">
        <v>5</v>
      </c>
      <c r="N2071">
        <v>1</v>
      </c>
      <c r="O2071" t="s">
        <v>25</v>
      </c>
      <c r="P2071" t="s">
        <v>50</v>
      </c>
      <c r="Q2071">
        <v>5.7</v>
      </c>
      <c r="R2071">
        <v>36</v>
      </c>
      <c r="S2071" t="s">
        <v>27</v>
      </c>
    </row>
    <row r="2072" spans="1:19" x14ac:dyDescent="0.3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 t="str">
        <f t="shared" si="32"/>
        <v>15-30 days</v>
      </c>
      <c r="L2072">
        <v>18</v>
      </c>
      <c r="M2072">
        <v>3</v>
      </c>
      <c r="N2072">
        <v>0</v>
      </c>
      <c r="O2072" t="s">
        <v>25</v>
      </c>
      <c r="P2072" t="s">
        <v>50</v>
      </c>
      <c r="Q2072">
        <v>12.9</v>
      </c>
      <c r="R2072">
        <v>37</v>
      </c>
      <c r="S2072" t="s">
        <v>27</v>
      </c>
    </row>
    <row r="2073" spans="1:19" x14ac:dyDescent="0.3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 t="str">
        <f t="shared" si="32"/>
        <v>31-60 days</v>
      </c>
      <c r="L2073">
        <v>48</v>
      </c>
      <c r="M2073">
        <v>7</v>
      </c>
      <c r="N2073">
        <v>3</v>
      </c>
      <c r="O2073" t="s">
        <v>54</v>
      </c>
      <c r="P2073" t="s">
        <v>55</v>
      </c>
      <c r="Q2073">
        <v>11.3</v>
      </c>
      <c r="R2073">
        <v>10</v>
      </c>
      <c r="S2073" t="s">
        <v>27</v>
      </c>
    </row>
    <row r="2074" spans="1:19" x14ac:dyDescent="0.3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 t="str">
        <f t="shared" si="32"/>
        <v>31-60 days</v>
      </c>
      <c r="L2074">
        <v>37</v>
      </c>
      <c r="M2074">
        <v>2</v>
      </c>
      <c r="N2074">
        <v>0</v>
      </c>
      <c r="O2074" t="s">
        <v>54</v>
      </c>
      <c r="P2074" t="s">
        <v>55</v>
      </c>
      <c r="Q2074">
        <v>6.9</v>
      </c>
      <c r="R2074">
        <v>28</v>
      </c>
      <c r="S2074" t="s">
        <v>36</v>
      </c>
    </row>
    <row r="2075" spans="1:19" x14ac:dyDescent="0.3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 t="str">
        <f t="shared" si="32"/>
        <v>8-14 days</v>
      </c>
      <c r="L2075">
        <v>13</v>
      </c>
      <c r="M2075">
        <v>8</v>
      </c>
      <c r="N2075">
        <v>1</v>
      </c>
      <c r="O2075" t="s">
        <v>25</v>
      </c>
      <c r="P2075" t="s">
        <v>35</v>
      </c>
      <c r="Q2075">
        <v>25.3</v>
      </c>
      <c r="R2075">
        <v>33</v>
      </c>
      <c r="S2075" t="s">
        <v>27</v>
      </c>
    </row>
    <row r="2076" spans="1:19" x14ac:dyDescent="0.3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 t="str">
        <f t="shared" si="32"/>
        <v>31-60 days</v>
      </c>
      <c r="L2076">
        <v>43</v>
      </c>
      <c r="M2076">
        <v>9</v>
      </c>
      <c r="N2076">
        <v>1</v>
      </c>
      <c r="O2076" t="s">
        <v>54</v>
      </c>
      <c r="P2076" t="s">
        <v>55</v>
      </c>
      <c r="Q2076">
        <v>3.3</v>
      </c>
      <c r="R2076">
        <v>13</v>
      </c>
      <c r="S2076" t="s">
        <v>27</v>
      </c>
    </row>
    <row r="2077" spans="1:19" x14ac:dyDescent="0.3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 t="str">
        <f t="shared" si="32"/>
        <v>31-60 days</v>
      </c>
      <c r="L2077">
        <v>36</v>
      </c>
      <c r="M2077">
        <v>2</v>
      </c>
      <c r="N2077">
        <v>1</v>
      </c>
      <c r="O2077" t="s">
        <v>25</v>
      </c>
      <c r="P2077" t="s">
        <v>35</v>
      </c>
      <c r="Q2077">
        <v>9.1999999999999993</v>
      </c>
      <c r="R2077">
        <v>11</v>
      </c>
      <c r="S2077" t="s">
        <v>27</v>
      </c>
    </row>
    <row r="2078" spans="1:19" x14ac:dyDescent="0.3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 t="str">
        <f t="shared" si="32"/>
        <v>31-60 days</v>
      </c>
      <c r="L2078">
        <v>49</v>
      </c>
      <c r="M2078">
        <v>1</v>
      </c>
      <c r="N2078">
        <v>0</v>
      </c>
      <c r="O2078" t="s">
        <v>25</v>
      </c>
      <c r="P2078" t="s">
        <v>26</v>
      </c>
      <c r="Q2078">
        <v>19.5</v>
      </c>
      <c r="R2078">
        <v>13</v>
      </c>
      <c r="S2078" t="s">
        <v>27</v>
      </c>
    </row>
    <row r="2079" spans="1:19" x14ac:dyDescent="0.3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 t="str">
        <f t="shared" si="32"/>
        <v>8-14 days</v>
      </c>
      <c r="L2079">
        <v>9</v>
      </c>
      <c r="M2079">
        <v>3</v>
      </c>
      <c r="N2079">
        <v>0</v>
      </c>
      <c r="O2079" t="s">
        <v>25</v>
      </c>
      <c r="P2079" t="s">
        <v>35</v>
      </c>
      <c r="Q2079">
        <v>4.5999999999999996</v>
      </c>
      <c r="R2079">
        <v>8</v>
      </c>
      <c r="S2079" t="s">
        <v>36</v>
      </c>
    </row>
    <row r="2080" spans="1:19" x14ac:dyDescent="0.3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 t="str">
        <f t="shared" si="32"/>
        <v>8-14 days</v>
      </c>
      <c r="L2080">
        <v>14</v>
      </c>
      <c r="M2080">
        <v>4</v>
      </c>
      <c r="N2080">
        <v>1</v>
      </c>
      <c r="O2080" t="s">
        <v>25</v>
      </c>
      <c r="P2080" t="s">
        <v>35</v>
      </c>
      <c r="Q2080">
        <v>6.1</v>
      </c>
      <c r="R2080">
        <v>36</v>
      </c>
      <c r="S2080" t="s">
        <v>36</v>
      </c>
    </row>
    <row r="2081" spans="1:19" x14ac:dyDescent="0.3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 t="str">
        <f t="shared" si="32"/>
        <v>15-30 days</v>
      </c>
      <c r="L2081">
        <v>18</v>
      </c>
      <c r="M2081">
        <v>3</v>
      </c>
      <c r="N2081">
        <v>1</v>
      </c>
      <c r="O2081" t="s">
        <v>54</v>
      </c>
      <c r="P2081" t="s">
        <v>55</v>
      </c>
      <c r="Q2081">
        <v>14.4</v>
      </c>
      <c r="R2081">
        <v>34</v>
      </c>
      <c r="S2081" t="s">
        <v>27</v>
      </c>
    </row>
    <row r="2082" spans="1:19" x14ac:dyDescent="0.3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 t="str">
        <f t="shared" si="32"/>
        <v>15-30 days</v>
      </c>
      <c r="L2082">
        <v>20</v>
      </c>
      <c r="M2082">
        <v>3</v>
      </c>
      <c r="N2082">
        <v>0</v>
      </c>
      <c r="O2082" t="s">
        <v>25</v>
      </c>
      <c r="P2082" t="s">
        <v>26</v>
      </c>
      <c r="Q2082">
        <v>14.4</v>
      </c>
      <c r="R2082">
        <v>20</v>
      </c>
      <c r="S2082" t="s">
        <v>36</v>
      </c>
    </row>
    <row r="2083" spans="1:19" x14ac:dyDescent="0.3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 t="str">
        <f t="shared" si="32"/>
        <v>31-60 days</v>
      </c>
      <c r="L2083">
        <v>54</v>
      </c>
      <c r="M2083">
        <v>1</v>
      </c>
      <c r="N2083">
        <v>0</v>
      </c>
      <c r="O2083" t="s">
        <v>25</v>
      </c>
      <c r="P2083" t="s">
        <v>50</v>
      </c>
      <c r="Q2083">
        <v>8</v>
      </c>
      <c r="R2083">
        <v>23</v>
      </c>
      <c r="S2083" t="s">
        <v>27</v>
      </c>
    </row>
    <row r="2084" spans="1:19" x14ac:dyDescent="0.3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 t="str">
        <f t="shared" si="32"/>
        <v>31-60 days</v>
      </c>
      <c r="L2084">
        <v>44</v>
      </c>
      <c r="M2084">
        <v>5</v>
      </c>
      <c r="N2084">
        <v>2</v>
      </c>
      <c r="O2084" t="s">
        <v>25</v>
      </c>
      <c r="P2084" t="s">
        <v>35</v>
      </c>
      <c r="Q2084">
        <v>10.7</v>
      </c>
      <c r="R2084">
        <v>17</v>
      </c>
      <c r="S2084" t="s">
        <v>27</v>
      </c>
    </row>
    <row r="2085" spans="1:19" x14ac:dyDescent="0.3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 t="str">
        <f t="shared" si="32"/>
        <v>31-60 days</v>
      </c>
      <c r="L2085">
        <v>33</v>
      </c>
      <c r="M2085">
        <v>3</v>
      </c>
      <c r="N2085">
        <v>0</v>
      </c>
      <c r="O2085" t="s">
        <v>54</v>
      </c>
      <c r="P2085" t="s">
        <v>55</v>
      </c>
      <c r="Q2085">
        <v>9.1999999999999993</v>
      </c>
      <c r="R2085">
        <v>49</v>
      </c>
      <c r="S2085" t="s">
        <v>27</v>
      </c>
    </row>
    <row r="2086" spans="1:19" x14ac:dyDescent="0.3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 t="str">
        <f t="shared" si="32"/>
        <v>31-60 days</v>
      </c>
      <c r="L2086">
        <v>32</v>
      </c>
      <c r="M2086">
        <v>2</v>
      </c>
      <c r="N2086">
        <v>1</v>
      </c>
      <c r="O2086" t="s">
        <v>54</v>
      </c>
      <c r="P2086" t="s">
        <v>55</v>
      </c>
      <c r="Q2086">
        <v>15.4</v>
      </c>
      <c r="R2086">
        <v>19</v>
      </c>
      <c r="S2086" t="s">
        <v>27</v>
      </c>
    </row>
    <row r="2087" spans="1:19" x14ac:dyDescent="0.3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 t="str">
        <f t="shared" si="32"/>
        <v>31-60 days</v>
      </c>
      <c r="L2087">
        <v>54</v>
      </c>
      <c r="M2087">
        <v>3</v>
      </c>
      <c r="N2087">
        <v>0</v>
      </c>
      <c r="O2087" t="s">
        <v>25</v>
      </c>
      <c r="P2087" t="s">
        <v>26</v>
      </c>
      <c r="Q2087">
        <v>15.8</v>
      </c>
      <c r="R2087">
        <v>18</v>
      </c>
      <c r="S2087" t="s">
        <v>27</v>
      </c>
    </row>
    <row r="2088" spans="1:19" x14ac:dyDescent="0.3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 t="str">
        <f t="shared" si="32"/>
        <v>15-30 days</v>
      </c>
      <c r="L2088">
        <v>27</v>
      </c>
      <c r="M2088">
        <v>2</v>
      </c>
      <c r="N2088">
        <v>0</v>
      </c>
      <c r="O2088" t="s">
        <v>25</v>
      </c>
      <c r="P2088" t="s">
        <v>26</v>
      </c>
      <c r="Q2088">
        <v>20.7</v>
      </c>
      <c r="R2088">
        <v>23</v>
      </c>
      <c r="S2088" t="s">
        <v>36</v>
      </c>
    </row>
    <row r="2089" spans="1:19" x14ac:dyDescent="0.3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 t="str">
        <f t="shared" si="32"/>
        <v>8-14 days</v>
      </c>
      <c r="L2089">
        <v>13</v>
      </c>
      <c r="M2089">
        <v>2</v>
      </c>
      <c r="N2089">
        <v>0</v>
      </c>
      <c r="O2089" t="s">
        <v>25</v>
      </c>
      <c r="P2089" t="s">
        <v>26</v>
      </c>
      <c r="Q2089">
        <v>20.6</v>
      </c>
      <c r="R2089">
        <v>10</v>
      </c>
      <c r="S2089" t="s">
        <v>36</v>
      </c>
    </row>
    <row r="2090" spans="1:19" x14ac:dyDescent="0.3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 t="str">
        <f t="shared" si="32"/>
        <v>8-14 days</v>
      </c>
      <c r="L2090">
        <v>8</v>
      </c>
      <c r="M2090">
        <v>4</v>
      </c>
      <c r="N2090">
        <v>3</v>
      </c>
      <c r="O2090" t="s">
        <v>25</v>
      </c>
      <c r="P2090" t="s">
        <v>35</v>
      </c>
      <c r="Q2090">
        <v>10.9</v>
      </c>
      <c r="R2090">
        <v>27</v>
      </c>
      <c r="S2090" t="s">
        <v>36</v>
      </c>
    </row>
    <row r="2091" spans="1:19" x14ac:dyDescent="0.3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 t="str">
        <f t="shared" si="32"/>
        <v>15-30 days</v>
      </c>
      <c r="L2091">
        <v>20</v>
      </c>
      <c r="M2091">
        <v>3</v>
      </c>
      <c r="N2091">
        <v>0</v>
      </c>
      <c r="O2091" t="s">
        <v>54</v>
      </c>
      <c r="P2091" t="s">
        <v>55</v>
      </c>
      <c r="Q2091">
        <v>3.9</v>
      </c>
      <c r="R2091">
        <v>40</v>
      </c>
      <c r="S2091" t="s">
        <v>36</v>
      </c>
    </row>
    <row r="2092" spans="1:19" x14ac:dyDescent="0.3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 t="str">
        <f t="shared" si="32"/>
        <v>31-60 days</v>
      </c>
      <c r="L2092">
        <v>39</v>
      </c>
      <c r="M2092">
        <v>2</v>
      </c>
      <c r="N2092">
        <v>1</v>
      </c>
      <c r="O2092" t="s">
        <v>54</v>
      </c>
      <c r="P2092" t="s">
        <v>55</v>
      </c>
      <c r="Q2092">
        <v>5.2</v>
      </c>
      <c r="R2092">
        <v>22</v>
      </c>
      <c r="S2092" t="s">
        <v>36</v>
      </c>
    </row>
    <row r="2093" spans="1:19" x14ac:dyDescent="0.3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 t="str">
        <f t="shared" si="32"/>
        <v>15-30 days</v>
      </c>
      <c r="L2093">
        <v>28</v>
      </c>
      <c r="M2093">
        <v>4</v>
      </c>
      <c r="N2093">
        <v>0</v>
      </c>
      <c r="O2093" t="s">
        <v>54</v>
      </c>
      <c r="P2093" t="s">
        <v>55</v>
      </c>
      <c r="Q2093">
        <v>5.8</v>
      </c>
      <c r="R2093">
        <v>33</v>
      </c>
      <c r="S2093" t="s">
        <v>36</v>
      </c>
    </row>
    <row r="2094" spans="1:19" x14ac:dyDescent="0.3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 t="str">
        <f t="shared" si="32"/>
        <v>15-30 days</v>
      </c>
      <c r="L2094">
        <v>25</v>
      </c>
      <c r="M2094">
        <v>5</v>
      </c>
      <c r="N2094">
        <v>1</v>
      </c>
      <c r="O2094" t="s">
        <v>25</v>
      </c>
      <c r="P2094" t="s">
        <v>35</v>
      </c>
      <c r="Q2094">
        <v>8.1999999999999993</v>
      </c>
      <c r="R2094">
        <v>2</v>
      </c>
      <c r="S2094" t="s">
        <v>27</v>
      </c>
    </row>
    <row r="2095" spans="1:19" x14ac:dyDescent="0.3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 t="str">
        <f t="shared" si="32"/>
        <v>15-30 days</v>
      </c>
      <c r="L2095">
        <v>29</v>
      </c>
      <c r="M2095">
        <v>2</v>
      </c>
      <c r="N2095">
        <v>0</v>
      </c>
      <c r="O2095" t="s">
        <v>25</v>
      </c>
      <c r="P2095" t="s">
        <v>35</v>
      </c>
      <c r="Q2095">
        <v>9.6</v>
      </c>
      <c r="R2095">
        <v>14</v>
      </c>
      <c r="S2095" t="s">
        <v>36</v>
      </c>
    </row>
    <row r="2096" spans="1:19" x14ac:dyDescent="0.3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 t="str">
        <f t="shared" si="32"/>
        <v>31-60 days</v>
      </c>
      <c r="L2096">
        <v>59</v>
      </c>
      <c r="M2096">
        <v>3</v>
      </c>
      <c r="N2096">
        <v>0</v>
      </c>
      <c r="O2096" t="s">
        <v>54</v>
      </c>
      <c r="P2096" t="s">
        <v>55</v>
      </c>
      <c r="Q2096">
        <v>4.4000000000000004</v>
      </c>
      <c r="R2096">
        <v>25</v>
      </c>
      <c r="S2096" t="s">
        <v>27</v>
      </c>
    </row>
    <row r="2097" spans="1:19" x14ac:dyDescent="0.3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 t="str">
        <f t="shared" si="32"/>
        <v>31-60 days</v>
      </c>
      <c r="L2097">
        <v>60</v>
      </c>
      <c r="M2097">
        <v>4</v>
      </c>
      <c r="N2097">
        <v>0</v>
      </c>
      <c r="O2097" t="s">
        <v>25</v>
      </c>
      <c r="P2097" t="s">
        <v>35</v>
      </c>
      <c r="Q2097">
        <v>1.7</v>
      </c>
      <c r="R2097">
        <v>4</v>
      </c>
      <c r="S2097" t="s">
        <v>27</v>
      </c>
    </row>
    <row r="2098" spans="1:19" x14ac:dyDescent="0.3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 t="str">
        <f t="shared" si="32"/>
        <v>8-14 days</v>
      </c>
      <c r="L2098">
        <v>9</v>
      </c>
      <c r="M2098">
        <v>1</v>
      </c>
      <c r="N2098">
        <v>0</v>
      </c>
      <c r="O2098" t="s">
        <v>25</v>
      </c>
      <c r="P2098" t="s">
        <v>26</v>
      </c>
      <c r="Q2098">
        <v>12.4</v>
      </c>
      <c r="R2098">
        <v>28</v>
      </c>
      <c r="S2098" t="s">
        <v>36</v>
      </c>
    </row>
    <row r="2099" spans="1:19" x14ac:dyDescent="0.3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 t="str">
        <f t="shared" si="32"/>
        <v>0-7 days</v>
      </c>
      <c r="L2099">
        <v>6</v>
      </c>
      <c r="M2099">
        <v>3</v>
      </c>
      <c r="N2099">
        <v>1</v>
      </c>
      <c r="O2099" t="s">
        <v>25</v>
      </c>
      <c r="P2099" t="s">
        <v>50</v>
      </c>
      <c r="Q2099">
        <v>8.8000000000000007</v>
      </c>
      <c r="R2099">
        <v>21</v>
      </c>
      <c r="S2099" t="s">
        <v>36</v>
      </c>
    </row>
    <row r="2100" spans="1:19" x14ac:dyDescent="0.3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 t="str">
        <f t="shared" si="32"/>
        <v>8-14 days</v>
      </c>
      <c r="L2100">
        <v>14</v>
      </c>
      <c r="M2100">
        <v>1</v>
      </c>
      <c r="N2100">
        <v>0</v>
      </c>
      <c r="O2100" t="s">
        <v>25</v>
      </c>
      <c r="P2100" t="s">
        <v>26</v>
      </c>
      <c r="Q2100">
        <v>26.4</v>
      </c>
      <c r="R2100">
        <v>27</v>
      </c>
      <c r="S2100" t="s">
        <v>36</v>
      </c>
    </row>
    <row r="2101" spans="1:19" x14ac:dyDescent="0.3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 t="str">
        <f t="shared" si="32"/>
        <v>31-60 days</v>
      </c>
      <c r="L2101">
        <v>51</v>
      </c>
      <c r="M2101">
        <v>6</v>
      </c>
      <c r="N2101">
        <v>4</v>
      </c>
      <c r="O2101" t="s">
        <v>54</v>
      </c>
      <c r="P2101" t="s">
        <v>55</v>
      </c>
      <c r="Q2101">
        <v>5.7</v>
      </c>
      <c r="R2101">
        <v>21</v>
      </c>
      <c r="S2101" t="s">
        <v>27</v>
      </c>
    </row>
    <row r="2102" spans="1:19" x14ac:dyDescent="0.3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 t="str">
        <f t="shared" si="32"/>
        <v>15-30 days</v>
      </c>
      <c r="L2102">
        <v>28</v>
      </c>
      <c r="M2102">
        <v>2</v>
      </c>
      <c r="N2102">
        <v>0</v>
      </c>
      <c r="O2102" t="s">
        <v>25</v>
      </c>
      <c r="P2102" t="s">
        <v>35</v>
      </c>
      <c r="Q2102">
        <v>23.7</v>
      </c>
      <c r="R2102">
        <v>22</v>
      </c>
      <c r="S2102" t="s">
        <v>36</v>
      </c>
    </row>
    <row r="2103" spans="1:19" x14ac:dyDescent="0.3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 t="str">
        <f t="shared" si="32"/>
        <v>31-60 days</v>
      </c>
      <c r="L2103">
        <v>52</v>
      </c>
      <c r="M2103">
        <v>4</v>
      </c>
      <c r="N2103">
        <v>1</v>
      </c>
      <c r="O2103" t="s">
        <v>54</v>
      </c>
      <c r="P2103" t="s">
        <v>55</v>
      </c>
      <c r="Q2103">
        <v>4.7</v>
      </c>
      <c r="R2103">
        <v>2</v>
      </c>
      <c r="S2103" t="s">
        <v>27</v>
      </c>
    </row>
    <row r="2104" spans="1:19" x14ac:dyDescent="0.3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 t="str">
        <f t="shared" si="32"/>
        <v>31-60 days</v>
      </c>
      <c r="L2104">
        <v>39</v>
      </c>
      <c r="M2104">
        <v>4</v>
      </c>
      <c r="N2104">
        <v>0</v>
      </c>
      <c r="O2104" t="s">
        <v>25</v>
      </c>
      <c r="P2104" t="s">
        <v>26</v>
      </c>
      <c r="Q2104">
        <v>8.5</v>
      </c>
      <c r="S2104" t="s">
        <v>27</v>
      </c>
    </row>
    <row r="2105" spans="1:19" x14ac:dyDescent="0.3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 t="str">
        <f t="shared" si="32"/>
        <v>31-60 days</v>
      </c>
      <c r="L2105">
        <v>33</v>
      </c>
      <c r="M2105">
        <v>4</v>
      </c>
      <c r="N2105">
        <v>1</v>
      </c>
      <c r="O2105" t="s">
        <v>25</v>
      </c>
      <c r="P2105" t="s">
        <v>35</v>
      </c>
      <c r="Q2105">
        <v>9.1</v>
      </c>
      <c r="R2105">
        <v>30</v>
      </c>
      <c r="S2105" t="s">
        <v>27</v>
      </c>
    </row>
    <row r="2106" spans="1:19" x14ac:dyDescent="0.3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 t="str">
        <f t="shared" si="32"/>
        <v>15-30 days</v>
      </c>
      <c r="L2106">
        <v>17</v>
      </c>
      <c r="M2106">
        <v>2</v>
      </c>
      <c r="N2106">
        <v>0</v>
      </c>
      <c r="O2106" t="s">
        <v>54</v>
      </c>
      <c r="P2106" t="s">
        <v>55</v>
      </c>
      <c r="Q2106">
        <v>2.7</v>
      </c>
      <c r="R2106">
        <v>8</v>
      </c>
      <c r="S2106" t="s">
        <v>36</v>
      </c>
    </row>
    <row r="2107" spans="1:19" x14ac:dyDescent="0.3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 t="str">
        <f t="shared" si="32"/>
        <v>15-30 days</v>
      </c>
      <c r="L2107">
        <v>20</v>
      </c>
      <c r="M2107">
        <v>2</v>
      </c>
      <c r="N2107">
        <v>1</v>
      </c>
      <c r="O2107" t="s">
        <v>54</v>
      </c>
      <c r="P2107" t="s">
        <v>55</v>
      </c>
      <c r="Q2107">
        <v>10.4</v>
      </c>
      <c r="R2107">
        <v>13</v>
      </c>
      <c r="S2107" t="s">
        <v>27</v>
      </c>
    </row>
    <row r="2108" spans="1:19" x14ac:dyDescent="0.3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 t="str">
        <f t="shared" si="32"/>
        <v>8-14 days</v>
      </c>
      <c r="L2108">
        <v>9</v>
      </c>
      <c r="M2108">
        <v>0</v>
      </c>
      <c r="N2108">
        <v>0</v>
      </c>
      <c r="O2108" t="s">
        <v>25</v>
      </c>
      <c r="P2108" t="s">
        <v>26</v>
      </c>
      <c r="Q2108">
        <v>5.2</v>
      </c>
      <c r="R2108">
        <v>19</v>
      </c>
      <c r="S2108" t="s">
        <v>27</v>
      </c>
    </row>
    <row r="2109" spans="1:19" x14ac:dyDescent="0.3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 t="str">
        <f t="shared" si="32"/>
        <v>31-60 days</v>
      </c>
      <c r="L2109">
        <v>31</v>
      </c>
      <c r="M2109">
        <v>6</v>
      </c>
      <c r="N2109">
        <v>1</v>
      </c>
      <c r="O2109" t="s">
        <v>25</v>
      </c>
      <c r="P2109" t="s">
        <v>50</v>
      </c>
      <c r="Q2109">
        <v>17.899999999999999</v>
      </c>
      <c r="R2109">
        <v>20</v>
      </c>
      <c r="S2109" t="s">
        <v>27</v>
      </c>
    </row>
    <row r="2110" spans="1:19" x14ac:dyDescent="0.3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 t="str">
        <f t="shared" si="32"/>
        <v>15-30 days</v>
      </c>
      <c r="L2110">
        <v>17</v>
      </c>
      <c r="M2110">
        <v>3</v>
      </c>
      <c r="N2110">
        <v>0</v>
      </c>
      <c r="O2110" t="s">
        <v>25</v>
      </c>
      <c r="P2110" t="s">
        <v>35</v>
      </c>
      <c r="Q2110">
        <v>14.2</v>
      </c>
      <c r="R2110">
        <v>32</v>
      </c>
      <c r="S2110" t="s">
        <v>36</v>
      </c>
    </row>
    <row r="2111" spans="1:19" x14ac:dyDescent="0.3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 t="str">
        <f t="shared" si="32"/>
        <v>15-30 days</v>
      </c>
      <c r="L2111">
        <v>17</v>
      </c>
      <c r="M2111">
        <v>3</v>
      </c>
      <c r="N2111">
        <v>0</v>
      </c>
      <c r="O2111" t="s">
        <v>25</v>
      </c>
      <c r="P2111" t="s">
        <v>26</v>
      </c>
      <c r="Q2111">
        <v>11.4</v>
      </c>
      <c r="R2111">
        <v>27</v>
      </c>
      <c r="S2111" t="s">
        <v>27</v>
      </c>
    </row>
    <row r="2112" spans="1:19" x14ac:dyDescent="0.3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 t="str">
        <f t="shared" si="32"/>
        <v>0-7 days</v>
      </c>
      <c r="L2112">
        <v>2</v>
      </c>
      <c r="M2112">
        <v>4</v>
      </c>
      <c r="N2112">
        <v>0</v>
      </c>
      <c r="O2112" t="s">
        <v>25</v>
      </c>
      <c r="P2112" t="s">
        <v>26</v>
      </c>
      <c r="Q2112">
        <v>6.1</v>
      </c>
      <c r="R2112">
        <v>17</v>
      </c>
      <c r="S2112" t="s">
        <v>36</v>
      </c>
    </row>
    <row r="2113" spans="1:19" x14ac:dyDescent="0.3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 t="str">
        <f t="shared" si="32"/>
        <v>31-60 days</v>
      </c>
      <c r="L2113">
        <v>48</v>
      </c>
      <c r="M2113">
        <v>1</v>
      </c>
      <c r="N2113">
        <v>0</v>
      </c>
      <c r="O2113" t="s">
        <v>25</v>
      </c>
      <c r="P2113" t="s">
        <v>26</v>
      </c>
      <c r="Q2113">
        <v>3.6</v>
      </c>
      <c r="R2113">
        <v>5</v>
      </c>
      <c r="S2113" t="s">
        <v>27</v>
      </c>
    </row>
    <row r="2114" spans="1:19" x14ac:dyDescent="0.3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 t="str">
        <f t="shared" si="32"/>
        <v>31-60 days</v>
      </c>
      <c r="L2114">
        <v>57</v>
      </c>
      <c r="M2114">
        <v>5</v>
      </c>
      <c r="N2114">
        <v>1</v>
      </c>
      <c r="O2114" t="s">
        <v>25</v>
      </c>
      <c r="P2114" t="s">
        <v>35</v>
      </c>
      <c r="Q2114">
        <v>22.9</v>
      </c>
      <c r="R2114">
        <v>58</v>
      </c>
      <c r="S2114" t="s">
        <v>27</v>
      </c>
    </row>
    <row r="2115" spans="1:19" x14ac:dyDescent="0.3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 t="str">
        <f t="shared" ref="K2115:K2178" si="33">IF(L2115&lt;=7,"0-7 days",IF(L2115&lt;=14,"8-14 days",IF(L2115&lt;=30,"15-30 days","31-60 days")))</f>
        <v>15-30 days</v>
      </c>
      <c r="L2115">
        <v>30</v>
      </c>
      <c r="M2115">
        <v>2</v>
      </c>
      <c r="N2115">
        <v>0</v>
      </c>
      <c r="O2115" t="s">
        <v>54</v>
      </c>
      <c r="P2115" t="s">
        <v>55</v>
      </c>
      <c r="Q2115">
        <v>21.8</v>
      </c>
      <c r="R2115">
        <v>24</v>
      </c>
      <c r="S2115" t="s">
        <v>27</v>
      </c>
    </row>
    <row r="2116" spans="1:19" x14ac:dyDescent="0.3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 t="str">
        <f t="shared" si="33"/>
        <v>31-60 days</v>
      </c>
      <c r="L2116">
        <v>32</v>
      </c>
      <c r="M2116">
        <v>1</v>
      </c>
      <c r="N2116">
        <v>0</v>
      </c>
      <c r="O2116" t="s">
        <v>54</v>
      </c>
      <c r="P2116" t="s">
        <v>55</v>
      </c>
      <c r="Q2116">
        <v>6</v>
      </c>
      <c r="R2116">
        <v>34</v>
      </c>
      <c r="S2116" t="s">
        <v>27</v>
      </c>
    </row>
    <row r="2117" spans="1:19" x14ac:dyDescent="0.3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 t="str">
        <f t="shared" si="33"/>
        <v>31-60 days</v>
      </c>
      <c r="L2117">
        <v>56</v>
      </c>
      <c r="M2117">
        <v>1</v>
      </c>
      <c r="N2117">
        <v>0</v>
      </c>
      <c r="O2117" t="s">
        <v>25</v>
      </c>
      <c r="P2117" t="s">
        <v>35</v>
      </c>
      <c r="Q2117">
        <v>15.7</v>
      </c>
      <c r="R2117">
        <v>2</v>
      </c>
      <c r="S2117" t="s">
        <v>27</v>
      </c>
    </row>
    <row r="2118" spans="1:19" x14ac:dyDescent="0.3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 t="str">
        <f t="shared" si="33"/>
        <v>31-60 days</v>
      </c>
      <c r="L2118">
        <v>31</v>
      </c>
      <c r="M2118">
        <v>2</v>
      </c>
      <c r="N2118">
        <v>0</v>
      </c>
      <c r="O2118" t="s">
        <v>25</v>
      </c>
      <c r="P2118" t="s">
        <v>50</v>
      </c>
      <c r="Q2118">
        <v>4.5</v>
      </c>
      <c r="R2118">
        <v>20</v>
      </c>
      <c r="S2118" t="s">
        <v>27</v>
      </c>
    </row>
    <row r="2119" spans="1:19" x14ac:dyDescent="0.3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 t="str">
        <f t="shared" si="33"/>
        <v>31-60 days</v>
      </c>
      <c r="L2119">
        <v>37</v>
      </c>
      <c r="M2119">
        <v>2</v>
      </c>
      <c r="N2119">
        <v>0</v>
      </c>
      <c r="O2119" t="s">
        <v>25</v>
      </c>
      <c r="P2119" t="s">
        <v>26</v>
      </c>
      <c r="Q2119">
        <v>5.3</v>
      </c>
      <c r="R2119">
        <v>19</v>
      </c>
      <c r="S2119" t="s">
        <v>71</v>
      </c>
    </row>
    <row r="2120" spans="1:19" x14ac:dyDescent="0.3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 t="str">
        <f t="shared" si="33"/>
        <v>15-30 days</v>
      </c>
      <c r="L2120">
        <v>26</v>
      </c>
      <c r="M2120">
        <v>4</v>
      </c>
      <c r="N2120">
        <v>0</v>
      </c>
      <c r="O2120" t="s">
        <v>25</v>
      </c>
      <c r="P2120" t="s">
        <v>35</v>
      </c>
      <c r="Q2120">
        <v>8.8000000000000007</v>
      </c>
      <c r="R2120">
        <v>19</v>
      </c>
      <c r="S2120" t="s">
        <v>27</v>
      </c>
    </row>
    <row r="2121" spans="1:19" x14ac:dyDescent="0.3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 t="str">
        <f t="shared" si="33"/>
        <v>31-60 days</v>
      </c>
      <c r="L2121">
        <v>31</v>
      </c>
      <c r="M2121">
        <v>2</v>
      </c>
      <c r="N2121">
        <v>0</v>
      </c>
      <c r="O2121" t="s">
        <v>25</v>
      </c>
      <c r="P2121" t="s">
        <v>35</v>
      </c>
      <c r="Q2121">
        <v>11.8</v>
      </c>
      <c r="R2121">
        <v>33</v>
      </c>
      <c r="S2121" t="s">
        <v>36</v>
      </c>
    </row>
    <row r="2122" spans="1:19" x14ac:dyDescent="0.3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 t="str">
        <f t="shared" si="33"/>
        <v>31-60 days</v>
      </c>
      <c r="L2122">
        <v>31</v>
      </c>
      <c r="M2122">
        <v>2</v>
      </c>
      <c r="N2122">
        <v>0</v>
      </c>
      <c r="O2122" t="s">
        <v>54</v>
      </c>
      <c r="P2122" t="s">
        <v>55</v>
      </c>
      <c r="Q2122">
        <v>3.4</v>
      </c>
      <c r="R2122">
        <v>21</v>
      </c>
      <c r="S2122" t="s">
        <v>27</v>
      </c>
    </row>
    <row r="2123" spans="1:19" x14ac:dyDescent="0.3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 t="str">
        <f t="shared" si="33"/>
        <v>31-60 days</v>
      </c>
      <c r="L2123">
        <v>43</v>
      </c>
      <c r="M2123">
        <v>9</v>
      </c>
      <c r="N2123">
        <v>2</v>
      </c>
      <c r="O2123" t="s">
        <v>54</v>
      </c>
      <c r="P2123" t="s">
        <v>55</v>
      </c>
      <c r="Q2123">
        <v>1.8</v>
      </c>
      <c r="R2123">
        <v>19</v>
      </c>
      <c r="S2123" t="s">
        <v>27</v>
      </c>
    </row>
    <row r="2124" spans="1:19" x14ac:dyDescent="0.3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 t="str">
        <f t="shared" si="33"/>
        <v>31-60 days</v>
      </c>
      <c r="L2124">
        <v>36</v>
      </c>
      <c r="M2124">
        <v>4</v>
      </c>
      <c r="N2124">
        <v>1</v>
      </c>
      <c r="O2124" t="s">
        <v>25</v>
      </c>
      <c r="P2124" t="s">
        <v>26</v>
      </c>
      <c r="Q2124">
        <v>5.0999999999999996</v>
      </c>
      <c r="R2124">
        <v>24</v>
      </c>
      <c r="S2124" t="s">
        <v>27</v>
      </c>
    </row>
    <row r="2125" spans="1:19" x14ac:dyDescent="0.3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 t="str">
        <f t="shared" si="33"/>
        <v>15-30 days</v>
      </c>
      <c r="L2125">
        <v>30</v>
      </c>
      <c r="M2125">
        <v>2</v>
      </c>
      <c r="N2125">
        <v>0</v>
      </c>
      <c r="O2125" t="s">
        <v>25</v>
      </c>
      <c r="P2125" t="s">
        <v>35</v>
      </c>
      <c r="Q2125">
        <v>8.1999999999999993</v>
      </c>
      <c r="R2125">
        <v>24</v>
      </c>
      <c r="S2125" t="s">
        <v>27</v>
      </c>
    </row>
    <row r="2126" spans="1:19" x14ac:dyDescent="0.3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 t="str">
        <f t="shared" si="33"/>
        <v>0-7 days</v>
      </c>
      <c r="L2126">
        <v>4</v>
      </c>
      <c r="M2126">
        <v>2</v>
      </c>
      <c r="N2126">
        <v>0</v>
      </c>
      <c r="O2126" t="s">
        <v>25</v>
      </c>
      <c r="P2126" t="s">
        <v>35</v>
      </c>
      <c r="Q2126">
        <v>3.3</v>
      </c>
      <c r="R2126">
        <v>11</v>
      </c>
      <c r="S2126" t="s">
        <v>36</v>
      </c>
    </row>
    <row r="2127" spans="1:19" x14ac:dyDescent="0.3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 t="str">
        <f t="shared" si="33"/>
        <v>31-60 days</v>
      </c>
      <c r="L2127">
        <v>55</v>
      </c>
      <c r="M2127">
        <v>3</v>
      </c>
      <c r="N2127">
        <v>1</v>
      </c>
      <c r="O2127" t="s">
        <v>54</v>
      </c>
      <c r="P2127" t="s">
        <v>55</v>
      </c>
      <c r="Q2127">
        <v>6.4</v>
      </c>
      <c r="R2127">
        <v>35</v>
      </c>
      <c r="S2127" t="s">
        <v>27</v>
      </c>
    </row>
    <row r="2128" spans="1:19" x14ac:dyDescent="0.3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 t="str">
        <f t="shared" si="33"/>
        <v>31-60 days</v>
      </c>
      <c r="L2128">
        <v>54</v>
      </c>
      <c r="M2128">
        <v>5</v>
      </c>
      <c r="N2128">
        <v>0</v>
      </c>
      <c r="O2128" t="s">
        <v>25</v>
      </c>
      <c r="P2128" t="s">
        <v>26</v>
      </c>
      <c r="Q2128">
        <v>6.6</v>
      </c>
      <c r="R2128">
        <v>18</v>
      </c>
      <c r="S2128" t="s">
        <v>71</v>
      </c>
    </row>
    <row r="2129" spans="1:19" x14ac:dyDescent="0.3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 t="str">
        <f t="shared" si="33"/>
        <v>8-14 days</v>
      </c>
      <c r="L2129">
        <v>11</v>
      </c>
      <c r="M2129">
        <v>6</v>
      </c>
      <c r="N2129">
        <v>3</v>
      </c>
      <c r="O2129" t="s">
        <v>25</v>
      </c>
      <c r="P2129" t="s">
        <v>26</v>
      </c>
      <c r="Q2129">
        <v>29.6</v>
      </c>
      <c r="R2129">
        <v>23</v>
      </c>
      <c r="S2129" t="s">
        <v>27</v>
      </c>
    </row>
    <row r="2130" spans="1:19" x14ac:dyDescent="0.3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 t="str">
        <f t="shared" si="33"/>
        <v>15-30 days</v>
      </c>
      <c r="L2130">
        <v>17</v>
      </c>
      <c r="M2130">
        <v>0</v>
      </c>
      <c r="N2130">
        <v>0</v>
      </c>
      <c r="O2130" t="s">
        <v>54</v>
      </c>
      <c r="P2130" t="s">
        <v>55</v>
      </c>
      <c r="Q2130">
        <v>12</v>
      </c>
      <c r="R2130">
        <v>40</v>
      </c>
      <c r="S2130" t="s">
        <v>27</v>
      </c>
    </row>
    <row r="2131" spans="1:19" x14ac:dyDescent="0.3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 t="str">
        <f t="shared" si="33"/>
        <v>31-60 days</v>
      </c>
      <c r="L2131">
        <v>59</v>
      </c>
      <c r="M2131">
        <v>1</v>
      </c>
      <c r="N2131">
        <v>0</v>
      </c>
      <c r="O2131" t="s">
        <v>25</v>
      </c>
      <c r="P2131" t="s">
        <v>26</v>
      </c>
      <c r="Q2131">
        <v>10.1</v>
      </c>
      <c r="R2131">
        <v>56</v>
      </c>
      <c r="S2131" t="s">
        <v>27</v>
      </c>
    </row>
    <row r="2132" spans="1:19" x14ac:dyDescent="0.3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 t="str">
        <f t="shared" si="33"/>
        <v>15-30 days</v>
      </c>
      <c r="L2132">
        <v>19</v>
      </c>
      <c r="M2132">
        <v>1</v>
      </c>
      <c r="N2132">
        <v>0</v>
      </c>
      <c r="O2132" t="s">
        <v>25</v>
      </c>
      <c r="P2132" t="s">
        <v>35</v>
      </c>
      <c r="Q2132">
        <v>7.2</v>
      </c>
      <c r="R2132">
        <v>29</v>
      </c>
      <c r="S2132" t="s">
        <v>36</v>
      </c>
    </row>
    <row r="2133" spans="1:19" x14ac:dyDescent="0.3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 t="str">
        <f t="shared" si="33"/>
        <v>31-60 days</v>
      </c>
      <c r="L2133">
        <v>49</v>
      </c>
      <c r="M2133">
        <v>1</v>
      </c>
      <c r="N2133">
        <v>0</v>
      </c>
      <c r="O2133" t="s">
        <v>25</v>
      </c>
      <c r="P2133" t="s">
        <v>35</v>
      </c>
      <c r="Q2133">
        <v>20.7</v>
      </c>
      <c r="R2133">
        <v>5</v>
      </c>
      <c r="S2133" t="s">
        <v>27</v>
      </c>
    </row>
    <row r="2134" spans="1:19" x14ac:dyDescent="0.3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 t="str">
        <f t="shared" si="33"/>
        <v>31-60 days</v>
      </c>
      <c r="L2134">
        <v>47</v>
      </c>
      <c r="M2134">
        <v>3</v>
      </c>
      <c r="N2134">
        <v>0</v>
      </c>
      <c r="O2134" t="s">
        <v>25</v>
      </c>
      <c r="P2134" t="s">
        <v>35</v>
      </c>
      <c r="Q2134">
        <v>3.6</v>
      </c>
      <c r="R2134">
        <v>21</v>
      </c>
      <c r="S2134" t="s">
        <v>36</v>
      </c>
    </row>
    <row r="2135" spans="1:19" x14ac:dyDescent="0.3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 t="str">
        <f t="shared" si="33"/>
        <v>31-60 days</v>
      </c>
      <c r="L2135">
        <v>52</v>
      </c>
      <c r="M2135">
        <v>3</v>
      </c>
      <c r="N2135">
        <v>0</v>
      </c>
      <c r="O2135" t="s">
        <v>25</v>
      </c>
      <c r="P2135" t="s">
        <v>26</v>
      </c>
      <c r="Q2135">
        <v>13.3</v>
      </c>
      <c r="R2135">
        <v>43</v>
      </c>
      <c r="S2135" t="s">
        <v>36</v>
      </c>
    </row>
    <row r="2136" spans="1:19" x14ac:dyDescent="0.3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 t="str">
        <f t="shared" si="33"/>
        <v>0-7 days</v>
      </c>
      <c r="L2136">
        <v>0</v>
      </c>
      <c r="M2136">
        <v>4</v>
      </c>
      <c r="N2136">
        <v>1</v>
      </c>
      <c r="O2136" t="s">
        <v>54</v>
      </c>
      <c r="P2136" t="s">
        <v>55</v>
      </c>
      <c r="Q2136">
        <v>21.4</v>
      </c>
      <c r="R2136">
        <v>21</v>
      </c>
      <c r="S2136" t="s">
        <v>71</v>
      </c>
    </row>
    <row r="2137" spans="1:19" x14ac:dyDescent="0.3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 t="str">
        <f t="shared" si="33"/>
        <v>15-30 days</v>
      </c>
      <c r="L2137">
        <v>29</v>
      </c>
      <c r="M2137">
        <v>2</v>
      </c>
      <c r="N2137">
        <v>1</v>
      </c>
      <c r="O2137" t="s">
        <v>54</v>
      </c>
      <c r="P2137" t="s">
        <v>55</v>
      </c>
      <c r="Q2137">
        <v>15</v>
      </c>
      <c r="R2137">
        <v>33</v>
      </c>
      <c r="S2137" t="s">
        <v>27</v>
      </c>
    </row>
    <row r="2138" spans="1:19" x14ac:dyDescent="0.3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 t="str">
        <f t="shared" si="33"/>
        <v>31-60 days</v>
      </c>
      <c r="L2138">
        <v>34</v>
      </c>
      <c r="M2138">
        <v>4</v>
      </c>
      <c r="N2138">
        <v>2</v>
      </c>
      <c r="O2138" t="s">
        <v>54</v>
      </c>
      <c r="P2138" t="s">
        <v>55</v>
      </c>
      <c r="Q2138">
        <v>5.4</v>
      </c>
      <c r="R2138">
        <v>33</v>
      </c>
      <c r="S2138" t="s">
        <v>71</v>
      </c>
    </row>
    <row r="2139" spans="1:19" x14ac:dyDescent="0.3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 t="str">
        <f t="shared" si="33"/>
        <v>31-60 days</v>
      </c>
      <c r="L2139">
        <v>51</v>
      </c>
      <c r="M2139">
        <v>4</v>
      </c>
      <c r="N2139">
        <v>0</v>
      </c>
      <c r="O2139" t="s">
        <v>25</v>
      </c>
      <c r="P2139" t="s">
        <v>26</v>
      </c>
      <c r="Q2139">
        <v>3.3</v>
      </c>
      <c r="R2139">
        <v>16</v>
      </c>
      <c r="S2139" t="s">
        <v>27</v>
      </c>
    </row>
    <row r="2140" spans="1:19" x14ac:dyDescent="0.3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 t="str">
        <f t="shared" si="33"/>
        <v>8-14 days</v>
      </c>
      <c r="L2140">
        <v>13</v>
      </c>
      <c r="M2140">
        <v>3</v>
      </c>
      <c r="N2140">
        <v>2</v>
      </c>
      <c r="O2140" t="s">
        <v>25</v>
      </c>
      <c r="P2140" t="s">
        <v>35</v>
      </c>
      <c r="Q2140">
        <v>15.5</v>
      </c>
      <c r="R2140">
        <v>45</v>
      </c>
      <c r="S2140" t="s">
        <v>27</v>
      </c>
    </row>
    <row r="2141" spans="1:19" x14ac:dyDescent="0.3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 t="str">
        <f t="shared" si="33"/>
        <v>15-30 days</v>
      </c>
      <c r="L2141">
        <v>18</v>
      </c>
      <c r="M2141">
        <v>3</v>
      </c>
      <c r="N2141">
        <v>1</v>
      </c>
      <c r="O2141" t="s">
        <v>25</v>
      </c>
      <c r="P2141" t="s">
        <v>35</v>
      </c>
      <c r="Q2141">
        <v>13.5</v>
      </c>
      <c r="R2141">
        <v>29</v>
      </c>
      <c r="S2141" t="s">
        <v>36</v>
      </c>
    </row>
    <row r="2142" spans="1:19" x14ac:dyDescent="0.3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 t="str">
        <f t="shared" si="33"/>
        <v>8-14 days</v>
      </c>
      <c r="L2142">
        <v>10</v>
      </c>
      <c r="M2142">
        <v>6</v>
      </c>
      <c r="N2142">
        <v>1</v>
      </c>
      <c r="O2142" t="s">
        <v>25</v>
      </c>
      <c r="P2142" t="s">
        <v>35</v>
      </c>
      <c r="Q2142">
        <v>17.3</v>
      </c>
      <c r="R2142">
        <v>24</v>
      </c>
      <c r="S2142" t="s">
        <v>36</v>
      </c>
    </row>
    <row r="2143" spans="1:19" x14ac:dyDescent="0.3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 t="str">
        <f t="shared" si="33"/>
        <v>31-60 days</v>
      </c>
      <c r="L2143">
        <v>46</v>
      </c>
      <c r="M2143">
        <v>3</v>
      </c>
      <c r="N2143">
        <v>2</v>
      </c>
      <c r="O2143" t="s">
        <v>25</v>
      </c>
      <c r="P2143" t="s">
        <v>35</v>
      </c>
      <c r="Q2143">
        <v>14.3</v>
      </c>
      <c r="R2143">
        <v>22</v>
      </c>
      <c r="S2143" t="s">
        <v>27</v>
      </c>
    </row>
    <row r="2144" spans="1:19" x14ac:dyDescent="0.3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 t="str">
        <f t="shared" si="33"/>
        <v>31-60 days</v>
      </c>
      <c r="L2144">
        <v>60</v>
      </c>
      <c r="M2144">
        <v>5</v>
      </c>
      <c r="N2144">
        <v>3</v>
      </c>
      <c r="O2144" t="s">
        <v>54</v>
      </c>
      <c r="P2144" t="s">
        <v>55</v>
      </c>
      <c r="Q2144">
        <v>18.2</v>
      </c>
      <c r="R2144">
        <v>11</v>
      </c>
      <c r="S2144" t="s">
        <v>27</v>
      </c>
    </row>
    <row r="2145" spans="1:19" x14ac:dyDescent="0.3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 t="str">
        <f t="shared" si="33"/>
        <v>8-14 days</v>
      </c>
      <c r="L2145">
        <v>8</v>
      </c>
      <c r="M2145">
        <v>4</v>
      </c>
      <c r="N2145">
        <v>1</v>
      </c>
      <c r="O2145" t="s">
        <v>25</v>
      </c>
      <c r="P2145" t="s">
        <v>50</v>
      </c>
      <c r="Q2145">
        <v>7.2</v>
      </c>
      <c r="R2145">
        <v>15</v>
      </c>
      <c r="S2145" t="s">
        <v>27</v>
      </c>
    </row>
    <row r="2146" spans="1:19" x14ac:dyDescent="0.3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 t="str">
        <f t="shared" si="33"/>
        <v>8-14 days</v>
      </c>
      <c r="L2146">
        <v>14</v>
      </c>
      <c r="M2146">
        <v>4</v>
      </c>
      <c r="N2146">
        <v>1</v>
      </c>
      <c r="O2146" t="s">
        <v>54</v>
      </c>
      <c r="P2146" t="s">
        <v>55</v>
      </c>
      <c r="Q2146">
        <v>9.3000000000000007</v>
      </c>
      <c r="R2146">
        <v>13</v>
      </c>
      <c r="S2146" t="s">
        <v>36</v>
      </c>
    </row>
    <row r="2147" spans="1:19" x14ac:dyDescent="0.3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 t="str">
        <f t="shared" si="33"/>
        <v>15-30 days</v>
      </c>
      <c r="L2147">
        <v>18</v>
      </c>
      <c r="M2147">
        <v>3</v>
      </c>
      <c r="N2147">
        <v>1</v>
      </c>
      <c r="O2147" t="s">
        <v>54</v>
      </c>
      <c r="P2147" t="s">
        <v>55</v>
      </c>
      <c r="Q2147">
        <v>3.8</v>
      </c>
      <c r="R2147">
        <v>49</v>
      </c>
      <c r="S2147" t="s">
        <v>27</v>
      </c>
    </row>
    <row r="2148" spans="1:19" x14ac:dyDescent="0.3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 t="str">
        <f t="shared" si="33"/>
        <v>31-60 days</v>
      </c>
      <c r="L2148">
        <v>54</v>
      </c>
      <c r="M2148">
        <v>1</v>
      </c>
      <c r="N2148">
        <v>0</v>
      </c>
      <c r="O2148" t="s">
        <v>25</v>
      </c>
      <c r="P2148" t="s">
        <v>35</v>
      </c>
      <c r="Q2148">
        <v>3.2</v>
      </c>
      <c r="R2148">
        <v>35</v>
      </c>
      <c r="S2148" t="s">
        <v>36</v>
      </c>
    </row>
    <row r="2149" spans="1:19" x14ac:dyDescent="0.3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 t="str">
        <f t="shared" si="33"/>
        <v>15-30 days</v>
      </c>
      <c r="L2149">
        <v>27</v>
      </c>
      <c r="M2149">
        <v>4</v>
      </c>
      <c r="N2149">
        <v>0</v>
      </c>
      <c r="O2149" t="s">
        <v>25</v>
      </c>
      <c r="P2149" t="s">
        <v>35</v>
      </c>
      <c r="Q2149">
        <v>11.3</v>
      </c>
      <c r="R2149">
        <v>13</v>
      </c>
      <c r="S2149" t="s">
        <v>71</v>
      </c>
    </row>
    <row r="2150" spans="1:19" x14ac:dyDescent="0.3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 t="str">
        <f t="shared" si="33"/>
        <v>15-30 days</v>
      </c>
      <c r="L2150">
        <v>17</v>
      </c>
      <c r="M2150">
        <v>2</v>
      </c>
      <c r="N2150">
        <v>0</v>
      </c>
      <c r="O2150" t="s">
        <v>54</v>
      </c>
      <c r="P2150" t="s">
        <v>55</v>
      </c>
      <c r="Q2150">
        <v>5.9</v>
      </c>
      <c r="R2150">
        <v>44</v>
      </c>
      <c r="S2150" t="s">
        <v>27</v>
      </c>
    </row>
    <row r="2151" spans="1:19" x14ac:dyDescent="0.3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 t="str">
        <f t="shared" si="33"/>
        <v>15-30 days</v>
      </c>
      <c r="L2151">
        <v>19</v>
      </c>
      <c r="M2151">
        <v>2</v>
      </c>
      <c r="N2151">
        <v>2</v>
      </c>
      <c r="O2151" t="s">
        <v>25</v>
      </c>
      <c r="P2151" t="s">
        <v>26</v>
      </c>
      <c r="Q2151">
        <v>21.9</v>
      </c>
      <c r="R2151">
        <v>39</v>
      </c>
      <c r="S2151" t="s">
        <v>36</v>
      </c>
    </row>
    <row r="2152" spans="1:19" x14ac:dyDescent="0.3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 t="str">
        <f t="shared" si="33"/>
        <v>31-60 days</v>
      </c>
      <c r="L2152">
        <v>36</v>
      </c>
      <c r="M2152">
        <v>1</v>
      </c>
      <c r="N2152">
        <v>0</v>
      </c>
      <c r="O2152" t="s">
        <v>25</v>
      </c>
      <c r="P2152" t="s">
        <v>35</v>
      </c>
      <c r="Q2152">
        <v>13.4</v>
      </c>
      <c r="R2152">
        <v>17</v>
      </c>
      <c r="S2152" t="s">
        <v>27</v>
      </c>
    </row>
    <row r="2153" spans="1:19" x14ac:dyDescent="0.3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 t="str">
        <f t="shared" si="33"/>
        <v>15-30 days</v>
      </c>
      <c r="L2153">
        <v>23</v>
      </c>
      <c r="M2153">
        <v>3</v>
      </c>
      <c r="N2153">
        <v>0</v>
      </c>
      <c r="O2153" t="s">
        <v>25</v>
      </c>
      <c r="P2153" t="s">
        <v>35</v>
      </c>
      <c r="Q2153">
        <v>9.8000000000000007</v>
      </c>
      <c r="R2153">
        <v>30</v>
      </c>
      <c r="S2153" t="s">
        <v>27</v>
      </c>
    </row>
    <row r="2154" spans="1:19" x14ac:dyDescent="0.3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 t="str">
        <f t="shared" si="33"/>
        <v>8-14 days</v>
      </c>
      <c r="L2154">
        <v>8</v>
      </c>
      <c r="M2154">
        <v>3</v>
      </c>
      <c r="N2154">
        <v>0</v>
      </c>
      <c r="O2154" t="s">
        <v>54</v>
      </c>
      <c r="P2154" t="s">
        <v>55</v>
      </c>
      <c r="Q2154">
        <v>2.6</v>
      </c>
      <c r="R2154">
        <v>17</v>
      </c>
      <c r="S2154" t="s">
        <v>36</v>
      </c>
    </row>
    <row r="2155" spans="1:19" x14ac:dyDescent="0.3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 t="str">
        <f t="shared" si="33"/>
        <v>31-60 days</v>
      </c>
      <c r="L2155">
        <v>50</v>
      </c>
      <c r="M2155">
        <v>1</v>
      </c>
      <c r="N2155">
        <v>0</v>
      </c>
      <c r="O2155" t="s">
        <v>25</v>
      </c>
      <c r="P2155" t="s">
        <v>26</v>
      </c>
      <c r="Q2155">
        <v>4.3</v>
      </c>
      <c r="R2155">
        <v>35</v>
      </c>
      <c r="S2155" t="s">
        <v>27</v>
      </c>
    </row>
    <row r="2156" spans="1:19" x14ac:dyDescent="0.3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 t="str">
        <f t="shared" si="33"/>
        <v>15-30 days</v>
      </c>
      <c r="L2156">
        <v>25</v>
      </c>
      <c r="M2156">
        <v>3</v>
      </c>
      <c r="N2156">
        <v>0</v>
      </c>
      <c r="O2156" t="s">
        <v>25</v>
      </c>
      <c r="P2156" t="s">
        <v>35</v>
      </c>
      <c r="Q2156">
        <v>5.3</v>
      </c>
      <c r="R2156">
        <v>29</v>
      </c>
      <c r="S2156" t="s">
        <v>27</v>
      </c>
    </row>
    <row r="2157" spans="1:19" x14ac:dyDescent="0.3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 t="str">
        <f t="shared" si="33"/>
        <v>15-30 days</v>
      </c>
      <c r="L2157">
        <v>15</v>
      </c>
      <c r="M2157">
        <v>3</v>
      </c>
      <c r="N2157">
        <v>0</v>
      </c>
      <c r="O2157" t="s">
        <v>54</v>
      </c>
      <c r="P2157" t="s">
        <v>55</v>
      </c>
      <c r="Q2157">
        <v>6.9</v>
      </c>
      <c r="R2157">
        <v>19</v>
      </c>
      <c r="S2157" t="s">
        <v>27</v>
      </c>
    </row>
    <row r="2158" spans="1:19" x14ac:dyDescent="0.3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 t="str">
        <f t="shared" si="33"/>
        <v>31-60 days</v>
      </c>
      <c r="L2158">
        <v>44</v>
      </c>
      <c r="M2158">
        <v>1</v>
      </c>
      <c r="N2158">
        <v>1</v>
      </c>
      <c r="O2158" t="s">
        <v>54</v>
      </c>
      <c r="P2158" t="s">
        <v>55</v>
      </c>
      <c r="Q2158">
        <v>16.2</v>
      </c>
      <c r="R2158">
        <v>10</v>
      </c>
      <c r="S2158" t="s">
        <v>27</v>
      </c>
    </row>
    <row r="2159" spans="1:19" x14ac:dyDescent="0.3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 t="str">
        <f t="shared" si="33"/>
        <v>31-60 days</v>
      </c>
      <c r="L2159">
        <v>45</v>
      </c>
      <c r="M2159">
        <v>2</v>
      </c>
      <c r="N2159">
        <v>0</v>
      </c>
      <c r="O2159" t="s">
        <v>25</v>
      </c>
      <c r="P2159" t="s">
        <v>26</v>
      </c>
      <c r="Q2159">
        <v>3.1</v>
      </c>
      <c r="R2159">
        <v>23</v>
      </c>
      <c r="S2159" t="s">
        <v>36</v>
      </c>
    </row>
    <row r="2160" spans="1:19" x14ac:dyDescent="0.3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 t="str">
        <f t="shared" si="33"/>
        <v>8-14 days</v>
      </c>
      <c r="L2160">
        <v>9</v>
      </c>
      <c r="M2160">
        <v>2</v>
      </c>
      <c r="N2160">
        <v>2</v>
      </c>
      <c r="O2160" t="s">
        <v>54</v>
      </c>
      <c r="P2160" t="s">
        <v>55</v>
      </c>
      <c r="Q2160">
        <v>29.3</v>
      </c>
      <c r="R2160">
        <v>29</v>
      </c>
      <c r="S2160" t="s">
        <v>27</v>
      </c>
    </row>
    <row r="2161" spans="1:19" x14ac:dyDescent="0.3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 t="str">
        <f t="shared" si="33"/>
        <v>0-7 days</v>
      </c>
      <c r="L2161">
        <v>4</v>
      </c>
      <c r="M2161">
        <v>2</v>
      </c>
      <c r="N2161">
        <v>1</v>
      </c>
      <c r="O2161" t="s">
        <v>54</v>
      </c>
      <c r="P2161" t="s">
        <v>55</v>
      </c>
      <c r="Q2161">
        <v>14.7</v>
      </c>
      <c r="R2161">
        <v>38</v>
      </c>
      <c r="S2161" t="s">
        <v>27</v>
      </c>
    </row>
    <row r="2162" spans="1:19" x14ac:dyDescent="0.3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 t="str">
        <f t="shared" si="33"/>
        <v>0-7 days</v>
      </c>
      <c r="L2162">
        <v>2</v>
      </c>
      <c r="M2162">
        <v>0</v>
      </c>
      <c r="N2162">
        <v>0</v>
      </c>
      <c r="O2162" t="s">
        <v>54</v>
      </c>
      <c r="P2162" t="s">
        <v>55</v>
      </c>
      <c r="Q2162">
        <v>3.9</v>
      </c>
      <c r="R2162">
        <v>31</v>
      </c>
      <c r="S2162" t="s">
        <v>36</v>
      </c>
    </row>
    <row r="2163" spans="1:19" x14ac:dyDescent="0.3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 t="str">
        <f t="shared" si="33"/>
        <v>31-60 days</v>
      </c>
      <c r="L2163">
        <v>46</v>
      </c>
      <c r="M2163">
        <v>0</v>
      </c>
      <c r="N2163">
        <v>0</v>
      </c>
      <c r="O2163" t="s">
        <v>54</v>
      </c>
      <c r="P2163" t="s">
        <v>55</v>
      </c>
      <c r="Q2163">
        <v>20.9</v>
      </c>
      <c r="R2163">
        <v>34</v>
      </c>
      <c r="S2163" t="s">
        <v>27</v>
      </c>
    </row>
    <row r="2164" spans="1:19" x14ac:dyDescent="0.3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 t="str">
        <f t="shared" si="33"/>
        <v>31-60 days</v>
      </c>
      <c r="L2164">
        <v>38</v>
      </c>
      <c r="M2164">
        <v>1</v>
      </c>
      <c r="N2164">
        <v>0</v>
      </c>
      <c r="O2164" t="s">
        <v>25</v>
      </c>
      <c r="P2164" t="s">
        <v>35</v>
      </c>
      <c r="Q2164">
        <v>13.3</v>
      </c>
      <c r="R2164">
        <v>16</v>
      </c>
      <c r="S2164" t="s">
        <v>36</v>
      </c>
    </row>
    <row r="2165" spans="1:19" x14ac:dyDescent="0.3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 t="str">
        <f t="shared" si="33"/>
        <v>31-60 days</v>
      </c>
      <c r="L2165">
        <v>48</v>
      </c>
      <c r="M2165">
        <v>3</v>
      </c>
      <c r="N2165">
        <v>2</v>
      </c>
      <c r="O2165" t="s">
        <v>54</v>
      </c>
      <c r="P2165" t="s">
        <v>55</v>
      </c>
      <c r="Q2165">
        <v>5.8</v>
      </c>
      <c r="R2165">
        <v>2</v>
      </c>
      <c r="S2165" t="s">
        <v>27</v>
      </c>
    </row>
    <row r="2166" spans="1:19" x14ac:dyDescent="0.3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 t="str">
        <f t="shared" si="33"/>
        <v>31-60 days</v>
      </c>
      <c r="L2166">
        <v>38</v>
      </c>
      <c r="M2166">
        <v>3</v>
      </c>
      <c r="N2166">
        <v>1</v>
      </c>
      <c r="O2166" t="s">
        <v>54</v>
      </c>
      <c r="P2166" t="s">
        <v>55</v>
      </c>
      <c r="Q2166">
        <v>14.8</v>
      </c>
      <c r="R2166">
        <v>5</v>
      </c>
      <c r="S2166" t="s">
        <v>27</v>
      </c>
    </row>
    <row r="2167" spans="1:19" x14ac:dyDescent="0.3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 t="str">
        <f t="shared" si="33"/>
        <v>15-30 days</v>
      </c>
      <c r="L2167">
        <v>24</v>
      </c>
      <c r="M2167">
        <v>1</v>
      </c>
      <c r="N2167">
        <v>1</v>
      </c>
      <c r="O2167" t="s">
        <v>25</v>
      </c>
      <c r="P2167" t="s">
        <v>35</v>
      </c>
      <c r="Q2167">
        <v>4.0999999999999996</v>
      </c>
      <c r="R2167">
        <v>21</v>
      </c>
      <c r="S2167" t="s">
        <v>36</v>
      </c>
    </row>
    <row r="2168" spans="1:19" x14ac:dyDescent="0.3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 t="str">
        <f t="shared" si="33"/>
        <v>31-60 days</v>
      </c>
      <c r="L2168">
        <v>35</v>
      </c>
      <c r="M2168">
        <v>1</v>
      </c>
      <c r="N2168">
        <v>1</v>
      </c>
      <c r="O2168" t="s">
        <v>25</v>
      </c>
      <c r="P2168" t="s">
        <v>26</v>
      </c>
      <c r="Q2168">
        <v>9.3000000000000007</v>
      </c>
      <c r="R2168">
        <v>15</v>
      </c>
      <c r="S2168" t="s">
        <v>36</v>
      </c>
    </row>
    <row r="2169" spans="1:19" x14ac:dyDescent="0.3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 t="str">
        <f t="shared" si="33"/>
        <v>31-60 days</v>
      </c>
      <c r="L2169">
        <v>44</v>
      </c>
      <c r="M2169">
        <v>3</v>
      </c>
      <c r="N2169">
        <v>0</v>
      </c>
      <c r="O2169" t="s">
        <v>25</v>
      </c>
      <c r="P2169" t="s">
        <v>35</v>
      </c>
      <c r="Q2169">
        <v>12.6</v>
      </c>
      <c r="R2169">
        <v>23</v>
      </c>
      <c r="S2169" t="s">
        <v>27</v>
      </c>
    </row>
    <row r="2170" spans="1:19" x14ac:dyDescent="0.3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 t="str">
        <f t="shared" si="33"/>
        <v>15-30 days</v>
      </c>
      <c r="L2170">
        <v>24</v>
      </c>
      <c r="M2170">
        <v>3</v>
      </c>
      <c r="N2170">
        <v>2</v>
      </c>
      <c r="O2170" t="s">
        <v>25</v>
      </c>
      <c r="P2170" t="s">
        <v>35</v>
      </c>
      <c r="Q2170">
        <v>4.3</v>
      </c>
      <c r="R2170">
        <v>32</v>
      </c>
      <c r="S2170" t="s">
        <v>36</v>
      </c>
    </row>
    <row r="2171" spans="1:19" x14ac:dyDescent="0.3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 t="str">
        <f t="shared" si="33"/>
        <v>31-60 days</v>
      </c>
      <c r="L2171">
        <v>55</v>
      </c>
      <c r="M2171">
        <v>4</v>
      </c>
      <c r="N2171">
        <v>1</v>
      </c>
      <c r="O2171" t="s">
        <v>25</v>
      </c>
      <c r="P2171" t="s">
        <v>26</v>
      </c>
      <c r="Q2171">
        <v>10.1</v>
      </c>
      <c r="R2171">
        <v>31</v>
      </c>
      <c r="S2171" t="s">
        <v>27</v>
      </c>
    </row>
    <row r="2172" spans="1:19" x14ac:dyDescent="0.3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 t="str">
        <f t="shared" si="33"/>
        <v>31-60 days</v>
      </c>
      <c r="L2172">
        <v>54</v>
      </c>
      <c r="M2172">
        <v>5</v>
      </c>
      <c r="N2172">
        <v>1</v>
      </c>
      <c r="O2172" t="s">
        <v>25</v>
      </c>
      <c r="P2172" t="s">
        <v>26</v>
      </c>
      <c r="Q2172">
        <v>11.7</v>
      </c>
      <c r="R2172">
        <v>2</v>
      </c>
      <c r="S2172" t="s">
        <v>27</v>
      </c>
    </row>
    <row r="2173" spans="1:19" x14ac:dyDescent="0.3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 t="str">
        <f t="shared" si="33"/>
        <v>31-60 days</v>
      </c>
      <c r="L2173">
        <v>48</v>
      </c>
      <c r="M2173">
        <v>5</v>
      </c>
      <c r="N2173">
        <v>2</v>
      </c>
      <c r="O2173" t="s">
        <v>25</v>
      </c>
      <c r="P2173" t="s">
        <v>35</v>
      </c>
      <c r="Q2173">
        <v>6.8</v>
      </c>
      <c r="R2173">
        <v>52</v>
      </c>
      <c r="S2173" t="s">
        <v>27</v>
      </c>
    </row>
    <row r="2174" spans="1:19" x14ac:dyDescent="0.3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 t="str">
        <f t="shared" si="33"/>
        <v>31-60 days</v>
      </c>
      <c r="L2174">
        <v>60</v>
      </c>
      <c r="M2174">
        <v>5</v>
      </c>
      <c r="N2174">
        <v>1</v>
      </c>
      <c r="O2174" t="s">
        <v>25</v>
      </c>
      <c r="P2174" t="s">
        <v>35</v>
      </c>
      <c r="Q2174">
        <v>5.4</v>
      </c>
      <c r="R2174">
        <v>28</v>
      </c>
      <c r="S2174" t="s">
        <v>27</v>
      </c>
    </row>
    <row r="2175" spans="1:19" x14ac:dyDescent="0.3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 t="str">
        <f t="shared" si="33"/>
        <v>15-30 days</v>
      </c>
      <c r="L2175">
        <v>23</v>
      </c>
      <c r="M2175">
        <v>3</v>
      </c>
      <c r="N2175">
        <v>0</v>
      </c>
      <c r="O2175" t="s">
        <v>54</v>
      </c>
      <c r="P2175" t="s">
        <v>55</v>
      </c>
      <c r="Q2175">
        <v>9.6</v>
      </c>
      <c r="R2175">
        <v>27</v>
      </c>
      <c r="S2175" t="s">
        <v>27</v>
      </c>
    </row>
    <row r="2176" spans="1:19" x14ac:dyDescent="0.3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 t="str">
        <f t="shared" si="33"/>
        <v>0-7 days</v>
      </c>
      <c r="L2176">
        <v>6</v>
      </c>
      <c r="M2176">
        <v>2</v>
      </c>
      <c r="N2176">
        <v>0</v>
      </c>
      <c r="O2176" t="s">
        <v>25</v>
      </c>
      <c r="P2176" t="s">
        <v>35</v>
      </c>
      <c r="Q2176">
        <v>7.5</v>
      </c>
      <c r="R2176">
        <v>22</v>
      </c>
      <c r="S2176" t="s">
        <v>36</v>
      </c>
    </row>
    <row r="2177" spans="1:19" x14ac:dyDescent="0.3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 t="str">
        <f t="shared" si="33"/>
        <v>15-30 days</v>
      </c>
      <c r="L2177">
        <v>29</v>
      </c>
      <c r="M2177">
        <v>1</v>
      </c>
      <c r="N2177">
        <v>0</v>
      </c>
      <c r="O2177" t="s">
        <v>54</v>
      </c>
      <c r="P2177" t="s">
        <v>55</v>
      </c>
      <c r="Q2177">
        <v>23</v>
      </c>
      <c r="R2177">
        <v>21</v>
      </c>
      <c r="S2177" t="s">
        <v>27</v>
      </c>
    </row>
    <row r="2178" spans="1:19" x14ac:dyDescent="0.3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 t="str">
        <f t="shared" si="33"/>
        <v>31-60 days</v>
      </c>
      <c r="L2178">
        <v>45</v>
      </c>
      <c r="M2178">
        <v>1</v>
      </c>
      <c r="N2178">
        <v>0</v>
      </c>
      <c r="O2178" t="s">
        <v>25</v>
      </c>
      <c r="P2178" t="s">
        <v>35</v>
      </c>
      <c r="Q2178">
        <v>12.7</v>
      </c>
      <c r="R2178">
        <v>36</v>
      </c>
      <c r="S2178" t="s">
        <v>27</v>
      </c>
    </row>
    <row r="2179" spans="1:19" x14ac:dyDescent="0.3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 t="str">
        <f t="shared" ref="K2179:K2242" si="34">IF(L2179&lt;=7,"0-7 days",IF(L2179&lt;=14,"8-14 days",IF(L2179&lt;=30,"15-30 days","31-60 days")))</f>
        <v>31-60 days</v>
      </c>
      <c r="L2179">
        <v>47</v>
      </c>
      <c r="M2179">
        <v>6</v>
      </c>
      <c r="N2179">
        <v>0</v>
      </c>
      <c r="O2179" t="s">
        <v>54</v>
      </c>
      <c r="P2179" t="s">
        <v>55</v>
      </c>
      <c r="Q2179">
        <v>7.7</v>
      </c>
      <c r="R2179">
        <v>13</v>
      </c>
      <c r="S2179" t="s">
        <v>36</v>
      </c>
    </row>
    <row r="2180" spans="1:19" x14ac:dyDescent="0.3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 t="str">
        <f t="shared" si="34"/>
        <v>15-30 days</v>
      </c>
      <c r="L2180">
        <v>23</v>
      </c>
      <c r="M2180">
        <v>6</v>
      </c>
      <c r="N2180">
        <v>1</v>
      </c>
      <c r="O2180" t="s">
        <v>25</v>
      </c>
      <c r="P2180" t="s">
        <v>35</v>
      </c>
      <c r="Q2180">
        <v>8.8000000000000007</v>
      </c>
      <c r="R2180">
        <v>27</v>
      </c>
      <c r="S2180" t="s">
        <v>36</v>
      </c>
    </row>
    <row r="2181" spans="1:19" x14ac:dyDescent="0.3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 t="str">
        <f t="shared" si="34"/>
        <v>15-30 days</v>
      </c>
      <c r="L2181">
        <v>17</v>
      </c>
      <c r="M2181">
        <v>2</v>
      </c>
      <c r="N2181">
        <v>0</v>
      </c>
      <c r="O2181" t="s">
        <v>25</v>
      </c>
      <c r="P2181" t="s">
        <v>35</v>
      </c>
      <c r="Q2181">
        <v>5.6</v>
      </c>
      <c r="R2181">
        <v>41</v>
      </c>
      <c r="S2181" t="s">
        <v>36</v>
      </c>
    </row>
    <row r="2182" spans="1:19" x14ac:dyDescent="0.3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 t="str">
        <f t="shared" si="34"/>
        <v>15-30 days</v>
      </c>
      <c r="L2182">
        <v>27</v>
      </c>
      <c r="M2182">
        <v>0</v>
      </c>
      <c r="N2182">
        <v>0</v>
      </c>
      <c r="O2182" t="s">
        <v>25</v>
      </c>
      <c r="P2182" t="s">
        <v>35</v>
      </c>
      <c r="Q2182">
        <v>17.8</v>
      </c>
      <c r="R2182">
        <v>26</v>
      </c>
      <c r="S2182" t="s">
        <v>36</v>
      </c>
    </row>
    <row r="2183" spans="1:19" x14ac:dyDescent="0.3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 t="str">
        <f t="shared" si="34"/>
        <v>31-60 days</v>
      </c>
      <c r="L2183">
        <v>49</v>
      </c>
      <c r="M2183">
        <v>4</v>
      </c>
      <c r="N2183">
        <v>1</v>
      </c>
      <c r="O2183" t="s">
        <v>25</v>
      </c>
      <c r="P2183" t="s">
        <v>35</v>
      </c>
      <c r="Q2183">
        <v>13.4</v>
      </c>
      <c r="R2183">
        <v>30</v>
      </c>
      <c r="S2183" t="s">
        <v>27</v>
      </c>
    </row>
    <row r="2184" spans="1:19" x14ac:dyDescent="0.3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 t="str">
        <f t="shared" si="34"/>
        <v>0-7 days</v>
      </c>
      <c r="L2184">
        <v>3</v>
      </c>
      <c r="M2184">
        <v>4</v>
      </c>
      <c r="N2184">
        <v>1</v>
      </c>
      <c r="O2184" t="s">
        <v>54</v>
      </c>
      <c r="P2184" t="s">
        <v>55</v>
      </c>
      <c r="R2184">
        <v>9</v>
      </c>
      <c r="S2184" t="s">
        <v>36</v>
      </c>
    </row>
    <row r="2185" spans="1:19" x14ac:dyDescent="0.3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 t="str">
        <f t="shared" si="34"/>
        <v>15-30 days</v>
      </c>
      <c r="L2185">
        <v>20</v>
      </c>
      <c r="M2185">
        <v>3</v>
      </c>
      <c r="N2185">
        <v>0</v>
      </c>
      <c r="O2185" t="s">
        <v>25</v>
      </c>
      <c r="P2185" t="s">
        <v>26</v>
      </c>
      <c r="Q2185">
        <v>10.1</v>
      </c>
      <c r="R2185">
        <v>33</v>
      </c>
      <c r="S2185" t="s">
        <v>36</v>
      </c>
    </row>
    <row r="2186" spans="1:19" x14ac:dyDescent="0.3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 t="str">
        <f t="shared" si="34"/>
        <v>8-14 days</v>
      </c>
      <c r="L2186">
        <v>14</v>
      </c>
      <c r="M2186">
        <v>1</v>
      </c>
      <c r="N2186">
        <v>0</v>
      </c>
      <c r="O2186" t="s">
        <v>25</v>
      </c>
      <c r="P2186" t="s">
        <v>26</v>
      </c>
      <c r="Q2186">
        <v>7.9</v>
      </c>
      <c r="R2186">
        <v>28</v>
      </c>
      <c r="S2186" t="s">
        <v>36</v>
      </c>
    </row>
    <row r="2187" spans="1:19" x14ac:dyDescent="0.3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 t="str">
        <f t="shared" si="34"/>
        <v>31-60 days</v>
      </c>
      <c r="L2187">
        <v>49</v>
      </c>
      <c r="M2187">
        <v>3</v>
      </c>
      <c r="N2187">
        <v>0</v>
      </c>
      <c r="O2187" t="s">
        <v>54</v>
      </c>
      <c r="P2187" t="s">
        <v>55</v>
      </c>
      <c r="Q2187">
        <v>10.3</v>
      </c>
      <c r="R2187">
        <v>23</v>
      </c>
      <c r="S2187" t="s">
        <v>27</v>
      </c>
    </row>
    <row r="2188" spans="1:19" x14ac:dyDescent="0.3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 t="str">
        <f t="shared" si="34"/>
        <v>15-30 days</v>
      </c>
      <c r="L2188">
        <v>28</v>
      </c>
      <c r="M2188">
        <v>3</v>
      </c>
      <c r="N2188">
        <v>2</v>
      </c>
      <c r="O2188" t="s">
        <v>25</v>
      </c>
      <c r="P2188" t="s">
        <v>35</v>
      </c>
      <c r="Q2188">
        <v>23.4</v>
      </c>
      <c r="R2188">
        <v>32</v>
      </c>
      <c r="S2188" t="s">
        <v>71</v>
      </c>
    </row>
    <row r="2189" spans="1:19" x14ac:dyDescent="0.3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 t="str">
        <f t="shared" si="34"/>
        <v>0-7 days</v>
      </c>
      <c r="L2189">
        <v>5</v>
      </c>
      <c r="M2189">
        <v>3</v>
      </c>
      <c r="N2189">
        <v>0</v>
      </c>
      <c r="O2189" t="s">
        <v>25</v>
      </c>
      <c r="P2189" t="s">
        <v>26</v>
      </c>
      <c r="Q2189">
        <v>6.7</v>
      </c>
      <c r="R2189">
        <v>11</v>
      </c>
      <c r="S2189" t="s">
        <v>36</v>
      </c>
    </row>
    <row r="2190" spans="1:19" x14ac:dyDescent="0.3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 t="str">
        <f t="shared" si="34"/>
        <v>15-30 days</v>
      </c>
      <c r="L2190">
        <v>15</v>
      </c>
      <c r="M2190">
        <v>4</v>
      </c>
      <c r="N2190">
        <v>0</v>
      </c>
      <c r="O2190" t="s">
        <v>54</v>
      </c>
      <c r="P2190" t="s">
        <v>55</v>
      </c>
      <c r="Q2190">
        <v>6.1</v>
      </c>
      <c r="R2190">
        <v>44</v>
      </c>
      <c r="S2190" t="s">
        <v>27</v>
      </c>
    </row>
    <row r="2191" spans="1:19" x14ac:dyDescent="0.3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 t="str">
        <f t="shared" si="34"/>
        <v>0-7 days</v>
      </c>
      <c r="L2191">
        <v>2</v>
      </c>
      <c r="M2191">
        <v>2</v>
      </c>
      <c r="N2191">
        <v>0</v>
      </c>
      <c r="O2191" t="s">
        <v>25</v>
      </c>
      <c r="P2191" t="s">
        <v>35</v>
      </c>
      <c r="Q2191">
        <v>7.2</v>
      </c>
      <c r="R2191">
        <v>56</v>
      </c>
      <c r="S2191" t="s">
        <v>36</v>
      </c>
    </row>
    <row r="2192" spans="1:19" x14ac:dyDescent="0.3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 t="str">
        <f t="shared" si="34"/>
        <v>15-30 days</v>
      </c>
      <c r="L2192">
        <v>29</v>
      </c>
      <c r="M2192">
        <v>4</v>
      </c>
      <c r="N2192">
        <v>0</v>
      </c>
      <c r="O2192" t="s">
        <v>25</v>
      </c>
      <c r="P2192" t="s">
        <v>26</v>
      </c>
      <c r="Q2192">
        <v>5.6</v>
      </c>
      <c r="R2192">
        <v>17</v>
      </c>
      <c r="S2192" t="s">
        <v>71</v>
      </c>
    </row>
    <row r="2193" spans="1:19" x14ac:dyDescent="0.3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 t="str">
        <f t="shared" si="34"/>
        <v>31-60 days</v>
      </c>
      <c r="L2193">
        <v>60</v>
      </c>
      <c r="M2193">
        <v>4</v>
      </c>
      <c r="N2193">
        <v>1</v>
      </c>
      <c r="O2193" t="s">
        <v>25</v>
      </c>
      <c r="P2193" t="s">
        <v>35</v>
      </c>
      <c r="Q2193">
        <v>10.8</v>
      </c>
      <c r="R2193">
        <v>37</v>
      </c>
      <c r="S2193" t="s">
        <v>36</v>
      </c>
    </row>
    <row r="2194" spans="1:19" x14ac:dyDescent="0.3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 t="str">
        <f t="shared" si="34"/>
        <v>31-60 days</v>
      </c>
      <c r="L2194">
        <v>34</v>
      </c>
      <c r="M2194">
        <v>5</v>
      </c>
      <c r="N2194">
        <v>1</v>
      </c>
      <c r="O2194" t="s">
        <v>25</v>
      </c>
      <c r="P2194" t="s">
        <v>35</v>
      </c>
      <c r="Q2194">
        <v>6.8</v>
      </c>
      <c r="R2194">
        <v>22</v>
      </c>
      <c r="S2194" t="s">
        <v>71</v>
      </c>
    </row>
    <row r="2195" spans="1:19" x14ac:dyDescent="0.3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 t="str">
        <f t="shared" si="34"/>
        <v>31-60 days</v>
      </c>
      <c r="L2195">
        <v>53</v>
      </c>
      <c r="M2195">
        <v>6</v>
      </c>
      <c r="N2195">
        <v>2</v>
      </c>
      <c r="O2195" t="s">
        <v>25</v>
      </c>
      <c r="P2195" t="s">
        <v>35</v>
      </c>
      <c r="R2195">
        <v>10</v>
      </c>
      <c r="S2195" t="s">
        <v>27</v>
      </c>
    </row>
    <row r="2196" spans="1:19" x14ac:dyDescent="0.3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 t="str">
        <f t="shared" si="34"/>
        <v>31-60 days</v>
      </c>
      <c r="L2196">
        <v>45</v>
      </c>
      <c r="M2196">
        <v>5</v>
      </c>
      <c r="N2196">
        <v>0</v>
      </c>
      <c r="O2196" t="s">
        <v>25</v>
      </c>
      <c r="P2196" t="s">
        <v>35</v>
      </c>
      <c r="Q2196">
        <v>3.9</v>
      </c>
      <c r="R2196">
        <v>38</v>
      </c>
      <c r="S2196" t="s">
        <v>27</v>
      </c>
    </row>
    <row r="2197" spans="1:19" x14ac:dyDescent="0.3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 t="str">
        <f t="shared" si="34"/>
        <v>31-60 days</v>
      </c>
      <c r="L2197">
        <v>53</v>
      </c>
      <c r="M2197">
        <v>2</v>
      </c>
      <c r="N2197">
        <v>0</v>
      </c>
      <c r="O2197" t="s">
        <v>25</v>
      </c>
      <c r="P2197" t="s">
        <v>35</v>
      </c>
      <c r="Q2197">
        <v>13.6</v>
      </c>
      <c r="R2197">
        <v>21</v>
      </c>
      <c r="S2197" t="s">
        <v>27</v>
      </c>
    </row>
    <row r="2198" spans="1:19" x14ac:dyDescent="0.3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 t="str">
        <f t="shared" si="34"/>
        <v>15-30 days</v>
      </c>
      <c r="L2198">
        <v>18</v>
      </c>
      <c r="M2198">
        <v>2</v>
      </c>
      <c r="N2198">
        <v>0</v>
      </c>
      <c r="O2198" t="s">
        <v>25</v>
      </c>
      <c r="P2198" t="s">
        <v>35</v>
      </c>
      <c r="Q2198">
        <v>18.600000000000001</v>
      </c>
      <c r="R2198">
        <v>31</v>
      </c>
      <c r="S2198" t="s">
        <v>27</v>
      </c>
    </row>
    <row r="2199" spans="1:19" x14ac:dyDescent="0.3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 t="str">
        <f t="shared" si="34"/>
        <v>31-60 days</v>
      </c>
      <c r="L2199">
        <v>58</v>
      </c>
      <c r="M2199">
        <v>1</v>
      </c>
      <c r="N2199">
        <v>0</v>
      </c>
      <c r="O2199" t="s">
        <v>25</v>
      </c>
      <c r="P2199" t="s">
        <v>50</v>
      </c>
      <c r="Q2199">
        <v>3.8</v>
      </c>
      <c r="R2199">
        <v>45</v>
      </c>
      <c r="S2199" t="s">
        <v>36</v>
      </c>
    </row>
    <row r="2200" spans="1:19" x14ac:dyDescent="0.3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 t="str">
        <f t="shared" si="34"/>
        <v>8-14 days</v>
      </c>
      <c r="L2200">
        <v>14</v>
      </c>
      <c r="M2200">
        <v>2</v>
      </c>
      <c r="N2200">
        <v>0</v>
      </c>
      <c r="O2200" t="s">
        <v>54</v>
      </c>
      <c r="P2200" t="s">
        <v>55</v>
      </c>
      <c r="Q2200">
        <v>12.3</v>
      </c>
      <c r="R2200">
        <v>30</v>
      </c>
      <c r="S2200" t="s">
        <v>27</v>
      </c>
    </row>
    <row r="2201" spans="1:19" x14ac:dyDescent="0.3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 t="str">
        <f t="shared" si="34"/>
        <v>15-30 days</v>
      </c>
      <c r="L2201">
        <v>26</v>
      </c>
      <c r="M2201">
        <v>4</v>
      </c>
      <c r="N2201">
        <v>0</v>
      </c>
      <c r="O2201" t="s">
        <v>54</v>
      </c>
      <c r="P2201" t="s">
        <v>55</v>
      </c>
      <c r="Q2201">
        <v>16.399999999999999</v>
      </c>
      <c r="R2201">
        <v>26</v>
      </c>
      <c r="S2201" t="s">
        <v>27</v>
      </c>
    </row>
    <row r="2202" spans="1:19" x14ac:dyDescent="0.3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 t="str">
        <f t="shared" si="34"/>
        <v>31-60 days</v>
      </c>
      <c r="L2202">
        <v>41</v>
      </c>
      <c r="M2202">
        <v>5</v>
      </c>
      <c r="N2202">
        <v>1</v>
      </c>
      <c r="O2202" t="s">
        <v>25</v>
      </c>
      <c r="P2202" t="s">
        <v>35</v>
      </c>
      <c r="Q2202">
        <v>2.5</v>
      </c>
      <c r="R2202">
        <v>13</v>
      </c>
      <c r="S2202" t="s">
        <v>36</v>
      </c>
    </row>
    <row r="2203" spans="1:19" x14ac:dyDescent="0.3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 t="str">
        <f t="shared" si="34"/>
        <v>15-30 days</v>
      </c>
      <c r="L2203">
        <v>17</v>
      </c>
      <c r="M2203">
        <v>3</v>
      </c>
      <c r="N2203">
        <v>1</v>
      </c>
      <c r="O2203" t="s">
        <v>25</v>
      </c>
      <c r="P2203" t="s">
        <v>35</v>
      </c>
      <c r="Q2203">
        <v>4.9000000000000004</v>
      </c>
      <c r="R2203">
        <v>13</v>
      </c>
      <c r="S2203" t="s">
        <v>36</v>
      </c>
    </row>
    <row r="2204" spans="1:19" x14ac:dyDescent="0.3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 t="str">
        <f t="shared" si="34"/>
        <v>15-30 days</v>
      </c>
      <c r="L2204">
        <v>16</v>
      </c>
      <c r="M2204">
        <v>3</v>
      </c>
      <c r="N2204">
        <v>0</v>
      </c>
      <c r="O2204" t="s">
        <v>25</v>
      </c>
      <c r="P2204" t="s">
        <v>35</v>
      </c>
      <c r="Q2204">
        <v>17.8</v>
      </c>
      <c r="R2204">
        <v>23</v>
      </c>
      <c r="S2204" t="s">
        <v>27</v>
      </c>
    </row>
    <row r="2205" spans="1:19" x14ac:dyDescent="0.3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 t="str">
        <f t="shared" si="34"/>
        <v>0-7 days</v>
      </c>
      <c r="L2205">
        <v>7</v>
      </c>
      <c r="M2205">
        <v>7</v>
      </c>
      <c r="N2205">
        <v>1</v>
      </c>
      <c r="O2205" t="s">
        <v>25</v>
      </c>
      <c r="P2205" t="s">
        <v>26</v>
      </c>
      <c r="Q2205">
        <v>17.8</v>
      </c>
      <c r="R2205">
        <v>20</v>
      </c>
      <c r="S2205" t="s">
        <v>27</v>
      </c>
    </row>
    <row r="2206" spans="1:19" x14ac:dyDescent="0.3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 t="str">
        <f t="shared" si="34"/>
        <v>0-7 days</v>
      </c>
      <c r="L2206">
        <v>0</v>
      </c>
      <c r="M2206">
        <v>5</v>
      </c>
      <c r="N2206">
        <v>0</v>
      </c>
      <c r="O2206" t="s">
        <v>25</v>
      </c>
      <c r="P2206" t="s">
        <v>35</v>
      </c>
      <c r="Q2206">
        <v>8.6</v>
      </c>
      <c r="R2206">
        <v>31</v>
      </c>
      <c r="S2206" t="s">
        <v>36</v>
      </c>
    </row>
    <row r="2207" spans="1:19" x14ac:dyDescent="0.3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 t="str">
        <f t="shared" si="34"/>
        <v>15-30 days</v>
      </c>
      <c r="L2207">
        <v>30</v>
      </c>
      <c r="M2207">
        <v>1</v>
      </c>
      <c r="N2207">
        <v>0</v>
      </c>
      <c r="O2207" t="s">
        <v>25</v>
      </c>
      <c r="P2207" t="s">
        <v>26</v>
      </c>
      <c r="Q2207">
        <v>10.4</v>
      </c>
      <c r="R2207">
        <v>12</v>
      </c>
      <c r="S2207" t="s">
        <v>27</v>
      </c>
    </row>
    <row r="2208" spans="1:19" x14ac:dyDescent="0.3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 t="str">
        <f t="shared" si="34"/>
        <v>31-60 days</v>
      </c>
      <c r="L2208">
        <v>60</v>
      </c>
      <c r="M2208">
        <v>4</v>
      </c>
      <c r="N2208">
        <v>1</v>
      </c>
      <c r="O2208" t="s">
        <v>25</v>
      </c>
      <c r="P2208" t="s">
        <v>26</v>
      </c>
      <c r="Q2208">
        <v>13.2</v>
      </c>
      <c r="R2208">
        <v>15</v>
      </c>
      <c r="S2208" t="s">
        <v>27</v>
      </c>
    </row>
    <row r="2209" spans="1:19" x14ac:dyDescent="0.3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 t="str">
        <f t="shared" si="34"/>
        <v>8-14 days</v>
      </c>
      <c r="L2209">
        <v>13</v>
      </c>
      <c r="M2209">
        <v>1</v>
      </c>
      <c r="N2209">
        <v>0</v>
      </c>
      <c r="O2209" t="s">
        <v>54</v>
      </c>
      <c r="P2209" t="s">
        <v>55</v>
      </c>
      <c r="Q2209">
        <v>16.100000000000001</v>
      </c>
      <c r="R2209">
        <v>22</v>
      </c>
      <c r="S2209" t="s">
        <v>36</v>
      </c>
    </row>
    <row r="2210" spans="1:19" x14ac:dyDescent="0.3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 t="str">
        <f t="shared" si="34"/>
        <v>15-30 days</v>
      </c>
      <c r="L2210">
        <v>26</v>
      </c>
      <c r="M2210">
        <v>3</v>
      </c>
      <c r="N2210">
        <v>1</v>
      </c>
      <c r="O2210" t="s">
        <v>54</v>
      </c>
      <c r="P2210" t="s">
        <v>55</v>
      </c>
      <c r="Q2210">
        <v>9.6999999999999993</v>
      </c>
      <c r="R2210">
        <v>25</v>
      </c>
      <c r="S2210" t="s">
        <v>27</v>
      </c>
    </row>
    <row r="2211" spans="1:19" x14ac:dyDescent="0.3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 t="str">
        <f t="shared" si="34"/>
        <v>31-60 days</v>
      </c>
      <c r="L2211">
        <v>57</v>
      </c>
      <c r="M2211">
        <v>5</v>
      </c>
      <c r="N2211">
        <v>1</v>
      </c>
      <c r="O2211" t="s">
        <v>54</v>
      </c>
      <c r="P2211" t="s">
        <v>55</v>
      </c>
      <c r="Q2211">
        <v>16.100000000000001</v>
      </c>
      <c r="R2211">
        <v>25</v>
      </c>
      <c r="S2211" t="s">
        <v>71</v>
      </c>
    </row>
    <row r="2212" spans="1:19" x14ac:dyDescent="0.3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 t="str">
        <f t="shared" si="34"/>
        <v>31-60 days</v>
      </c>
      <c r="L2212">
        <v>47</v>
      </c>
      <c r="M2212">
        <v>2</v>
      </c>
      <c r="N2212">
        <v>0</v>
      </c>
      <c r="O2212" t="s">
        <v>54</v>
      </c>
      <c r="P2212" t="s">
        <v>55</v>
      </c>
      <c r="Q2212">
        <v>1.7</v>
      </c>
      <c r="R2212">
        <v>22</v>
      </c>
      <c r="S2212" t="s">
        <v>27</v>
      </c>
    </row>
    <row r="2213" spans="1:19" x14ac:dyDescent="0.3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 t="str">
        <f t="shared" si="34"/>
        <v>0-7 days</v>
      </c>
      <c r="L2213">
        <v>0</v>
      </c>
      <c r="M2213">
        <v>1</v>
      </c>
      <c r="N2213">
        <v>0</v>
      </c>
      <c r="O2213" t="s">
        <v>25</v>
      </c>
      <c r="P2213" t="s">
        <v>26</v>
      </c>
      <c r="Q2213">
        <v>7.8</v>
      </c>
      <c r="R2213">
        <v>15</v>
      </c>
      <c r="S2213" t="s">
        <v>36</v>
      </c>
    </row>
    <row r="2214" spans="1:19" x14ac:dyDescent="0.3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 t="str">
        <f t="shared" si="34"/>
        <v>15-30 days</v>
      </c>
      <c r="L2214">
        <v>30</v>
      </c>
      <c r="M2214">
        <v>5</v>
      </c>
      <c r="N2214">
        <v>2</v>
      </c>
      <c r="O2214" t="s">
        <v>25</v>
      </c>
      <c r="P2214" t="s">
        <v>50</v>
      </c>
      <c r="Q2214">
        <v>13</v>
      </c>
      <c r="R2214">
        <v>30</v>
      </c>
      <c r="S2214" t="s">
        <v>27</v>
      </c>
    </row>
    <row r="2215" spans="1:19" x14ac:dyDescent="0.3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 t="str">
        <f t="shared" si="34"/>
        <v>8-14 days</v>
      </c>
      <c r="L2215">
        <v>8</v>
      </c>
      <c r="M2215">
        <v>2</v>
      </c>
      <c r="N2215">
        <v>0</v>
      </c>
      <c r="O2215" t="s">
        <v>25</v>
      </c>
      <c r="P2215" t="s">
        <v>26</v>
      </c>
      <c r="Q2215">
        <v>11.3</v>
      </c>
      <c r="R2215">
        <v>37</v>
      </c>
      <c r="S2215" t="s">
        <v>71</v>
      </c>
    </row>
    <row r="2216" spans="1:19" x14ac:dyDescent="0.3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 t="str">
        <f t="shared" si="34"/>
        <v>15-30 days</v>
      </c>
      <c r="L2216">
        <v>15</v>
      </c>
      <c r="M2216">
        <v>3</v>
      </c>
      <c r="N2216">
        <v>0</v>
      </c>
      <c r="O2216" t="s">
        <v>25</v>
      </c>
      <c r="P2216" t="s">
        <v>26</v>
      </c>
      <c r="Q2216">
        <v>21.3</v>
      </c>
      <c r="R2216">
        <v>27</v>
      </c>
      <c r="S2216" t="s">
        <v>36</v>
      </c>
    </row>
    <row r="2217" spans="1:19" x14ac:dyDescent="0.3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 t="str">
        <f t="shared" si="34"/>
        <v>15-30 days</v>
      </c>
      <c r="L2217">
        <v>15</v>
      </c>
      <c r="M2217">
        <v>5</v>
      </c>
      <c r="N2217">
        <v>2</v>
      </c>
      <c r="O2217" t="s">
        <v>25</v>
      </c>
      <c r="P2217" t="s">
        <v>50</v>
      </c>
      <c r="Q2217">
        <v>4.8</v>
      </c>
      <c r="R2217">
        <v>18</v>
      </c>
      <c r="S2217" t="s">
        <v>27</v>
      </c>
    </row>
    <row r="2218" spans="1:19" x14ac:dyDescent="0.3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 t="str">
        <f t="shared" si="34"/>
        <v>31-60 days</v>
      </c>
      <c r="L2218">
        <v>37</v>
      </c>
      <c r="M2218">
        <v>2</v>
      </c>
      <c r="N2218">
        <v>1</v>
      </c>
      <c r="O2218" t="s">
        <v>25</v>
      </c>
      <c r="P2218" t="s">
        <v>26</v>
      </c>
      <c r="Q2218">
        <v>4.5999999999999996</v>
      </c>
      <c r="R2218">
        <v>3</v>
      </c>
      <c r="S2218" t="s">
        <v>27</v>
      </c>
    </row>
    <row r="2219" spans="1:19" x14ac:dyDescent="0.3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 t="str">
        <f t="shared" si="34"/>
        <v>8-14 days</v>
      </c>
      <c r="L2219">
        <v>12</v>
      </c>
      <c r="M2219">
        <v>5</v>
      </c>
      <c r="N2219">
        <v>2</v>
      </c>
      <c r="O2219" t="s">
        <v>54</v>
      </c>
      <c r="P2219" t="s">
        <v>55</v>
      </c>
      <c r="Q2219">
        <v>22.9</v>
      </c>
      <c r="R2219">
        <v>42</v>
      </c>
      <c r="S2219" t="s">
        <v>27</v>
      </c>
    </row>
    <row r="2220" spans="1:19" x14ac:dyDescent="0.3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 t="str">
        <f t="shared" si="34"/>
        <v>15-30 days</v>
      </c>
      <c r="L2220">
        <v>15</v>
      </c>
      <c r="M2220">
        <v>5</v>
      </c>
      <c r="N2220">
        <v>0</v>
      </c>
      <c r="O2220" t="s">
        <v>25</v>
      </c>
      <c r="P2220" t="s">
        <v>35</v>
      </c>
      <c r="Q2220">
        <v>2.8</v>
      </c>
      <c r="R2220">
        <v>22</v>
      </c>
      <c r="S2220" t="s">
        <v>36</v>
      </c>
    </row>
    <row r="2221" spans="1:19" x14ac:dyDescent="0.3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 t="str">
        <f t="shared" si="34"/>
        <v>8-14 days</v>
      </c>
      <c r="L2221">
        <v>13</v>
      </c>
      <c r="M2221">
        <v>2</v>
      </c>
      <c r="N2221">
        <v>0</v>
      </c>
      <c r="O2221" t="s">
        <v>25</v>
      </c>
      <c r="P2221" t="s">
        <v>26</v>
      </c>
      <c r="Q2221">
        <v>14.6</v>
      </c>
      <c r="R2221">
        <v>39</v>
      </c>
      <c r="S2221" t="s">
        <v>36</v>
      </c>
    </row>
    <row r="2222" spans="1:19" x14ac:dyDescent="0.3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 t="str">
        <f t="shared" si="34"/>
        <v>15-30 days</v>
      </c>
      <c r="L2222">
        <v>21</v>
      </c>
      <c r="M2222">
        <v>3</v>
      </c>
      <c r="N2222">
        <v>0</v>
      </c>
      <c r="O2222" t="s">
        <v>54</v>
      </c>
      <c r="P2222" t="s">
        <v>55</v>
      </c>
      <c r="Q2222">
        <v>13.6</v>
      </c>
      <c r="R2222">
        <v>42</v>
      </c>
      <c r="S2222" t="s">
        <v>36</v>
      </c>
    </row>
    <row r="2223" spans="1:19" x14ac:dyDescent="0.3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 t="str">
        <f t="shared" si="34"/>
        <v>31-60 days</v>
      </c>
      <c r="L2223">
        <v>40</v>
      </c>
      <c r="M2223">
        <v>3</v>
      </c>
      <c r="N2223">
        <v>0</v>
      </c>
      <c r="O2223" t="s">
        <v>25</v>
      </c>
      <c r="P2223" t="s">
        <v>35</v>
      </c>
      <c r="Q2223">
        <v>6.4</v>
      </c>
      <c r="R2223">
        <v>33</v>
      </c>
      <c r="S2223" t="s">
        <v>27</v>
      </c>
    </row>
    <row r="2224" spans="1:19" x14ac:dyDescent="0.3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 t="str">
        <f t="shared" si="34"/>
        <v>15-30 days</v>
      </c>
      <c r="L2224">
        <v>24</v>
      </c>
      <c r="M2224">
        <v>2</v>
      </c>
      <c r="N2224">
        <v>0</v>
      </c>
      <c r="O2224" t="s">
        <v>25</v>
      </c>
      <c r="P2224" t="s">
        <v>35</v>
      </c>
      <c r="Q2224">
        <v>22.5</v>
      </c>
      <c r="R2224">
        <v>35</v>
      </c>
      <c r="S2224" t="s">
        <v>27</v>
      </c>
    </row>
    <row r="2225" spans="1:19" x14ac:dyDescent="0.3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 t="str">
        <f t="shared" si="34"/>
        <v>15-30 days</v>
      </c>
      <c r="L2225">
        <v>19</v>
      </c>
      <c r="M2225">
        <v>2</v>
      </c>
      <c r="N2225">
        <v>1</v>
      </c>
      <c r="O2225" t="s">
        <v>25</v>
      </c>
      <c r="P2225" t="s">
        <v>35</v>
      </c>
      <c r="Q2225">
        <v>8.9</v>
      </c>
      <c r="R2225">
        <v>34</v>
      </c>
      <c r="S2225" t="s">
        <v>27</v>
      </c>
    </row>
    <row r="2226" spans="1:19" x14ac:dyDescent="0.3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 t="str">
        <f t="shared" si="34"/>
        <v>31-60 days</v>
      </c>
      <c r="L2226">
        <v>31</v>
      </c>
      <c r="M2226">
        <v>1</v>
      </c>
      <c r="N2226">
        <v>0</v>
      </c>
      <c r="O2226" t="s">
        <v>25</v>
      </c>
      <c r="P2226" t="s">
        <v>35</v>
      </c>
      <c r="Q2226">
        <v>9.5</v>
      </c>
      <c r="R2226">
        <v>22</v>
      </c>
      <c r="S2226" t="s">
        <v>27</v>
      </c>
    </row>
    <row r="2227" spans="1:19" x14ac:dyDescent="0.3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 t="str">
        <f t="shared" si="34"/>
        <v>31-60 days</v>
      </c>
      <c r="L2227">
        <v>37</v>
      </c>
      <c r="M2227">
        <v>1</v>
      </c>
      <c r="N2227">
        <v>0</v>
      </c>
      <c r="O2227" t="s">
        <v>54</v>
      </c>
      <c r="P2227" t="s">
        <v>55</v>
      </c>
      <c r="Q2227">
        <v>4.9000000000000004</v>
      </c>
      <c r="R2227">
        <v>11</v>
      </c>
      <c r="S2227" t="s">
        <v>27</v>
      </c>
    </row>
    <row r="2228" spans="1:19" x14ac:dyDescent="0.3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 t="str">
        <f t="shared" si="34"/>
        <v>0-7 days</v>
      </c>
      <c r="L2228">
        <v>0</v>
      </c>
      <c r="M2228">
        <v>4</v>
      </c>
      <c r="N2228">
        <v>0</v>
      </c>
      <c r="O2228" t="s">
        <v>54</v>
      </c>
      <c r="P2228" t="s">
        <v>55</v>
      </c>
      <c r="Q2228">
        <v>5.4</v>
      </c>
      <c r="R2228">
        <v>33</v>
      </c>
      <c r="S2228" t="s">
        <v>36</v>
      </c>
    </row>
    <row r="2229" spans="1:19" x14ac:dyDescent="0.3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 t="str">
        <f t="shared" si="34"/>
        <v>31-60 days</v>
      </c>
      <c r="L2229">
        <v>54</v>
      </c>
      <c r="M2229">
        <v>6</v>
      </c>
      <c r="N2229">
        <v>1</v>
      </c>
      <c r="O2229" t="s">
        <v>54</v>
      </c>
      <c r="P2229" t="s">
        <v>55</v>
      </c>
      <c r="Q2229">
        <v>4.4000000000000004</v>
      </c>
      <c r="R2229">
        <v>7</v>
      </c>
      <c r="S2229" t="s">
        <v>27</v>
      </c>
    </row>
    <row r="2230" spans="1:19" x14ac:dyDescent="0.3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 t="str">
        <f t="shared" si="34"/>
        <v>31-60 days</v>
      </c>
      <c r="L2230">
        <v>55</v>
      </c>
      <c r="M2230">
        <v>5</v>
      </c>
      <c r="N2230">
        <v>1</v>
      </c>
      <c r="O2230" t="s">
        <v>25</v>
      </c>
      <c r="P2230" t="s">
        <v>35</v>
      </c>
      <c r="Q2230">
        <v>12.5</v>
      </c>
      <c r="R2230">
        <v>20</v>
      </c>
      <c r="S2230" t="s">
        <v>27</v>
      </c>
    </row>
    <row r="2231" spans="1:19" x14ac:dyDescent="0.3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 t="str">
        <f t="shared" si="34"/>
        <v>31-60 days</v>
      </c>
      <c r="L2231">
        <v>36</v>
      </c>
      <c r="M2231">
        <v>3</v>
      </c>
      <c r="N2231">
        <v>0</v>
      </c>
      <c r="O2231" t="s">
        <v>54</v>
      </c>
      <c r="P2231" t="s">
        <v>55</v>
      </c>
      <c r="Q2231">
        <v>12.1</v>
      </c>
      <c r="R2231">
        <v>17</v>
      </c>
      <c r="S2231" t="s">
        <v>27</v>
      </c>
    </row>
    <row r="2232" spans="1:19" x14ac:dyDescent="0.3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 t="str">
        <f t="shared" si="34"/>
        <v>31-60 days</v>
      </c>
      <c r="L2232">
        <v>35</v>
      </c>
      <c r="M2232">
        <v>4</v>
      </c>
      <c r="N2232">
        <v>1</v>
      </c>
      <c r="O2232" t="s">
        <v>54</v>
      </c>
      <c r="P2232" t="s">
        <v>55</v>
      </c>
      <c r="Q2232">
        <v>1.6</v>
      </c>
      <c r="R2232">
        <v>30</v>
      </c>
      <c r="S2232" t="s">
        <v>36</v>
      </c>
    </row>
    <row r="2233" spans="1:19" x14ac:dyDescent="0.3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 t="str">
        <f t="shared" si="34"/>
        <v>31-60 days</v>
      </c>
      <c r="L2233">
        <v>42</v>
      </c>
      <c r="M2233">
        <v>1</v>
      </c>
      <c r="N2233">
        <v>0</v>
      </c>
      <c r="O2233" t="s">
        <v>54</v>
      </c>
      <c r="P2233" t="s">
        <v>55</v>
      </c>
      <c r="Q2233">
        <v>17.2</v>
      </c>
      <c r="R2233">
        <v>27</v>
      </c>
      <c r="S2233" t="s">
        <v>36</v>
      </c>
    </row>
    <row r="2234" spans="1:19" x14ac:dyDescent="0.3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 t="str">
        <f t="shared" si="34"/>
        <v>15-30 days</v>
      </c>
      <c r="L2234">
        <v>26</v>
      </c>
      <c r="M2234">
        <v>3</v>
      </c>
      <c r="N2234">
        <v>0</v>
      </c>
      <c r="O2234" t="s">
        <v>25</v>
      </c>
      <c r="P2234" t="s">
        <v>35</v>
      </c>
      <c r="Q2234">
        <v>8.1999999999999993</v>
      </c>
      <c r="R2234">
        <v>17</v>
      </c>
      <c r="S2234" t="s">
        <v>27</v>
      </c>
    </row>
    <row r="2235" spans="1:19" x14ac:dyDescent="0.3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 t="str">
        <f t="shared" si="34"/>
        <v>15-30 days</v>
      </c>
      <c r="L2235">
        <v>22</v>
      </c>
      <c r="M2235">
        <v>9</v>
      </c>
      <c r="N2235">
        <v>1</v>
      </c>
      <c r="O2235" t="s">
        <v>25</v>
      </c>
      <c r="P2235" t="s">
        <v>50</v>
      </c>
      <c r="Q2235">
        <v>2.7</v>
      </c>
      <c r="R2235">
        <v>19</v>
      </c>
      <c r="S2235" t="s">
        <v>36</v>
      </c>
    </row>
    <row r="2236" spans="1:19" x14ac:dyDescent="0.3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 t="str">
        <f t="shared" si="34"/>
        <v>15-30 days</v>
      </c>
      <c r="L2236">
        <v>21</v>
      </c>
      <c r="M2236">
        <v>2</v>
      </c>
      <c r="N2236">
        <v>0</v>
      </c>
      <c r="O2236" t="s">
        <v>25</v>
      </c>
      <c r="P2236" t="s">
        <v>35</v>
      </c>
      <c r="Q2236">
        <v>21.6</v>
      </c>
      <c r="R2236">
        <v>46</v>
      </c>
      <c r="S2236" t="s">
        <v>36</v>
      </c>
    </row>
    <row r="2237" spans="1:19" x14ac:dyDescent="0.3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 t="str">
        <f t="shared" si="34"/>
        <v>8-14 days</v>
      </c>
      <c r="L2237">
        <v>9</v>
      </c>
      <c r="M2237">
        <v>4</v>
      </c>
      <c r="N2237">
        <v>3</v>
      </c>
      <c r="O2237" t="s">
        <v>25</v>
      </c>
      <c r="P2237" t="s">
        <v>50</v>
      </c>
      <c r="Q2237">
        <v>7.2</v>
      </c>
      <c r="R2237">
        <v>15</v>
      </c>
      <c r="S2237" t="s">
        <v>36</v>
      </c>
    </row>
    <row r="2238" spans="1:19" x14ac:dyDescent="0.3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 t="str">
        <f t="shared" si="34"/>
        <v>31-60 days</v>
      </c>
      <c r="L2238">
        <v>51</v>
      </c>
      <c r="M2238">
        <v>5</v>
      </c>
      <c r="N2238">
        <v>1</v>
      </c>
      <c r="O2238" t="s">
        <v>54</v>
      </c>
      <c r="P2238" t="s">
        <v>55</v>
      </c>
      <c r="Q2238">
        <v>7.1</v>
      </c>
      <c r="R2238">
        <v>22</v>
      </c>
      <c r="S2238" t="s">
        <v>27</v>
      </c>
    </row>
    <row r="2239" spans="1:19" x14ac:dyDescent="0.3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 t="str">
        <f t="shared" si="34"/>
        <v>15-30 days</v>
      </c>
      <c r="L2239">
        <v>19</v>
      </c>
      <c r="M2239">
        <v>1</v>
      </c>
      <c r="N2239">
        <v>0</v>
      </c>
      <c r="O2239" t="s">
        <v>54</v>
      </c>
      <c r="P2239" t="s">
        <v>55</v>
      </c>
      <c r="Q2239">
        <v>8.6</v>
      </c>
      <c r="R2239">
        <v>30</v>
      </c>
      <c r="S2239" t="s">
        <v>27</v>
      </c>
    </row>
    <row r="2240" spans="1:19" x14ac:dyDescent="0.3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 t="str">
        <f t="shared" si="34"/>
        <v>15-30 days</v>
      </c>
      <c r="L2240">
        <v>17</v>
      </c>
      <c r="M2240">
        <v>2</v>
      </c>
      <c r="N2240">
        <v>1</v>
      </c>
      <c r="O2240" t="s">
        <v>54</v>
      </c>
      <c r="P2240" t="s">
        <v>55</v>
      </c>
      <c r="Q2240">
        <v>16.3</v>
      </c>
      <c r="R2240">
        <v>25</v>
      </c>
      <c r="S2240" t="s">
        <v>27</v>
      </c>
    </row>
    <row r="2241" spans="1:19" x14ac:dyDescent="0.3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 t="str">
        <f t="shared" si="34"/>
        <v>31-60 days</v>
      </c>
      <c r="L2241">
        <v>58</v>
      </c>
      <c r="M2241">
        <v>6</v>
      </c>
      <c r="N2241">
        <v>1</v>
      </c>
      <c r="O2241" t="s">
        <v>25</v>
      </c>
      <c r="P2241" t="s">
        <v>26</v>
      </c>
      <c r="Q2241">
        <v>6.3</v>
      </c>
      <c r="R2241">
        <v>31</v>
      </c>
      <c r="S2241" t="s">
        <v>27</v>
      </c>
    </row>
    <row r="2242" spans="1:19" x14ac:dyDescent="0.3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 t="str">
        <f t="shared" si="34"/>
        <v>15-30 days</v>
      </c>
      <c r="L2242">
        <v>30</v>
      </c>
      <c r="M2242">
        <v>5</v>
      </c>
      <c r="N2242">
        <v>1</v>
      </c>
      <c r="O2242" t="s">
        <v>25</v>
      </c>
      <c r="P2242" t="s">
        <v>35</v>
      </c>
      <c r="Q2242">
        <v>19.2</v>
      </c>
      <c r="R2242">
        <v>36</v>
      </c>
      <c r="S2242" t="s">
        <v>36</v>
      </c>
    </row>
    <row r="2243" spans="1:19" x14ac:dyDescent="0.3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 t="str">
        <f t="shared" ref="K2243:K2306" si="35">IF(L2243&lt;=7,"0-7 days",IF(L2243&lt;=14,"8-14 days",IF(L2243&lt;=30,"15-30 days","31-60 days")))</f>
        <v>31-60 days</v>
      </c>
      <c r="L2243">
        <v>37</v>
      </c>
      <c r="M2243">
        <v>5</v>
      </c>
      <c r="N2243">
        <v>2</v>
      </c>
      <c r="O2243" t="s">
        <v>54</v>
      </c>
      <c r="P2243" t="s">
        <v>55</v>
      </c>
      <c r="Q2243">
        <v>4.4000000000000004</v>
      </c>
      <c r="R2243">
        <v>40</v>
      </c>
      <c r="S2243" t="s">
        <v>27</v>
      </c>
    </row>
    <row r="2244" spans="1:19" x14ac:dyDescent="0.3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 t="str">
        <f t="shared" si="35"/>
        <v>8-14 days</v>
      </c>
      <c r="L2244">
        <v>14</v>
      </c>
      <c r="M2244">
        <v>5</v>
      </c>
      <c r="N2244">
        <v>1</v>
      </c>
      <c r="O2244" t="s">
        <v>25</v>
      </c>
      <c r="P2244" t="s">
        <v>26</v>
      </c>
      <c r="Q2244">
        <v>6.8</v>
      </c>
      <c r="R2244">
        <v>24</v>
      </c>
      <c r="S2244" t="s">
        <v>36</v>
      </c>
    </row>
    <row r="2245" spans="1:19" x14ac:dyDescent="0.3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 t="str">
        <f t="shared" si="35"/>
        <v>15-30 days</v>
      </c>
      <c r="L2245">
        <v>16</v>
      </c>
      <c r="M2245">
        <v>3</v>
      </c>
      <c r="N2245">
        <v>1</v>
      </c>
      <c r="O2245" t="s">
        <v>25</v>
      </c>
      <c r="P2245" t="s">
        <v>35</v>
      </c>
      <c r="Q2245">
        <v>1.3</v>
      </c>
      <c r="R2245">
        <v>28</v>
      </c>
      <c r="S2245" t="s">
        <v>27</v>
      </c>
    </row>
    <row r="2246" spans="1:19" x14ac:dyDescent="0.3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 t="str">
        <f t="shared" si="35"/>
        <v>31-60 days</v>
      </c>
      <c r="L2246">
        <v>44</v>
      </c>
      <c r="M2246">
        <v>4</v>
      </c>
      <c r="N2246">
        <v>0</v>
      </c>
      <c r="O2246" t="s">
        <v>25</v>
      </c>
      <c r="P2246" t="s">
        <v>26</v>
      </c>
      <c r="Q2246">
        <v>7.3</v>
      </c>
      <c r="R2246">
        <v>26</v>
      </c>
      <c r="S2246" t="s">
        <v>36</v>
      </c>
    </row>
    <row r="2247" spans="1:19" x14ac:dyDescent="0.3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 t="str">
        <f t="shared" si="35"/>
        <v>15-30 days</v>
      </c>
      <c r="L2247">
        <v>27</v>
      </c>
      <c r="M2247">
        <v>3</v>
      </c>
      <c r="N2247">
        <v>0</v>
      </c>
      <c r="O2247" t="s">
        <v>54</v>
      </c>
      <c r="P2247" t="s">
        <v>55</v>
      </c>
      <c r="Q2247">
        <v>3.2</v>
      </c>
      <c r="R2247">
        <v>14</v>
      </c>
      <c r="S2247" t="s">
        <v>36</v>
      </c>
    </row>
    <row r="2248" spans="1:19" x14ac:dyDescent="0.3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 t="str">
        <f t="shared" si="35"/>
        <v>8-14 days</v>
      </c>
      <c r="L2248">
        <v>9</v>
      </c>
      <c r="M2248">
        <v>4</v>
      </c>
      <c r="N2248">
        <v>2</v>
      </c>
      <c r="O2248" t="s">
        <v>25</v>
      </c>
      <c r="P2248" t="s">
        <v>26</v>
      </c>
      <c r="Q2248">
        <v>3.7</v>
      </c>
      <c r="R2248">
        <v>26</v>
      </c>
      <c r="S2248" t="s">
        <v>36</v>
      </c>
    </row>
    <row r="2249" spans="1:19" x14ac:dyDescent="0.3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 t="str">
        <f t="shared" si="35"/>
        <v>31-60 days</v>
      </c>
      <c r="L2249">
        <v>50</v>
      </c>
      <c r="M2249">
        <v>5</v>
      </c>
      <c r="N2249">
        <v>1</v>
      </c>
      <c r="O2249" t="s">
        <v>25</v>
      </c>
      <c r="P2249" t="s">
        <v>35</v>
      </c>
      <c r="Q2249">
        <v>3.3</v>
      </c>
      <c r="R2249">
        <v>6</v>
      </c>
      <c r="S2249" t="s">
        <v>36</v>
      </c>
    </row>
    <row r="2250" spans="1:19" x14ac:dyDescent="0.3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 t="str">
        <f t="shared" si="35"/>
        <v>15-30 days</v>
      </c>
      <c r="L2250">
        <v>24</v>
      </c>
      <c r="M2250">
        <v>4</v>
      </c>
      <c r="N2250">
        <v>1</v>
      </c>
      <c r="O2250" t="s">
        <v>25</v>
      </c>
      <c r="P2250" t="s">
        <v>35</v>
      </c>
      <c r="Q2250">
        <v>8.9</v>
      </c>
      <c r="R2250">
        <v>28</v>
      </c>
      <c r="S2250" t="s">
        <v>36</v>
      </c>
    </row>
    <row r="2251" spans="1:19" x14ac:dyDescent="0.3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 t="str">
        <f t="shared" si="35"/>
        <v>31-60 days</v>
      </c>
      <c r="L2251">
        <v>40</v>
      </c>
      <c r="M2251">
        <v>2</v>
      </c>
      <c r="N2251">
        <v>1</v>
      </c>
      <c r="O2251" t="s">
        <v>54</v>
      </c>
      <c r="P2251" t="s">
        <v>55</v>
      </c>
      <c r="Q2251">
        <v>8.6999999999999993</v>
      </c>
      <c r="S2251" t="s">
        <v>27</v>
      </c>
    </row>
    <row r="2252" spans="1:19" x14ac:dyDescent="0.3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 t="str">
        <f t="shared" si="35"/>
        <v>15-30 days</v>
      </c>
      <c r="L2252">
        <v>20</v>
      </c>
      <c r="M2252">
        <v>3</v>
      </c>
      <c r="N2252">
        <v>1</v>
      </c>
      <c r="O2252" t="s">
        <v>25</v>
      </c>
      <c r="P2252" t="s">
        <v>50</v>
      </c>
      <c r="Q2252">
        <v>14.3</v>
      </c>
      <c r="R2252">
        <v>13</v>
      </c>
      <c r="S2252" t="s">
        <v>36</v>
      </c>
    </row>
    <row r="2253" spans="1:19" x14ac:dyDescent="0.3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 t="str">
        <f t="shared" si="35"/>
        <v>31-60 days</v>
      </c>
      <c r="L2253">
        <v>34</v>
      </c>
      <c r="M2253">
        <v>2</v>
      </c>
      <c r="N2253">
        <v>0</v>
      </c>
      <c r="O2253" t="s">
        <v>25</v>
      </c>
      <c r="P2253" t="s">
        <v>35</v>
      </c>
      <c r="Q2253">
        <v>7</v>
      </c>
      <c r="R2253">
        <v>33</v>
      </c>
      <c r="S2253" t="s">
        <v>27</v>
      </c>
    </row>
    <row r="2254" spans="1:19" x14ac:dyDescent="0.3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 t="str">
        <f t="shared" si="35"/>
        <v>31-60 days</v>
      </c>
      <c r="L2254">
        <v>47</v>
      </c>
      <c r="M2254">
        <v>2</v>
      </c>
      <c r="N2254">
        <v>0</v>
      </c>
      <c r="O2254" t="s">
        <v>25</v>
      </c>
      <c r="P2254" t="s">
        <v>35</v>
      </c>
      <c r="Q2254">
        <v>12.6</v>
      </c>
      <c r="R2254">
        <v>29</v>
      </c>
      <c r="S2254" t="s">
        <v>27</v>
      </c>
    </row>
    <row r="2255" spans="1:19" x14ac:dyDescent="0.3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 t="str">
        <f t="shared" si="35"/>
        <v>31-60 days</v>
      </c>
      <c r="L2255">
        <v>53</v>
      </c>
      <c r="M2255">
        <v>1</v>
      </c>
      <c r="N2255">
        <v>0</v>
      </c>
      <c r="O2255" t="s">
        <v>25</v>
      </c>
      <c r="P2255" t="s">
        <v>35</v>
      </c>
      <c r="Q2255">
        <v>9.6</v>
      </c>
      <c r="R2255">
        <v>24</v>
      </c>
      <c r="S2255" t="s">
        <v>27</v>
      </c>
    </row>
    <row r="2256" spans="1:19" x14ac:dyDescent="0.3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 t="str">
        <f t="shared" si="35"/>
        <v>8-14 days</v>
      </c>
      <c r="L2256">
        <v>12</v>
      </c>
      <c r="M2256">
        <v>2</v>
      </c>
      <c r="N2256">
        <v>0</v>
      </c>
      <c r="O2256" t="s">
        <v>25</v>
      </c>
      <c r="P2256" t="s">
        <v>35</v>
      </c>
      <c r="Q2256">
        <v>5.9</v>
      </c>
      <c r="R2256">
        <v>19</v>
      </c>
      <c r="S2256" t="s">
        <v>36</v>
      </c>
    </row>
    <row r="2257" spans="1:19" x14ac:dyDescent="0.3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 t="str">
        <f t="shared" si="35"/>
        <v>31-60 days</v>
      </c>
      <c r="L2257">
        <v>41</v>
      </c>
      <c r="M2257">
        <v>5</v>
      </c>
      <c r="N2257">
        <v>1</v>
      </c>
      <c r="O2257" t="s">
        <v>25</v>
      </c>
      <c r="P2257" t="s">
        <v>35</v>
      </c>
      <c r="Q2257">
        <v>16.7</v>
      </c>
      <c r="R2257">
        <v>14</v>
      </c>
      <c r="S2257" t="s">
        <v>27</v>
      </c>
    </row>
    <row r="2258" spans="1:19" x14ac:dyDescent="0.3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 t="str">
        <f t="shared" si="35"/>
        <v>31-60 days</v>
      </c>
      <c r="L2258">
        <v>55</v>
      </c>
      <c r="M2258">
        <v>3</v>
      </c>
      <c r="N2258">
        <v>0</v>
      </c>
      <c r="O2258" t="s">
        <v>54</v>
      </c>
      <c r="P2258" t="s">
        <v>55</v>
      </c>
      <c r="Q2258">
        <v>5.2</v>
      </c>
      <c r="R2258">
        <v>18</v>
      </c>
      <c r="S2258" t="s">
        <v>36</v>
      </c>
    </row>
    <row r="2259" spans="1:19" x14ac:dyDescent="0.3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 t="str">
        <f t="shared" si="35"/>
        <v>31-60 days</v>
      </c>
      <c r="L2259">
        <v>39</v>
      </c>
      <c r="M2259">
        <v>6</v>
      </c>
      <c r="N2259">
        <v>0</v>
      </c>
      <c r="O2259" t="s">
        <v>54</v>
      </c>
      <c r="P2259" t="s">
        <v>55</v>
      </c>
      <c r="Q2259">
        <v>2.4</v>
      </c>
      <c r="R2259">
        <v>32</v>
      </c>
      <c r="S2259" t="s">
        <v>36</v>
      </c>
    </row>
    <row r="2260" spans="1:19" x14ac:dyDescent="0.3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 t="str">
        <f t="shared" si="35"/>
        <v>8-14 days</v>
      </c>
      <c r="L2260">
        <v>8</v>
      </c>
      <c r="M2260">
        <v>2</v>
      </c>
      <c r="N2260">
        <v>0</v>
      </c>
      <c r="O2260" t="s">
        <v>25</v>
      </c>
      <c r="P2260" t="s">
        <v>50</v>
      </c>
      <c r="Q2260">
        <v>1.4</v>
      </c>
      <c r="R2260">
        <v>21</v>
      </c>
      <c r="S2260" t="s">
        <v>36</v>
      </c>
    </row>
    <row r="2261" spans="1:19" x14ac:dyDescent="0.3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 t="str">
        <f t="shared" si="35"/>
        <v>8-14 days</v>
      </c>
      <c r="L2261">
        <v>11</v>
      </c>
      <c r="M2261">
        <v>2</v>
      </c>
      <c r="N2261">
        <v>0</v>
      </c>
      <c r="O2261" t="s">
        <v>25</v>
      </c>
      <c r="P2261" t="s">
        <v>35</v>
      </c>
      <c r="Q2261">
        <v>6.2</v>
      </c>
      <c r="R2261">
        <v>2</v>
      </c>
      <c r="S2261" t="s">
        <v>27</v>
      </c>
    </row>
    <row r="2262" spans="1:19" x14ac:dyDescent="0.3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 t="str">
        <f t="shared" si="35"/>
        <v>8-14 days</v>
      </c>
      <c r="L2262">
        <v>12</v>
      </c>
      <c r="M2262">
        <v>1</v>
      </c>
      <c r="N2262">
        <v>0</v>
      </c>
      <c r="O2262" t="s">
        <v>25</v>
      </c>
      <c r="P2262" t="s">
        <v>35</v>
      </c>
      <c r="Q2262">
        <v>7.8</v>
      </c>
      <c r="R2262">
        <v>10</v>
      </c>
      <c r="S2262" t="s">
        <v>36</v>
      </c>
    </row>
    <row r="2263" spans="1:19" x14ac:dyDescent="0.3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 t="str">
        <f t="shared" si="35"/>
        <v>0-7 days</v>
      </c>
      <c r="L2263">
        <v>6</v>
      </c>
      <c r="M2263">
        <v>2</v>
      </c>
      <c r="N2263">
        <v>0</v>
      </c>
      <c r="O2263" t="s">
        <v>25</v>
      </c>
      <c r="P2263" t="s">
        <v>35</v>
      </c>
      <c r="Q2263">
        <v>7.9</v>
      </c>
      <c r="R2263">
        <v>15</v>
      </c>
      <c r="S2263" t="s">
        <v>36</v>
      </c>
    </row>
    <row r="2264" spans="1:19" x14ac:dyDescent="0.3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 t="str">
        <f t="shared" si="35"/>
        <v>31-60 days</v>
      </c>
      <c r="L2264">
        <v>45</v>
      </c>
      <c r="M2264">
        <v>2</v>
      </c>
      <c r="N2264">
        <v>0</v>
      </c>
      <c r="O2264" t="s">
        <v>25</v>
      </c>
      <c r="P2264" t="s">
        <v>35</v>
      </c>
      <c r="Q2264">
        <v>1.2</v>
      </c>
      <c r="R2264">
        <v>21</v>
      </c>
      <c r="S2264" t="s">
        <v>27</v>
      </c>
    </row>
    <row r="2265" spans="1:19" x14ac:dyDescent="0.3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 t="str">
        <f t="shared" si="35"/>
        <v>31-60 days</v>
      </c>
      <c r="L2265">
        <v>58</v>
      </c>
      <c r="M2265">
        <v>2</v>
      </c>
      <c r="N2265">
        <v>1</v>
      </c>
      <c r="O2265" t="s">
        <v>25</v>
      </c>
      <c r="P2265" t="s">
        <v>35</v>
      </c>
      <c r="Q2265">
        <v>11.2</v>
      </c>
      <c r="R2265">
        <v>21</v>
      </c>
      <c r="S2265" t="s">
        <v>36</v>
      </c>
    </row>
    <row r="2266" spans="1:19" x14ac:dyDescent="0.3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 t="str">
        <f t="shared" si="35"/>
        <v>31-60 days</v>
      </c>
      <c r="L2266">
        <v>31</v>
      </c>
      <c r="M2266">
        <v>3</v>
      </c>
      <c r="N2266">
        <v>0</v>
      </c>
      <c r="O2266" t="s">
        <v>25</v>
      </c>
      <c r="P2266" t="s">
        <v>50</v>
      </c>
      <c r="Q2266">
        <v>6.9</v>
      </c>
      <c r="R2266">
        <v>12</v>
      </c>
      <c r="S2266" t="s">
        <v>27</v>
      </c>
    </row>
    <row r="2267" spans="1:19" x14ac:dyDescent="0.3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 t="str">
        <f t="shared" si="35"/>
        <v>31-60 days</v>
      </c>
      <c r="L2267">
        <v>36</v>
      </c>
      <c r="M2267">
        <v>3</v>
      </c>
      <c r="N2267">
        <v>0</v>
      </c>
      <c r="O2267" t="s">
        <v>25</v>
      </c>
      <c r="P2267" t="s">
        <v>50</v>
      </c>
      <c r="Q2267">
        <v>13.8</v>
      </c>
      <c r="R2267">
        <v>31</v>
      </c>
      <c r="S2267" t="s">
        <v>36</v>
      </c>
    </row>
    <row r="2268" spans="1:19" x14ac:dyDescent="0.3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 t="str">
        <f t="shared" si="35"/>
        <v>31-60 days</v>
      </c>
      <c r="L2268">
        <v>47</v>
      </c>
      <c r="M2268">
        <v>2</v>
      </c>
      <c r="N2268">
        <v>0</v>
      </c>
      <c r="O2268" t="s">
        <v>25</v>
      </c>
      <c r="P2268" t="s">
        <v>35</v>
      </c>
      <c r="Q2268">
        <v>8.8000000000000007</v>
      </c>
      <c r="R2268">
        <v>2</v>
      </c>
      <c r="S2268" t="s">
        <v>71</v>
      </c>
    </row>
    <row r="2269" spans="1:19" x14ac:dyDescent="0.3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 t="str">
        <f t="shared" si="35"/>
        <v>15-30 days</v>
      </c>
      <c r="L2269">
        <v>25</v>
      </c>
      <c r="M2269">
        <v>3</v>
      </c>
      <c r="N2269">
        <v>0</v>
      </c>
      <c r="O2269" t="s">
        <v>25</v>
      </c>
      <c r="P2269" t="s">
        <v>26</v>
      </c>
      <c r="Q2269">
        <v>12.3</v>
      </c>
      <c r="R2269">
        <v>16</v>
      </c>
      <c r="S2269" t="s">
        <v>36</v>
      </c>
    </row>
    <row r="2270" spans="1:19" x14ac:dyDescent="0.3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 t="str">
        <f t="shared" si="35"/>
        <v>15-30 days</v>
      </c>
      <c r="L2270">
        <v>28</v>
      </c>
      <c r="M2270">
        <v>2</v>
      </c>
      <c r="N2270">
        <v>1</v>
      </c>
      <c r="O2270" t="s">
        <v>25</v>
      </c>
      <c r="P2270" t="s">
        <v>26</v>
      </c>
      <c r="Q2270">
        <v>2.9</v>
      </c>
      <c r="R2270">
        <v>33</v>
      </c>
      <c r="S2270" t="s">
        <v>27</v>
      </c>
    </row>
    <row r="2271" spans="1:19" x14ac:dyDescent="0.3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 t="str">
        <f t="shared" si="35"/>
        <v>31-60 days</v>
      </c>
      <c r="L2271">
        <v>35</v>
      </c>
      <c r="M2271">
        <v>2</v>
      </c>
      <c r="N2271">
        <v>1</v>
      </c>
      <c r="O2271" t="s">
        <v>25</v>
      </c>
      <c r="P2271" t="s">
        <v>26</v>
      </c>
      <c r="Q2271">
        <v>13.8</v>
      </c>
      <c r="R2271">
        <v>30</v>
      </c>
      <c r="S2271" t="s">
        <v>36</v>
      </c>
    </row>
    <row r="2272" spans="1:19" x14ac:dyDescent="0.3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 t="str">
        <f t="shared" si="35"/>
        <v>15-30 days</v>
      </c>
      <c r="L2272">
        <v>18</v>
      </c>
      <c r="M2272">
        <v>1</v>
      </c>
      <c r="N2272">
        <v>0</v>
      </c>
      <c r="O2272" t="s">
        <v>25</v>
      </c>
      <c r="P2272" t="s">
        <v>35</v>
      </c>
      <c r="Q2272">
        <v>10.6</v>
      </c>
      <c r="R2272">
        <v>21</v>
      </c>
      <c r="S2272" t="s">
        <v>36</v>
      </c>
    </row>
    <row r="2273" spans="1:19" x14ac:dyDescent="0.3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 t="str">
        <f t="shared" si="35"/>
        <v>0-7 days</v>
      </c>
      <c r="L2273">
        <v>3</v>
      </c>
      <c r="M2273">
        <v>2</v>
      </c>
      <c r="N2273">
        <v>0</v>
      </c>
      <c r="O2273" t="s">
        <v>25</v>
      </c>
      <c r="P2273" t="s">
        <v>35</v>
      </c>
      <c r="Q2273">
        <v>5.3</v>
      </c>
      <c r="R2273">
        <v>34</v>
      </c>
      <c r="S2273" t="s">
        <v>27</v>
      </c>
    </row>
    <row r="2274" spans="1:19" x14ac:dyDescent="0.3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 t="str">
        <f t="shared" si="35"/>
        <v>31-60 days</v>
      </c>
      <c r="L2274">
        <v>34</v>
      </c>
      <c r="M2274">
        <v>4</v>
      </c>
      <c r="N2274">
        <v>1</v>
      </c>
      <c r="O2274" t="s">
        <v>25</v>
      </c>
      <c r="P2274" t="s">
        <v>50</v>
      </c>
      <c r="Q2274">
        <v>21.2</v>
      </c>
      <c r="R2274">
        <v>27</v>
      </c>
      <c r="S2274" t="s">
        <v>27</v>
      </c>
    </row>
    <row r="2275" spans="1:19" x14ac:dyDescent="0.3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 t="str">
        <f t="shared" si="35"/>
        <v>31-60 days</v>
      </c>
      <c r="L2275">
        <v>50</v>
      </c>
      <c r="M2275">
        <v>1</v>
      </c>
      <c r="N2275">
        <v>0</v>
      </c>
      <c r="O2275" t="s">
        <v>25</v>
      </c>
      <c r="P2275" t="s">
        <v>50</v>
      </c>
      <c r="Q2275">
        <v>30.7</v>
      </c>
      <c r="R2275">
        <v>25</v>
      </c>
      <c r="S2275" t="s">
        <v>27</v>
      </c>
    </row>
    <row r="2276" spans="1:19" x14ac:dyDescent="0.3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 t="str">
        <f t="shared" si="35"/>
        <v>0-7 days</v>
      </c>
      <c r="L2276">
        <v>4</v>
      </c>
      <c r="M2276">
        <v>3</v>
      </c>
      <c r="N2276">
        <v>0</v>
      </c>
      <c r="O2276" t="s">
        <v>25</v>
      </c>
      <c r="P2276" t="s">
        <v>50</v>
      </c>
      <c r="Q2276">
        <v>5.4</v>
      </c>
      <c r="R2276">
        <v>31</v>
      </c>
      <c r="S2276" t="s">
        <v>36</v>
      </c>
    </row>
    <row r="2277" spans="1:19" x14ac:dyDescent="0.3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 t="str">
        <f t="shared" si="35"/>
        <v>8-14 days</v>
      </c>
      <c r="L2277">
        <v>13</v>
      </c>
      <c r="M2277">
        <v>1</v>
      </c>
      <c r="N2277">
        <v>0</v>
      </c>
      <c r="O2277" t="s">
        <v>25</v>
      </c>
      <c r="P2277" t="s">
        <v>35</v>
      </c>
      <c r="Q2277">
        <v>14.5</v>
      </c>
      <c r="R2277">
        <v>28</v>
      </c>
      <c r="S2277" t="s">
        <v>36</v>
      </c>
    </row>
    <row r="2278" spans="1:19" x14ac:dyDescent="0.3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 t="str">
        <f t="shared" si="35"/>
        <v>15-30 days</v>
      </c>
      <c r="L2278">
        <v>16</v>
      </c>
      <c r="M2278">
        <v>5</v>
      </c>
      <c r="N2278">
        <v>2</v>
      </c>
      <c r="O2278" t="s">
        <v>25</v>
      </c>
      <c r="P2278" t="s">
        <v>35</v>
      </c>
      <c r="Q2278">
        <v>8.4</v>
      </c>
      <c r="R2278">
        <v>39</v>
      </c>
      <c r="S2278" t="s">
        <v>36</v>
      </c>
    </row>
    <row r="2279" spans="1:19" x14ac:dyDescent="0.3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 t="str">
        <f t="shared" si="35"/>
        <v>31-60 days</v>
      </c>
      <c r="L2279">
        <v>49</v>
      </c>
      <c r="M2279">
        <v>2</v>
      </c>
      <c r="N2279">
        <v>0</v>
      </c>
      <c r="O2279" t="s">
        <v>54</v>
      </c>
      <c r="P2279" t="s">
        <v>55</v>
      </c>
      <c r="Q2279">
        <v>12</v>
      </c>
      <c r="R2279">
        <v>21</v>
      </c>
      <c r="S2279" t="s">
        <v>27</v>
      </c>
    </row>
    <row r="2280" spans="1:19" x14ac:dyDescent="0.3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 t="str">
        <f t="shared" si="35"/>
        <v>15-30 days</v>
      </c>
      <c r="L2280">
        <v>30</v>
      </c>
      <c r="M2280">
        <v>1</v>
      </c>
      <c r="N2280">
        <v>0</v>
      </c>
      <c r="O2280" t="s">
        <v>54</v>
      </c>
      <c r="P2280" t="s">
        <v>55</v>
      </c>
      <c r="Q2280">
        <v>10</v>
      </c>
      <c r="R2280">
        <v>21</v>
      </c>
      <c r="S2280" t="s">
        <v>36</v>
      </c>
    </row>
    <row r="2281" spans="1:19" x14ac:dyDescent="0.3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 t="str">
        <f t="shared" si="35"/>
        <v>31-60 days</v>
      </c>
      <c r="L2281">
        <v>32</v>
      </c>
      <c r="M2281">
        <v>2</v>
      </c>
      <c r="N2281">
        <v>1</v>
      </c>
      <c r="O2281" t="s">
        <v>25</v>
      </c>
      <c r="P2281" t="s">
        <v>50</v>
      </c>
      <c r="R2281">
        <v>26</v>
      </c>
      <c r="S2281" t="s">
        <v>27</v>
      </c>
    </row>
    <row r="2282" spans="1:19" x14ac:dyDescent="0.3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 t="str">
        <f t="shared" si="35"/>
        <v>31-60 days</v>
      </c>
      <c r="L2282">
        <v>39</v>
      </c>
      <c r="M2282">
        <v>3</v>
      </c>
      <c r="N2282">
        <v>0</v>
      </c>
      <c r="O2282" t="s">
        <v>25</v>
      </c>
      <c r="P2282" t="s">
        <v>35</v>
      </c>
      <c r="Q2282">
        <v>1.6</v>
      </c>
      <c r="R2282">
        <v>24</v>
      </c>
      <c r="S2282" t="s">
        <v>27</v>
      </c>
    </row>
    <row r="2283" spans="1:19" x14ac:dyDescent="0.3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 t="str">
        <f t="shared" si="35"/>
        <v>15-30 days</v>
      </c>
      <c r="L2283">
        <v>16</v>
      </c>
      <c r="M2283">
        <v>2</v>
      </c>
      <c r="N2283">
        <v>1</v>
      </c>
      <c r="O2283" t="s">
        <v>54</v>
      </c>
      <c r="P2283" t="s">
        <v>55</v>
      </c>
      <c r="Q2283">
        <v>11.8</v>
      </c>
      <c r="R2283">
        <v>44</v>
      </c>
      <c r="S2283" t="s">
        <v>36</v>
      </c>
    </row>
    <row r="2284" spans="1:19" x14ac:dyDescent="0.3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 t="str">
        <f t="shared" si="35"/>
        <v>31-60 days</v>
      </c>
      <c r="L2284">
        <v>43</v>
      </c>
      <c r="M2284">
        <v>4</v>
      </c>
      <c r="N2284">
        <v>2</v>
      </c>
      <c r="O2284" t="s">
        <v>25</v>
      </c>
      <c r="P2284" t="s">
        <v>50</v>
      </c>
      <c r="Q2284">
        <v>10.4</v>
      </c>
      <c r="R2284">
        <v>30</v>
      </c>
      <c r="S2284" t="s">
        <v>36</v>
      </c>
    </row>
    <row r="2285" spans="1:19" x14ac:dyDescent="0.3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 t="str">
        <f t="shared" si="35"/>
        <v>0-7 days</v>
      </c>
      <c r="L2285">
        <v>1</v>
      </c>
      <c r="M2285">
        <v>4</v>
      </c>
      <c r="N2285">
        <v>1</v>
      </c>
      <c r="O2285" t="s">
        <v>25</v>
      </c>
      <c r="P2285" t="s">
        <v>50</v>
      </c>
      <c r="Q2285">
        <v>9.1</v>
      </c>
      <c r="R2285">
        <v>16</v>
      </c>
      <c r="S2285" t="s">
        <v>36</v>
      </c>
    </row>
    <row r="2286" spans="1:19" x14ac:dyDescent="0.3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 t="str">
        <f t="shared" si="35"/>
        <v>0-7 days</v>
      </c>
      <c r="L2286">
        <v>6</v>
      </c>
      <c r="M2286">
        <v>1</v>
      </c>
      <c r="N2286">
        <v>0</v>
      </c>
      <c r="O2286" t="s">
        <v>54</v>
      </c>
      <c r="P2286" t="s">
        <v>55</v>
      </c>
      <c r="Q2286">
        <v>18</v>
      </c>
      <c r="R2286">
        <v>8</v>
      </c>
      <c r="S2286" t="s">
        <v>36</v>
      </c>
    </row>
    <row r="2287" spans="1:19" x14ac:dyDescent="0.3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 t="str">
        <f t="shared" si="35"/>
        <v>31-60 days</v>
      </c>
      <c r="L2287">
        <v>49</v>
      </c>
      <c r="M2287">
        <v>0</v>
      </c>
      <c r="N2287">
        <v>0</v>
      </c>
      <c r="O2287" t="s">
        <v>25</v>
      </c>
      <c r="P2287" t="s">
        <v>35</v>
      </c>
      <c r="Q2287">
        <v>3.8</v>
      </c>
      <c r="R2287">
        <v>41</v>
      </c>
      <c r="S2287" t="s">
        <v>27</v>
      </c>
    </row>
    <row r="2288" spans="1:19" x14ac:dyDescent="0.3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 t="str">
        <f t="shared" si="35"/>
        <v>31-60 days</v>
      </c>
      <c r="L2288">
        <v>40</v>
      </c>
      <c r="M2288">
        <v>1</v>
      </c>
      <c r="N2288">
        <v>0</v>
      </c>
      <c r="O2288" t="s">
        <v>25</v>
      </c>
      <c r="P2288" t="s">
        <v>35</v>
      </c>
      <c r="Q2288">
        <v>13.7</v>
      </c>
      <c r="R2288">
        <v>20</v>
      </c>
      <c r="S2288" t="s">
        <v>27</v>
      </c>
    </row>
    <row r="2289" spans="1:19" x14ac:dyDescent="0.3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 t="str">
        <f t="shared" si="35"/>
        <v>8-14 days</v>
      </c>
      <c r="L2289">
        <v>10</v>
      </c>
      <c r="M2289">
        <v>1</v>
      </c>
      <c r="N2289">
        <v>0</v>
      </c>
      <c r="O2289" t="s">
        <v>25</v>
      </c>
      <c r="P2289" t="s">
        <v>50</v>
      </c>
      <c r="Q2289">
        <v>5</v>
      </c>
      <c r="R2289">
        <v>28</v>
      </c>
      <c r="S2289" t="s">
        <v>36</v>
      </c>
    </row>
    <row r="2290" spans="1:19" x14ac:dyDescent="0.3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 t="str">
        <f t="shared" si="35"/>
        <v>15-30 days</v>
      </c>
      <c r="L2290">
        <v>26</v>
      </c>
      <c r="M2290">
        <v>1</v>
      </c>
      <c r="N2290">
        <v>0</v>
      </c>
      <c r="O2290" t="s">
        <v>25</v>
      </c>
      <c r="P2290" t="s">
        <v>35</v>
      </c>
      <c r="Q2290">
        <v>6.1</v>
      </c>
      <c r="R2290">
        <v>24</v>
      </c>
      <c r="S2290" t="s">
        <v>36</v>
      </c>
    </row>
    <row r="2291" spans="1:19" x14ac:dyDescent="0.3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 t="str">
        <f t="shared" si="35"/>
        <v>0-7 days</v>
      </c>
      <c r="L2291">
        <v>3</v>
      </c>
      <c r="M2291">
        <v>2</v>
      </c>
      <c r="N2291">
        <v>0</v>
      </c>
      <c r="O2291" t="s">
        <v>25</v>
      </c>
      <c r="P2291" t="s">
        <v>35</v>
      </c>
      <c r="Q2291">
        <v>5.4</v>
      </c>
      <c r="R2291">
        <v>33</v>
      </c>
      <c r="S2291" t="s">
        <v>36</v>
      </c>
    </row>
    <row r="2292" spans="1:19" x14ac:dyDescent="0.3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 t="str">
        <f t="shared" si="35"/>
        <v>31-60 days</v>
      </c>
      <c r="L2292">
        <v>40</v>
      </c>
      <c r="M2292">
        <v>5</v>
      </c>
      <c r="N2292">
        <v>0</v>
      </c>
      <c r="O2292" t="s">
        <v>25</v>
      </c>
      <c r="P2292" t="s">
        <v>35</v>
      </c>
      <c r="Q2292">
        <v>9</v>
      </c>
      <c r="R2292">
        <v>18</v>
      </c>
      <c r="S2292" t="s">
        <v>27</v>
      </c>
    </row>
    <row r="2293" spans="1:19" x14ac:dyDescent="0.3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 t="str">
        <f t="shared" si="35"/>
        <v>31-60 days</v>
      </c>
      <c r="L2293">
        <v>46</v>
      </c>
      <c r="M2293">
        <v>2</v>
      </c>
      <c r="N2293">
        <v>1</v>
      </c>
      <c r="O2293" t="s">
        <v>54</v>
      </c>
      <c r="P2293" t="s">
        <v>55</v>
      </c>
      <c r="Q2293">
        <v>13.9</v>
      </c>
      <c r="R2293">
        <v>25</v>
      </c>
      <c r="S2293" t="s">
        <v>27</v>
      </c>
    </row>
    <row r="2294" spans="1:19" x14ac:dyDescent="0.3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 t="str">
        <f t="shared" si="35"/>
        <v>15-30 days</v>
      </c>
      <c r="L2294">
        <v>16</v>
      </c>
      <c r="M2294">
        <v>1</v>
      </c>
      <c r="N2294">
        <v>1</v>
      </c>
      <c r="O2294" t="s">
        <v>54</v>
      </c>
      <c r="P2294" t="s">
        <v>55</v>
      </c>
      <c r="Q2294">
        <v>8.5</v>
      </c>
      <c r="R2294">
        <v>18</v>
      </c>
      <c r="S2294" t="s">
        <v>36</v>
      </c>
    </row>
    <row r="2295" spans="1:19" x14ac:dyDescent="0.3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 t="str">
        <f t="shared" si="35"/>
        <v>15-30 days</v>
      </c>
      <c r="L2295">
        <v>21</v>
      </c>
      <c r="M2295">
        <v>4</v>
      </c>
      <c r="N2295">
        <v>0</v>
      </c>
      <c r="O2295" t="s">
        <v>25</v>
      </c>
      <c r="P2295" t="s">
        <v>35</v>
      </c>
      <c r="Q2295">
        <v>15.3</v>
      </c>
      <c r="R2295">
        <v>55</v>
      </c>
      <c r="S2295" t="s">
        <v>36</v>
      </c>
    </row>
    <row r="2296" spans="1:19" x14ac:dyDescent="0.3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 t="str">
        <f t="shared" si="35"/>
        <v>8-14 days</v>
      </c>
      <c r="L2296">
        <v>14</v>
      </c>
      <c r="M2296">
        <v>1</v>
      </c>
      <c r="N2296">
        <v>0</v>
      </c>
      <c r="O2296" t="s">
        <v>25</v>
      </c>
      <c r="P2296" t="s">
        <v>35</v>
      </c>
      <c r="Q2296">
        <v>6.7</v>
      </c>
      <c r="R2296">
        <v>16</v>
      </c>
      <c r="S2296" t="s">
        <v>27</v>
      </c>
    </row>
    <row r="2297" spans="1:19" x14ac:dyDescent="0.3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 t="str">
        <f t="shared" si="35"/>
        <v>15-30 days</v>
      </c>
      <c r="L2297">
        <v>23</v>
      </c>
      <c r="M2297">
        <v>6</v>
      </c>
      <c r="N2297">
        <v>1</v>
      </c>
      <c r="O2297" t="s">
        <v>25</v>
      </c>
      <c r="P2297" t="s">
        <v>35</v>
      </c>
      <c r="Q2297">
        <v>2.6</v>
      </c>
      <c r="R2297">
        <v>30</v>
      </c>
      <c r="S2297" t="s">
        <v>36</v>
      </c>
    </row>
    <row r="2298" spans="1:19" x14ac:dyDescent="0.3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 t="str">
        <f t="shared" si="35"/>
        <v>15-30 days</v>
      </c>
      <c r="L2298">
        <v>16</v>
      </c>
      <c r="M2298">
        <v>4</v>
      </c>
      <c r="N2298">
        <v>1</v>
      </c>
      <c r="O2298" t="s">
        <v>25</v>
      </c>
      <c r="P2298" t="s">
        <v>35</v>
      </c>
      <c r="Q2298">
        <v>10</v>
      </c>
      <c r="R2298">
        <v>55</v>
      </c>
      <c r="S2298" t="s">
        <v>71</v>
      </c>
    </row>
    <row r="2299" spans="1:19" x14ac:dyDescent="0.3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 t="str">
        <f t="shared" si="35"/>
        <v>15-30 days</v>
      </c>
      <c r="L2299">
        <v>15</v>
      </c>
      <c r="M2299">
        <v>2</v>
      </c>
      <c r="N2299">
        <v>1</v>
      </c>
      <c r="O2299" t="s">
        <v>25</v>
      </c>
      <c r="P2299" t="s">
        <v>26</v>
      </c>
      <c r="Q2299">
        <v>7.5</v>
      </c>
      <c r="R2299">
        <v>36</v>
      </c>
      <c r="S2299" t="s">
        <v>36</v>
      </c>
    </row>
    <row r="2300" spans="1:19" x14ac:dyDescent="0.3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 t="str">
        <f t="shared" si="35"/>
        <v>15-30 days</v>
      </c>
      <c r="L2300">
        <v>26</v>
      </c>
      <c r="M2300">
        <v>2</v>
      </c>
      <c r="N2300">
        <v>0</v>
      </c>
      <c r="O2300" t="s">
        <v>54</v>
      </c>
      <c r="P2300" t="s">
        <v>55</v>
      </c>
      <c r="Q2300">
        <v>20.9</v>
      </c>
      <c r="R2300">
        <v>24</v>
      </c>
      <c r="S2300" t="s">
        <v>36</v>
      </c>
    </row>
    <row r="2301" spans="1:19" x14ac:dyDescent="0.3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 t="str">
        <f t="shared" si="35"/>
        <v>31-60 days</v>
      </c>
      <c r="L2301">
        <v>52</v>
      </c>
      <c r="M2301">
        <v>1</v>
      </c>
      <c r="N2301">
        <v>0</v>
      </c>
      <c r="O2301" t="s">
        <v>54</v>
      </c>
      <c r="P2301" t="s">
        <v>55</v>
      </c>
      <c r="Q2301">
        <v>4.2</v>
      </c>
      <c r="R2301">
        <v>26</v>
      </c>
      <c r="S2301" t="s">
        <v>27</v>
      </c>
    </row>
    <row r="2302" spans="1:19" x14ac:dyDescent="0.3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 t="str">
        <f t="shared" si="35"/>
        <v>31-60 days</v>
      </c>
      <c r="L2302">
        <v>46</v>
      </c>
      <c r="M2302">
        <v>2</v>
      </c>
      <c r="N2302">
        <v>0</v>
      </c>
      <c r="O2302" t="s">
        <v>54</v>
      </c>
      <c r="P2302" t="s">
        <v>55</v>
      </c>
      <c r="Q2302">
        <v>11.1</v>
      </c>
      <c r="R2302">
        <v>15</v>
      </c>
      <c r="S2302" t="s">
        <v>27</v>
      </c>
    </row>
    <row r="2303" spans="1:19" x14ac:dyDescent="0.3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 t="str">
        <f t="shared" si="35"/>
        <v>15-30 days</v>
      </c>
      <c r="L2303">
        <v>18</v>
      </c>
      <c r="M2303">
        <v>1</v>
      </c>
      <c r="N2303">
        <v>1</v>
      </c>
      <c r="O2303" t="s">
        <v>25</v>
      </c>
      <c r="P2303" t="s">
        <v>35</v>
      </c>
      <c r="Q2303">
        <v>8.5</v>
      </c>
      <c r="R2303">
        <v>42</v>
      </c>
      <c r="S2303" t="s">
        <v>27</v>
      </c>
    </row>
    <row r="2304" spans="1:19" x14ac:dyDescent="0.3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 t="str">
        <f t="shared" si="35"/>
        <v>31-60 days</v>
      </c>
      <c r="L2304">
        <v>57</v>
      </c>
      <c r="M2304">
        <v>2</v>
      </c>
      <c r="N2304">
        <v>1</v>
      </c>
      <c r="O2304" t="s">
        <v>25</v>
      </c>
      <c r="P2304" t="s">
        <v>35</v>
      </c>
      <c r="Q2304">
        <v>2.8</v>
      </c>
      <c r="R2304">
        <v>22</v>
      </c>
      <c r="S2304" t="s">
        <v>27</v>
      </c>
    </row>
    <row r="2305" spans="1:19" x14ac:dyDescent="0.3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 t="str">
        <f t="shared" si="35"/>
        <v>8-14 days</v>
      </c>
      <c r="L2305">
        <v>12</v>
      </c>
      <c r="M2305">
        <v>2</v>
      </c>
      <c r="N2305">
        <v>0</v>
      </c>
      <c r="O2305" t="s">
        <v>54</v>
      </c>
      <c r="P2305" t="s">
        <v>55</v>
      </c>
      <c r="Q2305">
        <v>2</v>
      </c>
      <c r="R2305">
        <v>23</v>
      </c>
      <c r="S2305" t="s">
        <v>36</v>
      </c>
    </row>
    <row r="2306" spans="1:19" x14ac:dyDescent="0.3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 t="str">
        <f t="shared" si="35"/>
        <v>31-60 days</v>
      </c>
      <c r="L2306">
        <v>55</v>
      </c>
      <c r="M2306">
        <v>0</v>
      </c>
      <c r="N2306">
        <v>0</v>
      </c>
      <c r="O2306" t="s">
        <v>54</v>
      </c>
      <c r="P2306" t="s">
        <v>55</v>
      </c>
      <c r="Q2306">
        <v>2.1</v>
      </c>
      <c r="R2306">
        <v>14</v>
      </c>
      <c r="S2306" t="s">
        <v>36</v>
      </c>
    </row>
    <row r="2307" spans="1:19" x14ac:dyDescent="0.3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 t="str">
        <f t="shared" ref="K2307:K2370" si="36">IF(L2307&lt;=7,"0-7 days",IF(L2307&lt;=14,"8-14 days",IF(L2307&lt;=30,"15-30 days","31-60 days")))</f>
        <v>15-30 days</v>
      </c>
      <c r="L2307">
        <v>18</v>
      </c>
      <c r="M2307">
        <v>4</v>
      </c>
      <c r="N2307">
        <v>1</v>
      </c>
      <c r="O2307" t="s">
        <v>25</v>
      </c>
      <c r="P2307" t="s">
        <v>35</v>
      </c>
      <c r="Q2307">
        <v>13.9</v>
      </c>
      <c r="R2307">
        <v>21</v>
      </c>
      <c r="S2307" t="s">
        <v>36</v>
      </c>
    </row>
    <row r="2308" spans="1:19" x14ac:dyDescent="0.3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 t="str">
        <f t="shared" si="36"/>
        <v>31-60 days</v>
      </c>
      <c r="L2308">
        <v>32</v>
      </c>
      <c r="M2308">
        <v>4</v>
      </c>
      <c r="N2308">
        <v>0</v>
      </c>
      <c r="O2308" t="s">
        <v>25</v>
      </c>
      <c r="P2308" t="s">
        <v>35</v>
      </c>
      <c r="Q2308">
        <v>8.3000000000000007</v>
      </c>
      <c r="R2308">
        <v>25</v>
      </c>
      <c r="S2308" t="s">
        <v>36</v>
      </c>
    </row>
    <row r="2309" spans="1:19" x14ac:dyDescent="0.3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 t="str">
        <f t="shared" si="36"/>
        <v>8-14 days</v>
      </c>
      <c r="L2309">
        <v>12</v>
      </c>
      <c r="M2309">
        <v>2</v>
      </c>
      <c r="N2309">
        <v>0</v>
      </c>
      <c r="O2309" t="s">
        <v>54</v>
      </c>
      <c r="P2309" t="s">
        <v>55</v>
      </c>
      <c r="Q2309">
        <v>12.2</v>
      </c>
      <c r="R2309">
        <v>36</v>
      </c>
      <c r="S2309" t="s">
        <v>36</v>
      </c>
    </row>
    <row r="2310" spans="1:19" x14ac:dyDescent="0.3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 t="str">
        <f t="shared" si="36"/>
        <v>31-60 days</v>
      </c>
      <c r="L2310">
        <v>46</v>
      </c>
      <c r="M2310">
        <v>3</v>
      </c>
      <c r="N2310">
        <v>0</v>
      </c>
      <c r="O2310" t="s">
        <v>25</v>
      </c>
      <c r="P2310" t="s">
        <v>35</v>
      </c>
      <c r="Q2310">
        <v>12.5</v>
      </c>
      <c r="S2310" t="s">
        <v>36</v>
      </c>
    </row>
    <row r="2311" spans="1:19" x14ac:dyDescent="0.3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 t="str">
        <f t="shared" si="36"/>
        <v>15-30 days</v>
      </c>
      <c r="L2311">
        <v>19</v>
      </c>
      <c r="M2311">
        <v>1</v>
      </c>
      <c r="N2311">
        <v>0</v>
      </c>
      <c r="O2311" t="s">
        <v>54</v>
      </c>
      <c r="P2311" t="s">
        <v>55</v>
      </c>
      <c r="Q2311">
        <v>1.4</v>
      </c>
      <c r="R2311">
        <v>36</v>
      </c>
      <c r="S2311" t="s">
        <v>71</v>
      </c>
    </row>
    <row r="2312" spans="1:19" x14ac:dyDescent="0.3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 t="str">
        <f t="shared" si="36"/>
        <v>31-60 days</v>
      </c>
      <c r="L2312">
        <v>53</v>
      </c>
      <c r="M2312">
        <v>5</v>
      </c>
      <c r="N2312">
        <v>3</v>
      </c>
      <c r="O2312" t="s">
        <v>25</v>
      </c>
      <c r="P2312" t="s">
        <v>35</v>
      </c>
      <c r="R2312">
        <v>2</v>
      </c>
      <c r="S2312" t="s">
        <v>36</v>
      </c>
    </row>
    <row r="2313" spans="1:19" x14ac:dyDescent="0.3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 t="str">
        <f t="shared" si="36"/>
        <v>0-7 days</v>
      </c>
      <c r="L2313">
        <v>5</v>
      </c>
      <c r="M2313">
        <v>5</v>
      </c>
      <c r="N2313">
        <v>1</v>
      </c>
      <c r="O2313" t="s">
        <v>25</v>
      </c>
      <c r="P2313" t="s">
        <v>26</v>
      </c>
      <c r="Q2313">
        <v>15.9</v>
      </c>
      <c r="R2313">
        <v>39</v>
      </c>
      <c r="S2313" t="s">
        <v>27</v>
      </c>
    </row>
    <row r="2314" spans="1:19" x14ac:dyDescent="0.3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 t="str">
        <f t="shared" si="36"/>
        <v>15-30 days</v>
      </c>
      <c r="L2314">
        <v>30</v>
      </c>
      <c r="M2314">
        <v>4</v>
      </c>
      <c r="N2314">
        <v>1</v>
      </c>
      <c r="O2314" t="s">
        <v>25</v>
      </c>
      <c r="P2314" t="s">
        <v>35</v>
      </c>
      <c r="Q2314">
        <v>8.3000000000000007</v>
      </c>
      <c r="R2314">
        <v>9</v>
      </c>
      <c r="S2314" t="s">
        <v>36</v>
      </c>
    </row>
    <row r="2315" spans="1:19" x14ac:dyDescent="0.3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 t="str">
        <f t="shared" si="36"/>
        <v>8-14 days</v>
      </c>
      <c r="L2315">
        <v>9</v>
      </c>
      <c r="M2315">
        <v>2</v>
      </c>
      <c r="N2315">
        <v>1</v>
      </c>
      <c r="O2315" t="s">
        <v>25</v>
      </c>
      <c r="P2315" t="s">
        <v>50</v>
      </c>
      <c r="Q2315">
        <v>11.6</v>
      </c>
      <c r="R2315">
        <v>32</v>
      </c>
      <c r="S2315" t="s">
        <v>36</v>
      </c>
    </row>
    <row r="2316" spans="1:19" x14ac:dyDescent="0.3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 t="str">
        <f t="shared" si="36"/>
        <v>31-60 days</v>
      </c>
      <c r="L2316">
        <v>54</v>
      </c>
      <c r="M2316">
        <v>5</v>
      </c>
      <c r="N2316">
        <v>1</v>
      </c>
      <c r="O2316" t="s">
        <v>54</v>
      </c>
      <c r="P2316" t="s">
        <v>55</v>
      </c>
      <c r="Q2316">
        <v>3.5</v>
      </c>
      <c r="R2316">
        <v>2</v>
      </c>
      <c r="S2316" t="s">
        <v>27</v>
      </c>
    </row>
    <row r="2317" spans="1:19" x14ac:dyDescent="0.3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 t="str">
        <f t="shared" si="36"/>
        <v>15-30 days</v>
      </c>
      <c r="L2317">
        <v>25</v>
      </c>
      <c r="M2317">
        <v>1</v>
      </c>
      <c r="N2317">
        <v>0</v>
      </c>
      <c r="O2317" t="s">
        <v>25</v>
      </c>
      <c r="P2317" t="s">
        <v>35</v>
      </c>
      <c r="Q2317">
        <v>3</v>
      </c>
      <c r="R2317">
        <v>25</v>
      </c>
      <c r="S2317" t="s">
        <v>36</v>
      </c>
    </row>
    <row r="2318" spans="1:19" x14ac:dyDescent="0.3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 t="str">
        <f t="shared" si="36"/>
        <v>31-60 days</v>
      </c>
      <c r="L2318">
        <v>41</v>
      </c>
      <c r="M2318">
        <v>5</v>
      </c>
      <c r="N2318">
        <v>2</v>
      </c>
      <c r="O2318" t="s">
        <v>25</v>
      </c>
      <c r="P2318" t="s">
        <v>35</v>
      </c>
      <c r="Q2318">
        <v>7.6</v>
      </c>
      <c r="R2318">
        <v>34</v>
      </c>
      <c r="S2318" t="s">
        <v>27</v>
      </c>
    </row>
    <row r="2319" spans="1:19" x14ac:dyDescent="0.3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 t="str">
        <f t="shared" si="36"/>
        <v>31-60 days</v>
      </c>
      <c r="L2319">
        <v>53</v>
      </c>
      <c r="M2319">
        <v>1</v>
      </c>
      <c r="N2319">
        <v>0</v>
      </c>
      <c r="O2319" t="s">
        <v>25</v>
      </c>
      <c r="P2319" t="s">
        <v>35</v>
      </c>
      <c r="Q2319">
        <v>5.2</v>
      </c>
      <c r="R2319">
        <v>15</v>
      </c>
      <c r="S2319" t="s">
        <v>27</v>
      </c>
    </row>
    <row r="2320" spans="1:19" x14ac:dyDescent="0.3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 t="str">
        <f t="shared" si="36"/>
        <v>31-60 days</v>
      </c>
      <c r="L2320">
        <v>32</v>
      </c>
      <c r="M2320">
        <v>0</v>
      </c>
      <c r="N2320">
        <v>0</v>
      </c>
      <c r="O2320" t="s">
        <v>25</v>
      </c>
      <c r="P2320" t="s">
        <v>35</v>
      </c>
      <c r="Q2320">
        <v>8.6999999999999993</v>
      </c>
      <c r="R2320">
        <v>24</v>
      </c>
      <c r="S2320" t="s">
        <v>36</v>
      </c>
    </row>
    <row r="2321" spans="1:19" x14ac:dyDescent="0.3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 t="str">
        <f t="shared" si="36"/>
        <v>0-7 days</v>
      </c>
      <c r="L2321">
        <v>3</v>
      </c>
      <c r="M2321">
        <v>4</v>
      </c>
      <c r="N2321">
        <v>1</v>
      </c>
      <c r="O2321" t="s">
        <v>25</v>
      </c>
      <c r="P2321" t="s">
        <v>50</v>
      </c>
      <c r="Q2321">
        <v>6.1</v>
      </c>
      <c r="R2321">
        <v>34</v>
      </c>
      <c r="S2321" t="s">
        <v>27</v>
      </c>
    </row>
    <row r="2322" spans="1:19" x14ac:dyDescent="0.3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 t="str">
        <f t="shared" si="36"/>
        <v>8-14 days</v>
      </c>
      <c r="L2322">
        <v>13</v>
      </c>
      <c r="M2322">
        <v>8</v>
      </c>
      <c r="N2322">
        <v>0</v>
      </c>
      <c r="O2322" t="s">
        <v>25</v>
      </c>
      <c r="P2322" t="s">
        <v>35</v>
      </c>
      <c r="Q2322">
        <v>15.2</v>
      </c>
      <c r="R2322">
        <v>32</v>
      </c>
      <c r="S2322" t="s">
        <v>36</v>
      </c>
    </row>
    <row r="2323" spans="1:19" x14ac:dyDescent="0.3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 t="str">
        <f t="shared" si="36"/>
        <v>8-14 days</v>
      </c>
      <c r="L2323">
        <v>12</v>
      </c>
      <c r="M2323">
        <v>3</v>
      </c>
      <c r="N2323">
        <v>1</v>
      </c>
      <c r="O2323" t="s">
        <v>25</v>
      </c>
      <c r="P2323" t="s">
        <v>50</v>
      </c>
      <c r="Q2323">
        <v>11.5</v>
      </c>
      <c r="R2323">
        <v>7</v>
      </c>
      <c r="S2323" t="s">
        <v>27</v>
      </c>
    </row>
    <row r="2324" spans="1:19" x14ac:dyDescent="0.3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 t="str">
        <f t="shared" si="36"/>
        <v>31-60 days</v>
      </c>
      <c r="L2324">
        <v>55</v>
      </c>
      <c r="M2324">
        <v>3</v>
      </c>
      <c r="N2324">
        <v>1</v>
      </c>
      <c r="O2324" t="s">
        <v>25</v>
      </c>
      <c r="P2324" t="s">
        <v>35</v>
      </c>
      <c r="Q2324">
        <v>5.4</v>
      </c>
      <c r="R2324">
        <v>35</v>
      </c>
      <c r="S2324" t="s">
        <v>36</v>
      </c>
    </row>
    <row r="2325" spans="1:19" x14ac:dyDescent="0.3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 t="str">
        <f t="shared" si="36"/>
        <v>31-60 days</v>
      </c>
      <c r="L2325">
        <v>55</v>
      </c>
      <c r="M2325">
        <v>2</v>
      </c>
      <c r="N2325">
        <v>1</v>
      </c>
      <c r="O2325" t="s">
        <v>54</v>
      </c>
      <c r="P2325" t="s">
        <v>55</v>
      </c>
      <c r="Q2325">
        <v>12.6</v>
      </c>
      <c r="R2325">
        <v>43</v>
      </c>
      <c r="S2325" t="s">
        <v>27</v>
      </c>
    </row>
    <row r="2326" spans="1:19" x14ac:dyDescent="0.3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 t="str">
        <f t="shared" si="36"/>
        <v>15-30 days</v>
      </c>
      <c r="L2326">
        <v>29</v>
      </c>
      <c r="M2326">
        <v>3</v>
      </c>
      <c r="N2326">
        <v>0</v>
      </c>
      <c r="O2326" t="s">
        <v>25</v>
      </c>
      <c r="P2326" t="s">
        <v>26</v>
      </c>
      <c r="Q2326">
        <v>3.6</v>
      </c>
      <c r="R2326">
        <v>37</v>
      </c>
      <c r="S2326" t="s">
        <v>36</v>
      </c>
    </row>
    <row r="2327" spans="1:19" x14ac:dyDescent="0.3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 t="str">
        <f t="shared" si="36"/>
        <v>31-60 days</v>
      </c>
      <c r="L2327">
        <v>54</v>
      </c>
      <c r="M2327">
        <v>4</v>
      </c>
      <c r="N2327">
        <v>0</v>
      </c>
      <c r="O2327" t="s">
        <v>25</v>
      </c>
      <c r="P2327" t="s">
        <v>35</v>
      </c>
      <c r="Q2327">
        <v>8.1</v>
      </c>
      <c r="R2327">
        <v>10</v>
      </c>
      <c r="S2327" t="s">
        <v>27</v>
      </c>
    </row>
    <row r="2328" spans="1:19" x14ac:dyDescent="0.3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 t="str">
        <f t="shared" si="36"/>
        <v>15-30 days</v>
      </c>
      <c r="L2328">
        <v>15</v>
      </c>
      <c r="M2328">
        <v>6</v>
      </c>
      <c r="N2328">
        <v>3</v>
      </c>
      <c r="O2328" t="s">
        <v>25</v>
      </c>
      <c r="P2328" t="s">
        <v>26</v>
      </c>
      <c r="Q2328">
        <v>15.4</v>
      </c>
      <c r="R2328">
        <v>12</v>
      </c>
      <c r="S2328" t="s">
        <v>27</v>
      </c>
    </row>
    <row r="2329" spans="1:19" x14ac:dyDescent="0.3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 t="str">
        <f t="shared" si="36"/>
        <v>31-60 days</v>
      </c>
      <c r="L2329">
        <v>41</v>
      </c>
      <c r="M2329">
        <v>3</v>
      </c>
      <c r="N2329">
        <v>1</v>
      </c>
      <c r="O2329" t="s">
        <v>25</v>
      </c>
      <c r="P2329" t="s">
        <v>35</v>
      </c>
      <c r="Q2329">
        <v>1.7</v>
      </c>
      <c r="R2329">
        <v>25</v>
      </c>
      <c r="S2329" t="s">
        <v>27</v>
      </c>
    </row>
    <row r="2330" spans="1:19" x14ac:dyDescent="0.3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 t="str">
        <f t="shared" si="36"/>
        <v>15-30 days</v>
      </c>
      <c r="L2330">
        <v>23</v>
      </c>
      <c r="M2330">
        <v>3</v>
      </c>
      <c r="N2330">
        <v>0</v>
      </c>
      <c r="O2330" t="s">
        <v>54</v>
      </c>
      <c r="P2330" t="s">
        <v>55</v>
      </c>
      <c r="Q2330">
        <v>18.5</v>
      </c>
      <c r="R2330">
        <v>30</v>
      </c>
      <c r="S2330" t="s">
        <v>36</v>
      </c>
    </row>
    <row r="2331" spans="1:19" x14ac:dyDescent="0.3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 t="str">
        <f t="shared" si="36"/>
        <v>8-14 days</v>
      </c>
      <c r="L2331">
        <v>14</v>
      </c>
      <c r="M2331">
        <v>0</v>
      </c>
      <c r="N2331">
        <v>0</v>
      </c>
      <c r="O2331" t="s">
        <v>25</v>
      </c>
      <c r="P2331" t="s">
        <v>26</v>
      </c>
      <c r="Q2331">
        <v>6.3</v>
      </c>
      <c r="R2331">
        <v>34</v>
      </c>
      <c r="S2331" t="s">
        <v>36</v>
      </c>
    </row>
    <row r="2332" spans="1:19" x14ac:dyDescent="0.3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 t="str">
        <f t="shared" si="36"/>
        <v>15-30 days</v>
      </c>
      <c r="L2332">
        <v>15</v>
      </c>
      <c r="M2332">
        <v>3</v>
      </c>
      <c r="N2332">
        <v>1</v>
      </c>
      <c r="O2332" t="s">
        <v>54</v>
      </c>
      <c r="P2332" t="s">
        <v>55</v>
      </c>
      <c r="Q2332">
        <v>15.6</v>
      </c>
      <c r="R2332">
        <v>15</v>
      </c>
      <c r="S2332" t="s">
        <v>27</v>
      </c>
    </row>
    <row r="2333" spans="1:19" x14ac:dyDescent="0.3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 t="str">
        <f t="shared" si="36"/>
        <v>15-30 days</v>
      </c>
      <c r="L2333">
        <v>25</v>
      </c>
      <c r="M2333">
        <v>1</v>
      </c>
      <c r="N2333">
        <v>0</v>
      </c>
      <c r="O2333" t="s">
        <v>25</v>
      </c>
      <c r="P2333" t="s">
        <v>26</v>
      </c>
      <c r="Q2333">
        <v>6.3</v>
      </c>
      <c r="R2333">
        <v>23</v>
      </c>
      <c r="S2333" t="s">
        <v>36</v>
      </c>
    </row>
    <row r="2334" spans="1:19" x14ac:dyDescent="0.3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 t="str">
        <f t="shared" si="36"/>
        <v>15-30 days</v>
      </c>
      <c r="L2334">
        <v>20</v>
      </c>
      <c r="M2334">
        <v>7</v>
      </c>
      <c r="N2334">
        <v>1</v>
      </c>
      <c r="O2334" t="s">
        <v>25</v>
      </c>
      <c r="P2334" t="s">
        <v>35</v>
      </c>
      <c r="Q2334">
        <v>2.2999999999999998</v>
      </c>
      <c r="R2334">
        <v>15</v>
      </c>
      <c r="S2334" t="s">
        <v>36</v>
      </c>
    </row>
    <row r="2335" spans="1:19" x14ac:dyDescent="0.3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 t="str">
        <f t="shared" si="36"/>
        <v>8-14 days</v>
      </c>
      <c r="L2335">
        <v>12</v>
      </c>
      <c r="M2335">
        <v>3</v>
      </c>
      <c r="N2335">
        <v>2</v>
      </c>
      <c r="O2335" t="s">
        <v>25</v>
      </c>
      <c r="P2335" t="s">
        <v>26</v>
      </c>
      <c r="Q2335">
        <v>5.6</v>
      </c>
      <c r="R2335">
        <v>13</v>
      </c>
      <c r="S2335" t="s">
        <v>27</v>
      </c>
    </row>
    <row r="2336" spans="1:19" x14ac:dyDescent="0.3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 t="str">
        <f t="shared" si="36"/>
        <v>15-30 days</v>
      </c>
      <c r="L2336">
        <v>20</v>
      </c>
      <c r="M2336">
        <v>2</v>
      </c>
      <c r="N2336">
        <v>1</v>
      </c>
      <c r="O2336" t="s">
        <v>25</v>
      </c>
      <c r="P2336" t="s">
        <v>35</v>
      </c>
      <c r="Q2336">
        <v>17.5</v>
      </c>
      <c r="R2336">
        <v>28</v>
      </c>
      <c r="S2336" t="s">
        <v>27</v>
      </c>
    </row>
    <row r="2337" spans="1:19" x14ac:dyDescent="0.3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 t="str">
        <f t="shared" si="36"/>
        <v>0-7 days</v>
      </c>
      <c r="L2337">
        <v>7</v>
      </c>
      <c r="M2337">
        <v>2</v>
      </c>
      <c r="N2337">
        <v>0</v>
      </c>
      <c r="O2337" t="s">
        <v>25</v>
      </c>
      <c r="P2337" t="s">
        <v>35</v>
      </c>
      <c r="Q2337">
        <v>9.5</v>
      </c>
      <c r="R2337">
        <v>23</v>
      </c>
      <c r="S2337" t="s">
        <v>27</v>
      </c>
    </row>
    <row r="2338" spans="1:19" x14ac:dyDescent="0.3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 t="str">
        <f t="shared" si="36"/>
        <v>31-60 days</v>
      </c>
      <c r="L2338">
        <v>59</v>
      </c>
      <c r="M2338">
        <v>4</v>
      </c>
      <c r="N2338">
        <v>2</v>
      </c>
      <c r="O2338" t="s">
        <v>54</v>
      </c>
      <c r="P2338" t="s">
        <v>55</v>
      </c>
      <c r="Q2338">
        <v>15.8</v>
      </c>
      <c r="R2338">
        <v>29</v>
      </c>
      <c r="S2338" t="s">
        <v>27</v>
      </c>
    </row>
    <row r="2339" spans="1:19" x14ac:dyDescent="0.3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 t="str">
        <f t="shared" si="36"/>
        <v>15-30 days</v>
      </c>
      <c r="L2339">
        <v>23</v>
      </c>
      <c r="M2339">
        <v>3</v>
      </c>
      <c r="N2339">
        <v>1</v>
      </c>
      <c r="O2339" t="s">
        <v>54</v>
      </c>
      <c r="P2339" t="s">
        <v>55</v>
      </c>
      <c r="Q2339">
        <v>6.5</v>
      </c>
      <c r="R2339">
        <v>18</v>
      </c>
      <c r="S2339" t="s">
        <v>27</v>
      </c>
    </row>
    <row r="2340" spans="1:19" x14ac:dyDescent="0.3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 t="str">
        <f t="shared" si="36"/>
        <v>0-7 days</v>
      </c>
      <c r="L2340">
        <v>6</v>
      </c>
      <c r="M2340">
        <v>1</v>
      </c>
      <c r="N2340">
        <v>0</v>
      </c>
      <c r="O2340" t="s">
        <v>25</v>
      </c>
      <c r="P2340" t="s">
        <v>50</v>
      </c>
      <c r="Q2340">
        <v>4.7</v>
      </c>
      <c r="R2340">
        <v>31</v>
      </c>
      <c r="S2340" t="s">
        <v>27</v>
      </c>
    </row>
    <row r="2341" spans="1:19" x14ac:dyDescent="0.3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 t="str">
        <f t="shared" si="36"/>
        <v>31-60 days</v>
      </c>
      <c r="L2341">
        <v>35</v>
      </c>
      <c r="M2341">
        <v>3</v>
      </c>
      <c r="N2341">
        <v>0</v>
      </c>
      <c r="O2341" t="s">
        <v>54</v>
      </c>
      <c r="P2341" t="s">
        <v>55</v>
      </c>
      <c r="Q2341">
        <v>15.2</v>
      </c>
      <c r="R2341">
        <v>12</v>
      </c>
      <c r="S2341" t="s">
        <v>36</v>
      </c>
    </row>
    <row r="2342" spans="1:19" x14ac:dyDescent="0.3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 t="str">
        <f t="shared" si="36"/>
        <v>31-60 days</v>
      </c>
      <c r="L2342">
        <v>53</v>
      </c>
      <c r="M2342">
        <v>3</v>
      </c>
      <c r="N2342">
        <v>1</v>
      </c>
      <c r="O2342" t="s">
        <v>25</v>
      </c>
      <c r="P2342" t="s">
        <v>35</v>
      </c>
      <c r="Q2342">
        <v>8.1999999999999993</v>
      </c>
      <c r="R2342">
        <v>19</v>
      </c>
      <c r="S2342" t="s">
        <v>27</v>
      </c>
    </row>
    <row r="2343" spans="1:19" x14ac:dyDescent="0.3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 t="str">
        <f t="shared" si="36"/>
        <v>15-30 days</v>
      </c>
      <c r="L2343">
        <v>21</v>
      </c>
      <c r="M2343">
        <v>3</v>
      </c>
      <c r="N2343">
        <v>0</v>
      </c>
      <c r="O2343" t="s">
        <v>54</v>
      </c>
      <c r="P2343" t="s">
        <v>55</v>
      </c>
      <c r="Q2343">
        <v>10.5</v>
      </c>
      <c r="R2343">
        <v>12</v>
      </c>
      <c r="S2343" t="s">
        <v>36</v>
      </c>
    </row>
    <row r="2344" spans="1:19" x14ac:dyDescent="0.3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 t="str">
        <f t="shared" si="36"/>
        <v>31-60 days</v>
      </c>
      <c r="L2344">
        <v>51</v>
      </c>
      <c r="M2344">
        <v>3</v>
      </c>
      <c r="N2344">
        <v>0</v>
      </c>
      <c r="O2344" t="s">
        <v>54</v>
      </c>
      <c r="P2344" t="s">
        <v>55</v>
      </c>
      <c r="Q2344">
        <v>11</v>
      </c>
      <c r="R2344">
        <v>27</v>
      </c>
      <c r="S2344" t="s">
        <v>36</v>
      </c>
    </row>
    <row r="2345" spans="1:19" x14ac:dyDescent="0.3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 t="str">
        <f t="shared" si="36"/>
        <v>31-60 days</v>
      </c>
      <c r="L2345">
        <v>37</v>
      </c>
      <c r="M2345">
        <v>0</v>
      </c>
      <c r="N2345">
        <v>0</v>
      </c>
      <c r="O2345" t="s">
        <v>54</v>
      </c>
      <c r="P2345" t="s">
        <v>55</v>
      </c>
      <c r="Q2345">
        <v>1.6</v>
      </c>
      <c r="R2345">
        <v>44</v>
      </c>
      <c r="S2345" t="s">
        <v>27</v>
      </c>
    </row>
    <row r="2346" spans="1:19" x14ac:dyDescent="0.3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 t="str">
        <f t="shared" si="36"/>
        <v>31-60 days</v>
      </c>
      <c r="L2346">
        <v>45</v>
      </c>
      <c r="M2346">
        <v>1</v>
      </c>
      <c r="N2346">
        <v>0</v>
      </c>
      <c r="O2346" t="s">
        <v>25</v>
      </c>
      <c r="P2346" t="s">
        <v>35</v>
      </c>
      <c r="Q2346">
        <v>13</v>
      </c>
      <c r="R2346">
        <v>28</v>
      </c>
      <c r="S2346" t="s">
        <v>27</v>
      </c>
    </row>
    <row r="2347" spans="1:19" x14ac:dyDescent="0.3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 t="str">
        <f t="shared" si="36"/>
        <v>15-30 days</v>
      </c>
      <c r="L2347">
        <v>18</v>
      </c>
      <c r="M2347">
        <v>7</v>
      </c>
      <c r="N2347">
        <v>0</v>
      </c>
      <c r="O2347" t="s">
        <v>25</v>
      </c>
      <c r="P2347" t="s">
        <v>35</v>
      </c>
      <c r="R2347">
        <v>23</v>
      </c>
      <c r="S2347" t="s">
        <v>27</v>
      </c>
    </row>
    <row r="2348" spans="1:19" x14ac:dyDescent="0.3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 t="str">
        <f t="shared" si="36"/>
        <v>0-7 days</v>
      </c>
      <c r="L2348">
        <v>2</v>
      </c>
      <c r="M2348">
        <v>6</v>
      </c>
      <c r="N2348">
        <v>0</v>
      </c>
      <c r="O2348" t="s">
        <v>25</v>
      </c>
      <c r="P2348" t="s">
        <v>26</v>
      </c>
      <c r="Q2348">
        <v>2</v>
      </c>
      <c r="R2348">
        <v>22</v>
      </c>
      <c r="S2348" t="s">
        <v>36</v>
      </c>
    </row>
    <row r="2349" spans="1:19" x14ac:dyDescent="0.3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 t="str">
        <f t="shared" si="36"/>
        <v>15-30 days</v>
      </c>
      <c r="L2349">
        <v>21</v>
      </c>
      <c r="M2349">
        <v>3</v>
      </c>
      <c r="N2349">
        <v>1</v>
      </c>
      <c r="O2349" t="s">
        <v>25</v>
      </c>
      <c r="P2349" t="s">
        <v>35</v>
      </c>
      <c r="Q2349">
        <v>5.8</v>
      </c>
      <c r="R2349">
        <v>18</v>
      </c>
      <c r="S2349" t="s">
        <v>36</v>
      </c>
    </row>
    <row r="2350" spans="1:19" x14ac:dyDescent="0.3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 t="str">
        <f t="shared" si="36"/>
        <v>31-60 days</v>
      </c>
      <c r="L2350">
        <v>56</v>
      </c>
      <c r="M2350">
        <v>0</v>
      </c>
      <c r="N2350">
        <v>0</v>
      </c>
      <c r="O2350" t="s">
        <v>25</v>
      </c>
      <c r="P2350" t="s">
        <v>35</v>
      </c>
      <c r="Q2350">
        <v>7.4</v>
      </c>
      <c r="R2350">
        <v>36</v>
      </c>
      <c r="S2350" t="s">
        <v>27</v>
      </c>
    </row>
    <row r="2351" spans="1:19" x14ac:dyDescent="0.3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 t="str">
        <f t="shared" si="36"/>
        <v>31-60 days</v>
      </c>
      <c r="L2351">
        <v>48</v>
      </c>
      <c r="M2351">
        <v>4</v>
      </c>
      <c r="N2351">
        <v>0</v>
      </c>
      <c r="O2351" t="s">
        <v>54</v>
      </c>
      <c r="P2351" t="s">
        <v>55</v>
      </c>
      <c r="Q2351">
        <v>19.8</v>
      </c>
      <c r="R2351">
        <v>29</v>
      </c>
      <c r="S2351" t="s">
        <v>27</v>
      </c>
    </row>
    <row r="2352" spans="1:19" x14ac:dyDescent="0.3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 t="str">
        <f t="shared" si="36"/>
        <v>31-60 days</v>
      </c>
      <c r="L2352">
        <v>47</v>
      </c>
      <c r="M2352">
        <v>4</v>
      </c>
      <c r="N2352">
        <v>2</v>
      </c>
      <c r="O2352" t="s">
        <v>25</v>
      </c>
      <c r="P2352" t="s">
        <v>35</v>
      </c>
      <c r="Q2352">
        <v>13.4</v>
      </c>
      <c r="R2352">
        <v>6</v>
      </c>
      <c r="S2352" t="s">
        <v>27</v>
      </c>
    </row>
    <row r="2353" spans="1:19" x14ac:dyDescent="0.3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 t="str">
        <f t="shared" si="36"/>
        <v>31-60 days</v>
      </c>
      <c r="L2353">
        <v>53</v>
      </c>
      <c r="M2353">
        <v>0</v>
      </c>
      <c r="N2353">
        <v>0</v>
      </c>
      <c r="O2353" t="s">
        <v>25</v>
      </c>
      <c r="P2353" t="s">
        <v>35</v>
      </c>
      <c r="Q2353">
        <v>1.9</v>
      </c>
      <c r="R2353">
        <v>36</v>
      </c>
      <c r="S2353" t="s">
        <v>36</v>
      </c>
    </row>
    <row r="2354" spans="1:19" x14ac:dyDescent="0.3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 t="str">
        <f t="shared" si="36"/>
        <v>15-30 days</v>
      </c>
      <c r="L2354">
        <v>22</v>
      </c>
      <c r="M2354">
        <v>3</v>
      </c>
      <c r="N2354">
        <v>0</v>
      </c>
      <c r="O2354" t="s">
        <v>25</v>
      </c>
      <c r="P2354" t="s">
        <v>35</v>
      </c>
      <c r="Q2354">
        <v>10.4</v>
      </c>
      <c r="R2354">
        <v>14</v>
      </c>
      <c r="S2354" t="s">
        <v>27</v>
      </c>
    </row>
    <row r="2355" spans="1:19" x14ac:dyDescent="0.3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 t="str">
        <f t="shared" si="36"/>
        <v>15-30 days</v>
      </c>
      <c r="L2355">
        <v>19</v>
      </c>
      <c r="M2355">
        <v>5</v>
      </c>
      <c r="N2355">
        <v>1</v>
      </c>
      <c r="O2355" t="s">
        <v>25</v>
      </c>
      <c r="P2355" t="s">
        <v>26</v>
      </c>
      <c r="Q2355">
        <v>8.1999999999999993</v>
      </c>
      <c r="R2355">
        <v>17</v>
      </c>
      <c r="S2355" t="s">
        <v>27</v>
      </c>
    </row>
    <row r="2356" spans="1:19" x14ac:dyDescent="0.3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 t="str">
        <f t="shared" si="36"/>
        <v>31-60 days</v>
      </c>
      <c r="L2356">
        <v>56</v>
      </c>
      <c r="M2356">
        <v>4</v>
      </c>
      <c r="N2356">
        <v>0</v>
      </c>
      <c r="O2356" t="s">
        <v>25</v>
      </c>
      <c r="P2356" t="s">
        <v>26</v>
      </c>
      <c r="Q2356">
        <v>4.0999999999999996</v>
      </c>
      <c r="R2356">
        <v>28</v>
      </c>
      <c r="S2356" t="s">
        <v>27</v>
      </c>
    </row>
    <row r="2357" spans="1:19" x14ac:dyDescent="0.3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 t="str">
        <f t="shared" si="36"/>
        <v>31-60 days</v>
      </c>
      <c r="L2357">
        <v>34</v>
      </c>
      <c r="M2357">
        <v>4</v>
      </c>
      <c r="N2357">
        <v>0</v>
      </c>
      <c r="O2357" t="s">
        <v>54</v>
      </c>
      <c r="P2357" t="s">
        <v>55</v>
      </c>
      <c r="Q2357">
        <v>12.5</v>
      </c>
      <c r="R2357">
        <v>17</v>
      </c>
      <c r="S2357" t="s">
        <v>27</v>
      </c>
    </row>
    <row r="2358" spans="1:19" x14ac:dyDescent="0.3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 t="str">
        <f t="shared" si="36"/>
        <v>15-30 days</v>
      </c>
      <c r="L2358">
        <v>18</v>
      </c>
      <c r="M2358">
        <v>3</v>
      </c>
      <c r="N2358">
        <v>2</v>
      </c>
      <c r="O2358" t="s">
        <v>54</v>
      </c>
      <c r="P2358" t="s">
        <v>55</v>
      </c>
      <c r="Q2358">
        <v>19.7</v>
      </c>
      <c r="R2358">
        <v>49</v>
      </c>
      <c r="S2358" t="s">
        <v>27</v>
      </c>
    </row>
    <row r="2359" spans="1:19" x14ac:dyDescent="0.3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 t="str">
        <f t="shared" si="36"/>
        <v>15-30 days</v>
      </c>
      <c r="L2359">
        <v>16</v>
      </c>
      <c r="M2359">
        <v>1</v>
      </c>
      <c r="N2359">
        <v>0</v>
      </c>
      <c r="O2359" t="s">
        <v>25</v>
      </c>
      <c r="P2359" t="s">
        <v>35</v>
      </c>
      <c r="Q2359">
        <v>8.6999999999999993</v>
      </c>
      <c r="R2359">
        <v>21</v>
      </c>
      <c r="S2359" t="s">
        <v>27</v>
      </c>
    </row>
    <row r="2360" spans="1:19" x14ac:dyDescent="0.3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 t="str">
        <f t="shared" si="36"/>
        <v>31-60 days</v>
      </c>
      <c r="L2360">
        <v>53</v>
      </c>
      <c r="M2360">
        <v>7</v>
      </c>
      <c r="N2360">
        <v>2</v>
      </c>
      <c r="O2360" t="s">
        <v>25</v>
      </c>
      <c r="P2360" t="s">
        <v>26</v>
      </c>
      <c r="Q2360">
        <v>6.4</v>
      </c>
      <c r="R2360">
        <v>31</v>
      </c>
      <c r="S2360" t="s">
        <v>27</v>
      </c>
    </row>
    <row r="2361" spans="1:19" x14ac:dyDescent="0.3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 t="str">
        <f t="shared" si="36"/>
        <v>0-7 days</v>
      </c>
      <c r="L2361">
        <v>3</v>
      </c>
      <c r="M2361">
        <v>2</v>
      </c>
      <c r="N2361">
        <v>0</v>
      </c>
      <c r="O2361" t="s">
        <v>25</v>
      </c>
      <c r="P2361" t="s">
        <v>26</v>
      </c>
      <c r="Q2361">
        <v>9.1</v>
      </c>
      <c r="R2361">
        <v>7</v>
      </c>
      <c r="S2361" t="s">
        <v>36</v>
      </c>
    </row>
    <row r="2362" spans="1:19" x14ac:dyDescent="0.3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 t="str">
        <f t="shared" si="36"/>
        <v>0-7 days</v>
      </c>
      <c r="L2362">
        <v>3</v>
      </c>
      <c r="M2362">
        <v>4</v>
      </c>
      <c r="N2362">
        <v>1</v>
      </c>
      <c r="O2362" t="s">
        <v>25</v>
      </c>
      <c r="P2362" t="s">
        <v>35</v>
      </c>
      <c r="Q2362">
        <v>10.4</v>
      </c>
      <c r="R2362">
        <v>17</v>
      </c>
      <c r="S2362" t="s">
        <v>27</v>
      </c>
    </row>
    <row r="2363" spans="1:19" x14ac:dyDescent="0.3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 t="str">
        <f t="shared" si="36"/>
        <v>31-60 days</v>
      </c>
      <c r="L2363">
        <v>45</v>
      </c>
      <c r="M2363">
        <v>3</v>
      </c>
      <c r="N2363">
        <v>0</v>
      </c>
      <c r="O2363" t="s">
        <v>25</v>
      </c>
      <c r="P2363" t="s">
        <v>35</v>
      </c>
      <c r="Q2363">
        <v>26.5</v>
      </c>
      <c r="R2363">
        <v>23</v>
      </c>
      <c r="S2363" t="s">
        <v>36</v>
      </c>
    </row>
    <row r="2364" spans="1:19" x14ac:dyDescent="0.3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 t="str">
        <f t="shared" si="36"/>
        <v>0-7 days</v>
      </c>
      <c r="L2364">
        <v>0</v>
      </c>
      <c r="M2364">
        <v>2</v>
      </c>
      <c r="N2364">
        <v>0</v>
      </c>
      <c r="O2364" t="s">
        <v>25</v>
      </c>
      <c r="P2364" t="s">
        <v>35</v>
      </c>
      <c r="Q2364">
        <v>5</v>
      </c>
      <c r="R2364">
        <v>35</v>
      </c>
      <c r="S2364" t="s">
        <v>36</v>
      </c>
    </row>
    <row r="2365" spans="1:19" x14ac:dyDescent="0.3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 t="str">
        <f t="shared" si="36"/>
        <v>8-14 days</v>
      </c>
      <c r="L2365">
        <v>10</v>
      </c>
      <c r="M2365">
        <v>2</v>
      </c>
      <c r="N2365">
        <v>0</v>
      </c>
      <c r="O2365" t="s">
        <v>25</v>
      </c>
      <c r="P2365" t="s">
        <v>50</v>
      </c>
      <c r="Q2365">
        <v>5.0999999999999996</v>
      </c>
      <c r="R2365">
        <v>12</v>
      </c>
      <c r="S2365" t="s">
        <v>36</v>
      </c>
    </row>
    <row r="2366" spans="1:19" x14ac:dyDescent="0.3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 t="str">
        <f t="shared" si="36"/>
        <v>31-60 days</v>
      </c>
      <c r="L2366">
        <v>60</v>
      </c>
      <c r="M2366">
        <v>6</v>
      </c>
      <c r="N2366">
        <v>2</v>
      </c>
      <c r="O2366" t="s">
        <v>25</v>
      </c>
      <c r="P2366" t="s">
        <v>35</v>
      </c>
      <c r="Q2366">
        <v>15</v>
      </c>
      <c r="R2366">
        <v>37</v>
      </c>
      <c r="S2366" t="s">
        <v>36</v>
      </c>
    </row>
    <row r="2367" spans="1:19" x14ac:dyDescent="0.3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 t="str">
        <f t="shared" si="36"/>
        <v>15-30 days</v>
      </c>
      <c r="L2367">
        <v>25</v>
      </c>
      <c r="M2367">
        <v>3</v>
      </c>
      <c r="N2367">
        <v>1</v>
      </c>
      <c r="O2367" t="s">
        <v>25</v>
      </c>
      <c r="P2367" t="s">
        <v>35</v>
      </c>
      <c r="Q2367">
        <v>6</v>
      </c>
      <c r="R2367">
        <v>25</v>
      </c>
      <c r="S2367" t="s">
        <v>36</v>
      </c>
    </row>
    <row r="2368" spans="1:19" x14ac:dyDescent="0.3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 t="str">
        <f t="shared" si="36"/>
        <v>31-60 days</v>
      </c>
      <c r="L2368">
        <v>44</v>
      </c>
      <c r="M2368">
        <v>4</v>
      </c>
      <c r="N2368">
        <v>0</v>
      </c>
      <c r="O2368" t="s">
        <v>54</v>
      </c>
      <c r="P2368" t="s">
        <v>55</v>
      </c>
      <c r="Q2368">
        <v>1.5</v>
      </c>
      <c r="R2368">
        <v>28</v>
      </c>
      <c r="S2368" t="s">
        <v>27</v>
      </c>
    </row>
    <row r="2369" spans="1:19" x14ac:dyDescent="0.3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 t="str">
        <f t="shared" si="36"/>
        <v>15-30 days</v>
      </c>
      <c r="L2369">
        <v>29</v>
      </c>
      <c r="M2369">
        <v>4</v>
      </c>
      <c r="N2369">
        <v>1</v>
      </c>
      <c r="O2369" t="s">
        <v>54</v>
      </c>
      <c r="P2369" t="s">
        <v>55</v>
      </c>
      <c r="Q2369">
        <v>19.899999999999999</v>
      </c>
      <c r="R2369">
        <v>16</v>
      </c>
      <c r="S2369" t="s">
        <v>36</v>
      </c>
    </row>
    <row r="2370" spans="1:19" x14ac:dyDescent="0.3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 t="str">
        <f t="shared" si="36"/>
        <v>0-7 days</v>
      </c>
      <c r="L2370">
        <v>5</v>
      </c>
      <c r="M2370">
        <v>5</v>
      </c>
      <c r="N2370">
        <v>1</v>
      </c>
      <c r="O2370" t="s">
        <v>25</v>
      </c>
      <c r="P2370" t="s">
        <v>35</v>
      </c>
      <c r="Q2370">
        <v>19.2</v>
      </c>
      <c r="R2370">
        <v>13</v>
      </c>
      <c r="S2370" t="s">
        <v>36</v>
      </c>
    </row>
    <row r="2371" spans="1:19" x14ac:dyDescent="0.3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 t="str">
        <f t="shared" ref="K2371:K2434" si="37">IF(L2371&lt;=7,"0-7 days",IF(L2371&lt;=14,"8-14 days",IF(L2371&lt;=30,"15-30 days","31-60 days")))</f>
        <v>8-14 days</v>
      </c>
      <c r="L2371">
        <v>11</v>
      </c>
      <c r="M2371">
        <v>1</v>
      </c>
      <c r="N2371">
        <v>0</v>
      </c>
      <c r="O2371" t="s">
        <v>25</v>
      </c>
      <c r="P2371" t="s">
        <v>35</v>
      </c>
      <c r="Q2371">
        <v>3.1</v>
      </c>
      <c r="R2371">
        <v>2</v>
      </c>
      <c r="S2371" t="s">
        <v>36</v>
      </c>
    </row>
    <row r="2372" spans="1:19" x14ac:dyDescent="0.3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 t="str">
        <f t="shared" si="37"/>
        <v>31-60 days</v>
      </c>
      <c r="L2372">
        <v>46</v>
      </c>
      <c r="M2372">
        <v>3</v>
      </c>
      <c r="N2372">
        <v>1</v>
      </c>
      <c r="O2372" t="s">
        <v>25</v>
      </c>
      <c r="P2372" t="s">
        <v>26</v>
      </c>
      <c r="Q2372">
        <v>8.8000000000000007</v>
      </c>
      <c r="R2372">
        <v>27</v>
      </c>
      <c r="S2372" t="s">
        <v>27</v>
      </c>
    </row>
    <row r="2373" spans="1:19" x14ac:dyDescent="0.3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 t="str">
        <f t="shared" si="37"/>
        <v>0-7 days</v>
      </c>
      <c r="L2373">
        <v>5</v>
      </c>
      <c r="M2373">
        <v>3</v>
      </c>
      <c r="N2373">
        <v>1</v>
      </c>
      <c r="O2373" t="s">
        <v>54</v>
      </c>
      <c r="P2373" t="s">
        <v>55</v>
      </c>
      <c r="Q2373">
        <v>2</v>
      </c>
      <c r="R2373">
        <v>31</v>
      </c>
      <c r="S2373" t="s">
        <v>27</v>
      </c>
    </row>
    <row r="2374" spans="1:19" x14ac:dyDescent="0.3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 t="str">
        <f t="shared" si="37"/>
        <v>31-60 days</v>
      </c>
      <c r="L2374">
        <v>36</v>
      </c>
      <c r="M2374">
        <v>4</v>
      </c>
      <c r="N2374">
        <v>0</v>
      </c>
      <c r="O2374" t="s">
        <v>54</v>
      </c>
      <c r="P2374" t="s">
        <v>55</v>
      </c>
      <c r="Q2374">
        <v>14.1</v>
      </c>
      <c r="R2374">
        <v>20</v>
      </c>
      <c r="S2374" t="s">
        <v>36</v>
      </c>
    </row>
    <row r="2375" spans="1:19" x14ac:dyDescent="0.3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 t="str">
        <f t="shared" si="37"/>
        <v>15-30 days</v>
      </c>
      <c r="L2375">
        <v>21</v>
      </c>
      <c r="M2375">
        <v>4</v>
      </c>
      <c r="N2375">
        <v>1</v>
      </c>
      <c r="O2375" t="s">
        <v>25</v>
      </c>
      <c r="P2375" t="s">
        <v>35</v>
      </c>
      <c r="Q2375">
        <v>13.7</v>
      </c>
      <c r="R2375">
        <v>7</v>
      </c>
      <c r="S2375" t="s">
        <v>27</v>
      </c>
    </row>
    <row r="2376" spans="1:19" x14ac:dyDescent="0.3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 t="str">
        <f t="shared" si="37"/>
        <v>15-30 days</v>
      </c>
      <c r="L2376">
        <v>22</v>
      </c>
      <c r="M2376">
        <v>4</v>
      </c>
      <c r="N2376">
        <v>0</v>
      </c>
      <c r="O2376" t="s">
        <v>25</v>
      </c>
      <c r="P2376" t="s">
        <v>35</v>
      </c>
      <c r="Q2376">
        <v>8.3000000000000007</v>
      </c>
      <c r="R2376">
        <v>18</v>
      </c>
      <c r="S2376" t="s">
        <v>71</v>
      </c>
    </row>
    <row r="2377" spans="1:19" x14ac:dyDescent="0.3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 t="str">
        <f t="shared" si="37"/>
        <v>31-60 days</v>
      </c>
      <c r="L2377">
        <v>58</v>
      </c>
      <c r="M2377">
        <v>2</v>
      </c>
      <c r="N2377">
        <v>0</v>
      </c>
      <c r="O2377" t="s">
        <v>54</v>
      </c>
      <c r="P2377" t="s">
        <v>55</v>
      </c>
      <c r="Q2377">
        <v>16.399999999999999</v>
      </c>
      <c r="R2377">
        <v>28</v>
      </c>
      <c r="S2377" t="s">
        <v>27</v>
      </c>
    </row>
    <row r="2378" spans="1:19" x14ac:dyDescent="0.3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 t="str">
        <f t="shared" si="37"/>
        <v>31-60 days</v>
      </c>
      <c r="L2378">
        <v>36</v>
      </c>
      <c r="M2378">
        <v>2</v>
      </c>
      <c r="N2378">
        <v>0</v>
      </c>
      <c r="O2378" t="s">
        <v>25</v>
      </c>
      <c r="P2378" t="s">
        <v>26</v>
      </c>
      <c r="Q2378">
        <v>2.2000000000000002</v>
      </c>
      <c r="R2378">
        <v>26</v>
      </c>
      <c r="S2378" t="s">
        <v>71</v>
      </c>
    </row>
    <row r="2379" spans="1:19" x14ac:dyDescent="0.3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 t="str">
        <f t="shared" si="37"/>
        <v>31-60 days</v>
      </c>
      <c r="L2379">
        <v>37</v>
      </c>
      <c r="M2379">
        <v>8</v>
      </c>
      <c r="N2379">
        <v>1</v>
      </c>
      <c r="O2379" t="s">
        <v>25</v>
      </c>
      <c r="P2379" t="s">
        <v>35</v>
      </c>
      <c r="R2379">
        <v>31</v>
      </c>
      <c r="S2379" t="s">
        <v>36</v>
      </c>
    </row>
    <row r="2380" spans="1:19" x14ac:dyDescent="0.3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 t="str">
        <f t="shared" si="37"/>
        <v>15-30 days</v>
      </c>
      <c r="L2380">
        <v>21</v>
      </c>
      <c r="M2380">
        <v>2</v>
      </c>
      <c r="N2380">
        <v>0</v>
      </c>
      <c r="O2380" t="s">
        <v>25</v>
      </c>
      <c r="P2380" t="s">
        <v>35</v>
      </c>
      <c r="Q2380">
        <v>1.5</v>
      </c>
      <c r="R2380">
        <v>6</v>
      </c>
      <c r="S2380" t="s">
        <v>27</v>
      </c>
    </row>
    <row r="2381" spans="1:19" x14ac:dyDescent="0.3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 t="str">
        <f t="shared" si="37"/>
        <v>15-30 days</v>
      </c>
      <c r="L2381">
        <v>23</v>
      </c>
      <c r="M2381">
        <v>1</v>
      </c>
      <c r="N2381">
        <v>0</v>
      </c>
      <c r="O2381" t="s">
        <v>25</v>
      </c>
      <c r="P2381" t="s">
        <v>35</v>
      </c>
      <c r="Q2381">
        <v>4</v>
      </c>
      <c r="R2381">
        <v>20</v>
      </c>
      <c r="S2381" t="s">
        <v>36</v>
      </c>
    </row>
    <row r="2382" spans="1:19" x14ac:dyDescent="0.3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 t="str">
        <f t="shared" si="37"/>
        <v>31-60 days</v>
      </c>
      <c r="L2382">
        <v>41</v>
      </c>
      <c r="M2382">
        <v>3</v>
      </c>
      <c r="N2382">
        <v>1</v>
      </c>
      <c r="O2382" t="s">
        <v>25</v>
      </c>
      <c r="P2382" t="s">
        <v>50</v>
      </c>
      <c r="R2382">
        <v>23</v>
      </c>
      <c r="S2382" t="s">
        <v>27</v>
      </c>
    </row>
    <row r="2383" spans="1:19" x14ac:dyDescent="0.3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 t="str">
        <f t="shared" si="37"/>
        <v>0-7 days</v>
      </c>
      <c r="L2383">
        <v>2</v>
      </c>
      <c r="M2383">
        <v>2</v>
      </c>
      <c r="N2383">
        <v>0</v>
      </c>
      <c r="O2383" t="s">
        <v>25</v>
      </c>
      <c r="P2383" t="s">
        <v>35</v>
      </c>
      <c r="Q2383">
        <v>21.7</v>
      </c>
      <c r="R2383">
        <v>31</v>
      </c>
      <c r="S2383" t="s">
        <v>36</v>
      </c>
    </row>
    <row r="2384" spans="1:19" x14ac:dyDescent="0.3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 t="str">
        <f t="shared" si="37"/>
        <v>8-14 days</v>
      </c>
      <c r="L2384">
        <v>14</v>
      </c>
      <c r="M2384">
        <v>2</v>
      </c>
      <c r="N2384">
        <v>0</v>
      </c>
      <c r="O2384" t="s">
        <v>25</v>
      </c>
      <c r="P2384" t="s">
        <v>35</v>
      </c>
      <c r="Q2384">
        <v>16</v>
      </c>
      <c r="R2384">
        <v>17</v>
      </c>
      <c r="S2384" t="s">
        <v>36</v>
      </c>
    </row>
    <row r="2385" spans="1:19" x14ac:dyDescent="0.3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 t="str">
        <f t="shared" si="37"/>
        <v>31-60 days</v>
      </c>
      <c r="L2385">
        <v>36</v>
      </c>
      <c r="M2385">
        <v>5</v>
      </c>
      <c r="N2385">
        <v>0</v>
      </c>
      <c r="O2385" t="s">
        <v>25</v>
      </c>
      <c r="P2385" t="s">
        <v>35</v>
      </c>
      <c r="Q2385">
        <v>1.6</v>
      </c>
      <c r="R2385">
        <v>30</v>
      </c>
      <c r="S2385" t="s">
        <v>36</v>
      </c>
    </row>
    <row r="2386" spans="1:19" x14ac:dyDescent="0.3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 t="str">
        <f t="shared" si="37"/>
        <v>31-60 days</v>
      </c>
      <c r="L2386">
        <v>38</v>
      </c>
      <c r="M2386">
        <v>1</v>
      </c>
      <c r="N2386">
        <v>0</v>
      </c>
      <c r="O2386" t="s">
        <v>54</v>
      </c>
      <c r="P2386" t="s">
        <v>55</v>
      </c>
      <c r="Q2386">
        <v>10.199999999999999</v>
      </c>
      <c r="R2386">
        <v>14</v>
      </c>
      <c r="S2386" t="s">
        <v>27</v>
      </c>
    </row>
    <row r="2387" spans="1:19" x14ac:dyDescent="0.3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 t="str">
        <f t="shared" si="37"/>
        <v>0-7 days</v>
      </c>
      <c r="L2387">
        <v>5</v>
      </c>
      <c r="M2387">
        <v>3</v>
      </c>
      <c r="N2387">
        <v>0</v>
      </c>
      <c r="O2387" t="s">
        <v>25</v>
      </c>
      <c r="P2387" t="s">
        <v>35</v>
      </c>
      <c r="Q2387">
        <v>1.6</v>
      </c>
      <c r="R2387">
        <v>26</v>
      </c>
      <c r="S2387" t="s">
        <v>36</v>
      </c>
    </row>
    <row r="2388" spans="1:19" x14ac:dyDescent="0.3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 t="str">
        <f t="shared" si="37"/>
        <v>31-60 days</v>
      </c>
      <c r="L2388">
        <v>48</v>
      </c>
      <c r="M2388">
        <v>1</v>
      </c>
      <c r="N2388">
        <v>0</v>
      </c>
      <c r="O2388" t="s">
        <v>25</v>
      </c>
      <c r="P2388" t="s">
        <v>50</v>
      </c>
      <c r="Q2388">
        <v>13</v>
      </c>
      <c r="R2388">
        <v>21</v>
      </c>
      <c r="S2388" t="s">
        <v>27</v>
      </c>
    </row>
    <row r="2389" spans="1:19" x14ac:dyDescent="0.3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 t="str">
        <f t="shared" si="37"/>
        <v>31-60 days</v>
      </c>
      <c r="L2389">
        <v>33</v>
      </c>
      <c r="M2389">
        <v>0</v>
      </c>
      <c r="N2389">
        <v>0</v>
      </c>
      <c r="O2389" t="s">
        <v>25</v>
      </c>
      <c r="P2389" t="s">
        <v>35</v>
      </c>
      <c r="Q2389">
        <v>14.9</v>
      </c>
      <c r="R2389">
        <v>20</v>
      </c>
      <c r="S2389" t="s">
        <v>27</v>
      </c>
    </row>
    <row r="2390" spans="1:19" x14ac:dyDescent="0.3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 t="str">
        <f t="shared" si="37"/>
        <v>8-14 days</v>
      </c>
      <c r="L2390">
        <v>14</v>
      </c>
      <c r="M2390">
        <v>2</v>
      </c>
      <c r="N2390">
        <v>1</v>
      </c>
      <c r="O2390" t="s">
        <v>54</v>
      </c>
      <c r="P2390" t="s">
        <v>55</v>
      </c>
      <c r="Q2390">
        <v>13.1</v>
      </c>
      <c r="R2390">
        <v>51</v>
      </c>
      <c r="S2390" t="s">
        <v>36</v>
      </c>
    </row>
    <row r="2391" spans="1:19" x14ac:dyDescent="0.3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 t="str">
        <f t="shared" si="37"/>
        <v>31-60 days</v>
      </c>
      <c r="L2391">
        <v>45</v>
      </c>
      <c r="M2391">
        <v>2</v>
      </c>
      <c r="N2391">
        <v>0</v>
      </c>
      <c r="O2391" t="s">
        <v>25</v>
      </c>
      <c r="P2391" t="s">
        <v>26</v>
      </c>
      <c r="Q2391">
        <v>10.199999999999999</v>
      </c>
      <c r="R2391">
        <v>20</v>
      </c>
      <c r="S2391" t="s">
        <v>36</v>
      </c>
    </row>
    <row r="2392" spans="1:19" x14ac:dyDescent="0.3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 t="str">
        <f t="shared" si="37"/>
        <v>31-60 days</v>
      </c>
      <c r="L2392">
        <v>60</v>
      </c>
      <c r="M2392">
        <v>3</v>
      </c>
      <c r="N2392">
        <v>1</v>
      </c>
      <c r="O2392" t="s">
        <v>25</v>
      </c>
      <c r="P2392" t="s">
        <v>35</v>
      </c>
      <c r="Q2392">
        <v>7.4</v>
      </c>
      <c r="R2392">
        <v>19</v>
      </c>
      <c r="S2392" t="s">
        <v>27</v>
      </c>
    </row>
    <row r="2393" spans="1:19" x14ac:dyDescent="0.3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 t="str">
        <f t="shared" si="37"/>
        <v>15-30 days</v>
      </c>
      <c r="L2393">
        <v>25</v>
      </c>
      <c r="M2393">
        <v>4</v>
      </c>
      <c r="N2393">
        <v>0</v>
      </c>
      <c r="O2393" t="s">
        <v>25</v>
      </c>
      <c r="P2393" t="s">
        <v>35</v>
      </c>
      <c r="Q2393">
        <v>9.8000000000000007</v>
      </c>
      <c r="R2393">
        <v>8</v>
      </c>
      <c r="S2393" t="s">
        <v>36</v>
      </c>
    </row>
    <row r="2394" spans="1:19" x14ac:dyDescent="0.3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 t="str">
        <f t="shared" si="37"/>
        <v>15-30 days</v>
      </c>
      <c r="L2394">
        <v>17</v>
      </c>
      <c r="M2394">
        <v>3</v>
      </c>
      <c r="N2394">
        <v>1</v>
      </c>
      <c r="O2394" t="s">
        <v>25</v>
      </c>
      <c r="P2394" t="s">
        <v>26</v>
      </c>
      <c r="Q2394">
        <v>4.0999999999999996</v>
      </c>
      <c r="R2394">
        <v>35</v>
      </c>
      <c r="S2394" t="s">
        <v>36</v>
      </c>
    </row>
    <row r="2395" spans="1:19" x14ac:dyDescent="0.3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 t="str">
        <f t="shared" si="37"/>
        <v>15-30 days</v>
      </c>
      <c r="L2395">
        <v>18</v>
      </c>
      <c r="M2395">
        <v>2</v>
      </c>
      <c r="N2395">
        <v>0</v>
      </c>
      <c r="O2395" t="s">
        <v>54</v>
      </c>
      <c r="P2395" t="s">
        <v>55</v>
      </c>
      <c r="Q2395">
        <v>10.199999999999999</v>
      </c>
      <c r="R2395">
        <v>18</v>
      </c>
      <c r="S2395" t="s">
        <v>36</v>
      </c>
    </row>
    <row r="2396" spans="1:19" x14ac:dyDescent="0.3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 t="str">
        <f t="shared" si="37"/>
        <v>31-60 days</v>
      </c>
      <c r="L2396">
        <v>36</v>
      </c>
      <c r="M2396">
        <v>4</v>
      </c>
      <c r="N2396">
        <v>2</v>
      </c>
      <c r="O2396" t="s">
        <v>25</v>
      </c>
      <c r="P2396" t="s">
        <v>50</v>
      </c>
      <c r="Q2396">
        <v>6.6</v>
      </c>
      <c r="R2396">
        <v>24</v>
      </c>
      <c r="S2396" t="s">
        <v>27</v>
      </c>
    </row>
    <row r="2397" spans="1:19" x14ac:dyDescent="0.3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 t="str">
        <f t="shared" si="37"/>
        <v>0-7 days</v>
      </c>
      <c r="L2397">
        <v>2</v>
      </c>
      <c r="M2397">
        <v>3</v>
      </c>
      <c r="N2397">
        <v>0</v>
      </c>
      <c r="O2397" t="s">
        <v>25</v>
      </c>
      <c r="P2397" t="s">
        <v>35</v>
      </c>
      <c r="Q2397">
        <v>2</v>
      </c>
      <c r="R2397">
        <v>15</v>
      </c>
      <c r="S2397" t="s">
        <v>27</v>
      </c>
    </row>
    <row r="2398" spans="1:19" x14ac:dyDescent="0.3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 t="str">
        <f t="shared" si="37"/>
        <v>15-30 days</v>
      </c>
      <c r="L2398">
        <v>29</v>
      </c>
      <c r="M2398">
        <v>2</v>
      </c>
      <c r="N2398">
        <v>2</v>
      </c>
      <c r="O2398" t="s">
        <v>25</v>
      </c>
      <c r="P2398" t="s">
        <v>26</v>
      </c>
      <c r="Q2398">
        <v>3.6</v>
      </c>
      <c r="R2398">
        <v>29</v>
      </c>
      <c r="S2398" t="s">
        <v>36</v>
      </c>
    </row>
    <row r="2399" spans="1:19" x14ac:dyDescent="0.3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 t="str">
        <f t="shared" si="37"/>
        <v>0-7 days</v>
      </c>
      <c r="L2399">
        <v>1</v>
      </c>
      <c r="M2399">
        <v>5</v>
      </c>
      <c r="N2399">
        <v>0</v>
      </c>
      <c r="O2399" t="s">
        <v>25</v>
      </c>
      <c r="P2399" t="s">
        <v>26</v>
      </c>
      <c r="Q2399">
        <v>14.8</v>
      </c>
      <c r="R2399">
        <v>34</v>
      </c>
      <c r="S2399" t="s">
        <v>36</v>
      </c>
    </row>
    <row r="2400" spans="1:19" x14ac:dyDescent="0.3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 t="str">
        <f t="shared" si="37"/>
        <v>0-7 days</v>
      </c>
      <c r="L2400">
        <v>2</v>
      </c>
      <c r="M2400">
        <v>1</v>
      </c>
      <c r="N2400">
        <v>0</v>
      </c>
      <c r="O2400" t="s">
        <v>54</v>
      </c>
      <c r="P2400" t="s">
        <v>55</v>
      </c>
      <c r="Q2400">
        <v>2.1</v>
      </c>
      <c r="R2400">
        <v>38</v>
      </c>
      <c r="S2400" t="s">
        <v>71</v>
      </c>
    </row>
    <row r="2401" spans="1:19" x14ac:dyDescent="0.3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 t="str">
        <f t="shared" si="37"/>
        <v>15-30 days</v>
      </c>
      <c r="L2401">
        <v>26</v>
      </c>
      <c r="M2401">
        <v>2</v>
      </c>
      <c r="N2401">
        <v>0</v>
      </c>
      <c r="O2401" t="s">
        <v>25</v>
      </c>
      <c r="P2401" t="s">
        <v>35</v>
      </c>
      <c r="Q2401">
        <v>9.1999999999999993</v>
      </c>
      <c r="R2401">
        <v>23</v>
      </c>
      <c r="S2401" t="s">
        <v>27</v>
      </c>
    </row>
    <row r="2402" spans="1:19" x14ac:dyDescent="0.3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 t="str">
        <f t="shared" si="37"/>
        <v>31-60 days</v>
      </c>
      <c r="L2402">
        <v>45</v>
      </c>
      <c r="M2402">
        <v>3</v>
      </c>
      <c r="N2402">
        <v>0</v>
      </c>
      <c r="O2402" t="s">
        <v>54</v>
      </c>
      <c r="P2402" t="s">
        <v>55</v>
      </c>
      <c r="Q2402">
        <v>6.3</v>
      </c>
      <c r="R2402">
        <v>17</v>
      </c>
      <c r="S2402" t="s">
        <v>36</v>
      </c>
    </row>
    <row r="2403" spans="1:19" x14ac:dyDescent="0.3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 t="str">
        <f t="shared" si="37"/>
        <v>31-60 days</v>
      </c>
      <c r="L2403">
        <v>53</v>
      </c>
      <c r="M2403">
        <v>3</v>
      </c>
      <c r="N2403">
        <v>0</v>
      </c>
      <c r="O2403" t="s">
        <v>25</v>
      </c>
      <c r="P2403" t="s">
        <v>35</v>
      </c>
      <c r="Q2403">
        <v>3.6</v>
      </c>
      <c r="R2403">
        <v>17</v>
      </c>
      <c r="S2403" t="s">
        <v>36</v>
      </c>
    </row>
    <row r="2404" spans="1:19" x14ac:dyDescent="0.3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 t="str">
        <f t="shared" si="37"/>
        <v>0-7 days</v>
      </c>
      <c r="L2404">
        <v>5</v>
      </c>
      <c r="M2404">
        <v>1</v>
      </c>
      <c r="N2404">
        <v>0</v>
      </c>
      <c r="O2404" t="s">
        <v>25</v>
      </c>
      <c r="P2404" t="s">
        <v>35</v>
      </c>
      <c r="Q2404">
        <v>16.600000000000001</v>
      </c>
      <c r="R2404">
        <v>24</v>
      </c>
      <c r="S2404" t="s">
        <v>27</v>
      </c>
    </row>
    <row r="2405" spans="1:19" x14ac:dyDescent="0.3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 t="str">
        <f t="shared" si="37"/>
        <v>8-14 days</v>
      </c>
      <c r="L2405">
        <v>14</v>
      </c>
      <c r="M2405">
        <v>2</v>
      </c>
      <c r="N2405">
        <v>0</v>
      </c>
      <c r="O2405" t="s">
        <v>54</v>
      </c>
      <c r="P2405" t="s">
        <v>55</v>
      </c>
      <c r="Q2405">
        <v>18.399999999999999</v>
      </c>
      <c r="R2405">
        <v>27</v>
      </c>
      <c r="S2405" t="s">
        <v>36</v>
      </c>
    </row>
    <row r="2406" spans="1:19" x14ac:dyDescent="0.3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 t="str">
        <f t="shared" si="37"/>
        <v>15-30 days</v>
      </c>
      <c r="L2406">
        <v>25</v>
      </c>
      <c r="M2406">
        <v>6</v>
      </c>
      <c r="N2406">
        <v>1</v>
      </c>
      <c r="O2406" t="s">
        <v>54</v>
      </c>
      <c r="P2406" t="s">
        <v>55</v>
      </c>
      <c r="Q2406">
        <v>2.4</v>
      </c>
      <c r="R2406">
        <v>30</v>
      </c>
      <c r="S2406" t="s">
        <v>36</v>
      </c>
    </row>
    <row r="2407" spans="1:19" x14ac:dyDescent="0.3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 t="str">
        <f t="shared" si="37"/>
        <v>31-60 days</v>
      </c>
      <c r="L2407">
        <v>35</v>
      </c>
      <c r="M2407">
        <v>7</v>
      </c>
      <c r="N2407">
        <v>1</v>
      </c>
      <c r="O2407" t="s">
        <v>25</v>
      </c>
      <c r="P2407" t="s">
        <v>50</v>
      </c>
      <c r="Q2407">
        <v>9.4</v>
      </c>
      <c r="R2407">
        <v>15</v>
      </c>
      <c r="S2407" t="s">
        <v>36</v>
      </c>
    </row>
    <row r="2408" spans="1:19" x14ac:dyDescent="0.3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 t="str">
        <f t="shared" si="37"/>
        <v>31-60 days</v>
      </c>
      <c r="L2408">
        <v>60</v>
      </c>
      <c r="M2408">
        <v>2</v>
      </c>
      <c r="N2408">
        <v>0</v>
      </c>
      <c r="O2408" t="s">
        <v>54</v>
      </c>
      <c r="P2408" t="s">
        <v>55</v>
      </c>
      <c r="Q2408">
        <v>7</v>
      </c>
      <c r="R2408">
        <v>25</v>
      </c>
      <c r="S2408" t="s">
        <v>27</v>
      </c>
    </row>
    <row r="2409" spans="1:19" x14ac:dyDescent="0.3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 t="str">
        <f t="shared" si="37"/>
        <v>31-60 days</v>
      </c>
      <c r="L2409">
        <v>41</v>
      </c>
      <c r="M2409">
        <v>1</v>
      </c>
      <c r="N2409">
        <v>0</v>
      </c>
      <c r="O2409" t="s">
        <v>25</v>
      </c>
      <c r="P2409" t="s">
        <v>35</v>
      </c>
      <c r="Q2409">
        <v>9.1</v>
      </c>
      <c r="R2409">
        <v>13</v>
      </c>
      <c r="S2409" t="s">
        <v>36</v>
      </c>
    </row>
    <row r="2410" spans="1:19" x14ac:dyDescent="0.3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 t="str">
        <f t="shared" si="37"/>
        <v>31-60 days</v>
      </c>
      <c r="L2410">
        <v>32</v>
      </c>
      <c r="M2410">
        <v>5</v>
      </c>
      <c r="N2410">
        <v>1</v>
      </c>
      <c r="O2410" t="s">
        <v>54</v>
      </c>
      <c r="P2410" t="s">
        <v>55</v>
      </c>
      <c r="Q2410">
        <v>36.299999999999997</v>
      </c>
      <c r="R2410">
        <v>23</v>
      </c>
      <c r="S2410" t="s">
        <v>27</v>
      </c>
    </row>
    <row r="2411" spans="1:19" x14ac:dyDescent="0.3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 t="str">
        <f t="shared" si="37"/>
        <v>0-7 days</v>
      </c>
      <c r="L2411">
        <v>3</v>
      </c>
      <c r="M2411">
        <v>2</v>
      </c>
      <c r="N2411">
        <v>1</v>
      </c>
      <c r="O2411" t="s">
        <v>25</v>
      </c>
      <c r="P2411" t="s">
        <v>35</v>
      </c>
      <c r="Q2411">
        <v>6.3</v>
      </c>
      <c r="R2411">
        <v>39</v>
      </c>
      <c r="S2411" t="s">
        <v>36</v>
      </c>
    </row>
    <row r="2412" spans="1:19" x14ac:dyDescent="0.3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 t="str">
        <f t="shared" si="37"/>
        <v>0-7 days</v>
      </c>
      <c r="L2412">
        <v>4</v>
      </c>
      <c r="M2412">
        <v>4</v>
      </c>
      <c r="N2412">
        <v>0</v>
      </c>
      <c r="O2412" t="s">
        <v>25</v>
      </c>
      <c r="P2412" t="s">
        <v>26</v>
      </c>
      <c r="Q2412">
        <v>4.5999999999999996</v>
      </c>
      <c r="R2412">
        <v>21</v>
      </c>
      <c r="S2412" t="s">
        <v>36</v>
      </c>
    </row>
    <row r="2413" spans="1:19" x14ac:dyDescent="0.3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 t="str">
        <f t="shared" si="37"/>
        <v>8-14 days</v>
      </c>
      <c r="L2413">
        <v>9</v>
      </c>
      <c r="M2413">
        <v>5</v>
      </c>
      <c r="N2413">
        <v>2</v>
      </c>
      <c r="O2413" t="s">
        <v>54</v>
      </c>
      <c r="P2413" t="s">
        <v>55</v>
      </c>
      <c r="Q2413">
        <v>7.8</v>
      </c>
      <c r="R2413">
        <v>14</v>
      </c>
      <c r="S2413" t="s">
        <v>27</v>
      </c>
    </row>
    <row r="2414" spans="1:19" x14ac:dyDescent="0.3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 t="str">
        <f t="shared" si="37"/>
        <v>31-60 days</v>
      </c>
      <c r="L2414">
        <v>40</v>
      </c>
      <c r="M2414">
        <v>2</v>
      </c>
      <c r="N2414">
        <v>0</v>
      </c>
      <c r="O2414" t="s">
        <v>25</v>
      </c>
      <c r="P2414" t="s">
        <v>35</v>
      </c>
      <c r="Q2414">
        <v>10.7</v>
      </c>
      <c r="R2414">
        <v>28</v>
      </c>
      <c r="S2414" t="s">
        <v>36</v>
      </c>
    </row>
    <row r="2415" spans="1:19" x14ac:dyDescent="0.3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 t="str">
        <f t="shared" si="37"/>
        <v>15-30 days</v>
      </c>
      <c r="L2415">
        <v>20</v>
      </c>
      <c r="M2415">
        <v>2</v>
      </c>
      <c r="N2415">
        <v>0</v>
      </c>
      <c r="O2415" t="s">
        <v>25</v>
      </c>
      <c r="P2415" t="s">
        <v>35</v>
      </c>
      <c r="Q2415">
        <v>6.1</v>
      </c>
      <c r="R2415">
        <v>34</v>
      </c>
      <c r="S2415" t="s">
        <v>27</v>
      </c>
    </row>
    <row r="2416" spans="1:19" x14ac:dyDescent="0.3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 t="str">
        <f t="shared" si="37"/>
        <v>8-14 days</v>
      </c>
      <c r="L2416">
        <v>14</v>
      </c>
      <c r="M2416">
        <v>4</v>
      </c>
      <c r="N2416">
        <v>1</v>
      </c>
      <c r="O2416" t="s">
        <v>54</v>
      </c>
      <c r="P2416" t="s">
        <v>55</v>
      </c>
      <c r="Q2416">
        <v>34.4</v>
      </c>
      <c r="R2416">
        <v>16</v>
      </c>
      <c r="S2416" t="s">
        <v>27</v>
      </c>
    </row>
    <row r="2417" spans="1:19" x14ac:dyDescent="0.3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 t="str">
        <f t="shared" si="37"/>
        <v>31-60 days</v>
      </c>
      <c r="L2417">
        <v>40</v>
      </c>
      <c r="M2417">
        <v>4</v>
      </c>
      <c r="N2417">
        <v>1</v>
      </c>
      <c r="O2417" t="s">
        <v>25</v>
      </c>
      <c r="P2417" t="s">
        <v>35</v>
      </c>
      <c r="Q2417">
        <v>4.3</v>
      </c>
      <c r="R2417">
        <v>9</v>
      </c>
      <c r="S2417" t="s">
        <v>27</v>
      </c>
    </row>
    <row r="2418" spans="1:19" x14ac:dyDescent="0.3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 t="str">
        <f t="shared" si="37"/>
        <v>31-60 days</v>
      </c>
      <c r="L2418">
        <v>49</v>
      </c>
      <c r="M2418">
        <v>3</v>
      </c>
      <c r="N2418">
        <v>0</v>
      </c>
      <c r="O2418" t="s">
        <v>54</v>
      </c>
      <c r="P2418" t="s">
        <v>55</v>
      </c>
      <c r="Q2418">
        <v>13.2</v>
      </c>
      <c r="R2418">
        <v>15</v>
      </c>
      <c r="S2418" t="s">
        <v>36</v>
      </c>
    </row>
    <row r="2419" spans="1:19" x14ac:dyDescent="0.3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 t="str">
        <f t="shared" si="37"/>
        <v>15-30 days</v>
      </c>
      <c r="L2419">
        <v>26</v>
      </c>
      <c r="M2419">
        <v>3</v>
      </c>
      <c r="N2419">
        <v>0</v>
      </c>
      <c r="O2419" t="s">
        <v>25</v>
      </c>
      <c r="P2419" t="s">
        <v>26</v>
      </c>
      <c r="Q2419">
        <v>20.7</v>
      </c>
      <c r="R2419">
        <v>19</v>
      </c>
      <c r="S2419" t="s">
        <v>27</v>
      </c>
    </row>
    <row r="2420" spans="1:19" x14ac:dyDescent="0.3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 t="str">
        <f t="shared" si="37"/>
        <v>31-60 days</v>
      </c>
      <c r="L2420">
        <v>53</v>
      </c>
      <c r="M2420">
        <v>3</v>
      </c>
      <c r="N2420">
        <v>1</v>
      </c>
      <c r="O2420" t="s">
        <v>25</v>
      </c>
      <c r="P2420" t="s">
        <v>35</v>
      </c>
      <c r="Q2420">
        <v>0.8</v>
      </c>
      <c r="R2420">
        <v>41</v>
      </c>
      <c r="S2420" t="s">
        <v>27</v>
      </c>
    </row>
    <row r="2421" spans="1:19" x14ac:dyDescent="0.3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 t="str">
        <f t="shared" si="37"/>
        <v>31-60 days</v>
      </c>
      <c r="L2421">
        <v>44</v>
      </c>
      <c r="M2421">
        <v>5</v>
      </c>
      <c r="N2421">
        <v>1</v>
      </c>
      <c r="O2421" t="s">
        <v>25</v>
      </c>
      <c r="P2421" t="s">
        <v>26</v>
      </c>
      <c r="Q2421">
        <v>11.4</v>
      </c>
      <c r="R2421">
        <v>9</v>
      </c>
      <c r="S2421" t="s">
        <v>27</v>
      </c>
    </row>
    <row r="2422" spans="1:19" x14ac:dyDescent="0.3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 t="str">
        <f t="shared" si="37"/>
        <v>31-60 days</v>
      </c>
      <c r="L2422">
        <v>43</v>
      </c>
      <c r="M2422">
        <v>3</v>
      </c>
      <c r="N2422">
        <v>2</v>
      </c>
      <c r="O2422" t="s">
        <v>25</v>
      </c>
      <c r="P2422" t="s">
        <v>26</v>
      </c>
      <c r="Q2422">
        <v>4.5</v>
      </c>
      <c r="S2422" t="s">
        <v>27</v>
      </c>
    </row>
    <row r="2423" spans="1:19" x14ac:dyDescent="0.3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 t="str">
        <f t="shared" si="37"/>
        <v>31-60 days</v>
      </c>
      <c r="L2423">
        <v>52</v>
      </c>
      <c r="M2423">
        <v>3</v>
      </c>
      <c r="N2423">
        <v>1</v>
      </c>
      <c r="O2423" t="s">
        <v>25</v>
      </c>
      <c r="P2423" t="s">
        <v>35</v>
      </c>
      <c r="Q2423">
        <v>3.6</v>
      </c>
      <c r="R2423">
        <v>27</v>
      </c>
      <c r="S2423" t="s">
        <v>27</v>
      </c>
    </row>
    <row r="2424" spans="1:19" x14ac:dyDescent="0.3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 t="str">
        <f t="shared" si="37"/>
        <v>8-14 days</v>
      </c>
      <c r="L2424">
        <v>11</v>
      </c>
      <c r="M2424">
        <v>6</v>
      </c>
      <c r="N2424">
        <v>0</v>
      </c>
      <c r="O2424" t="s">
        <v>25</v>
      </c>
      <c r="P2424" t="s">
        <v>35</v>
      </c>
      <c r="Q2424">
        <v>7.4</v>
      </c>
      <c r="R2424">
        <v>16</v>
      </c>
      <c r="S2424" t="s">
        <v>36</v>
      </c>
    </row>
    <row r="2425" spans="1:19" x14ac:dyDescent="0.3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 t="str">
        <f t="shared" si="37"/>
        <v>31-60 days</v>
      </c>
      <c r="L2425">
        <v>46</v>
      </c>
      <c r="M2425">
        <v>2</v>
      </c>
      <c r="N2425">
        <v>0</v>
      </c>
      <c r="O2425" t="s">
        <v>25</v>
      </c>
      <c r="P2425" t="s">
        <v>50</v>
      </c>
      <c r="Q2425">
        <v>19.899999999999999</v>
      </c>
      <c r="R2425">
        <v>13</v>
      </c>
      <c r="S2425" t="s">
        <v>27</v>
      </c>
    </row>
    <row r="2426" spans="1:19" x14ac:dyDescent="0.3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 t="str">
        <f t="shared" si="37"/>
        <v>31-60 days</v>
      </c>
      <c r="L2426">
        <v>58</v>
      </c>
      <c r="M2426">
        <v>1</v>
      </c>
      <c r="N2426">
        <v>0</v>
      </c>
      <c r="O2426" t="s">
        <v>25</v>
      </c>
      <c r="P2426" t="s">
        <v>35</v>
      </c>
      <c r="Q2426">
        <v>15.3</v>
      </c>
      <c r="R2426">
        <v>31</v>
      </c>
      <c r="S2426" t="s">
        <v>27</v>
      </c>
    </row>
    <row r="2427" spans="1:19" x14ac:dyDescent="0.3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 t="str">
        <f t="shared" si="37"/>
        <v>31-60 days</v>
      </c>
      <c r="L2427">
        <v>60</v>
      </c>
      <c r="M2427">
        <v>4</v>
      </c>
      <c r="N2427">
        <v>1</v>
      </c>
      <c r="O2427" t="s">
        <v>25</v>
      </c>
      <c r="P2427" t="s">
        <v>35</v>
      </c>
      <c r="Q2427">
        <v>1.9</v>
      </c>
      <c r="R2427">
        <v>25</v>
      </c>
      <c r="S2427" t="s">
        <v>27</v>
      </c>
    </row>
    <row r="2428" spans="1:19" x14ac:dyDescent="0.3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 t="str">
        <f t="shared" si="37"/>
        <v>31-60 days</v>
      </c>
      <c r="L2428">
        <v>35</v>
      </c>
      <c r="M2428">
        <v>2</v>
      </c>
      <c r="N2428">
        <v>0</v>
      </c>
      <c r="O2428" t="s">
        <v>54</v>
      </c>
      <c r="P2428" t="s">
        <v>55</v>
      </c>
      <c r="Q2428">
        <v>15.2</v>
      </c>
      <c r="R2428">
        <v>35</v>
      </c>
      <c r="S2428" t="s">
        <v>36</v>
      </c>
    </row>
    <row r="2429" spans="1:19" x14ac:dyDescent="0.3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 t="str">
        <f t="shared" si="37"/>
        <v>31-60 days</v>
      </c>
      <c r="L2429">
        <v>46</v>
      </c>
      <c r="M2429">
        <v>4</v>
      </c>
      <c r="N2429">
        <v>1</v>
      </c>
      <c r="O2429" t="s">
        <v>25</v>
      </c>
      <c r="P2429" t="s">
        <v>50</v>
      </c>
      <c r="Q2429">
        <v>4.4000000000000004</v>
      </c>
      <c r="R2429">
        <v>32</v>
      </c>
      <c r="S2429" t="s">
        <v>27</v>
      </c>
    </row>
    <row r="2430" spans="1:19" x14ac:dyDescent="0.3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 t="str">
        <f t="shared" si="37"/>
        <v>31-60 days</v>
      </c>
      <c r="L2430">
        <v>54</v>
      </c>
      <c r="M2430">
        <v>3</v>
      </c>
      <c r="N2430">
        <v>1</v>
      </c>
      <c r="O2430" t="s">
        <v>54</v>
      </c>
      <c r="P2430" t="s">
        <v>55</v>
      </c>
      <c r="Q2430">
        <v>17.8</v>
      </c>
      <c r="R2430">
        <v>11</v>
      </c>
      <c r="S2430" t="s">
        <v>27</v>
      </c>
    </row>
    <row r="2431" spans="1:19" x14ac:dyDescent="0.3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 t="str">
        <f t="shared" si="37"/>
        <v>31-60 days</v>
      </c>
      <c r="L2431">
        <v>51</v>
      </c>
      <c r="M2431">
        <v>0</v>
      </c>
      <c r="N2431">
        <v>0</v>
      </c>
      <c r="O2431" t="s">
        <v>25</v>
      </c>
      <c r="P2431" t="s">
        <v>26</v>
      </c>
      <c r="Q2431">
        <v>1.2</v>
      </c>
      <c r="R2431">
        <v>6</v>
      </c>
      <c r="S2431" t="s">
        <v>27</v>
      </c>
    </row>
    <row r="2432" spans="1:19" x14ac:dyDescent="0.3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 t="str">
        <f t="shared" si="37"/>
        <v>31-60 days</v>
      </c>
      <c r="L2432">
        <v>54</v>
      </c>
      <c r="M2432">
        <v>3</v>
      </c>
      <c r="N2432">
        <v>0</v>
      </c>
      <c r="O2432" t="s">
        <v>54</v>
      </c>
      <c r="P2432" t="s">
        <v>55</v>
      </c>
      <c r="Q2432">
        <v>12</v>
      </c>
      <c r="R2432">
        <v>36</v>
      </c>
      <c r="S2432" t="s">
        <v>27</v>
      </c>
    </row>
    <row r="2433" spans="1:19" x14ac:dyDescent="0.3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 t="str">
        <f t="shared" si="37"/>
        <v>31-60 days</v>
      </c>
      <c r="L2433">
        <v>50</v>
      </c>
      <c r="M2433">
        <v>1</v>
      </c>
      <c r="N2433">
        <v>0</v>
      </c>
      <c r="O2433" t="s">
        <v>54</v>
      </c>
      <c r="P2433" t="s">
        <v>55</v>
      </c>
      <c r="Q2433">
        <v>4</v>
      </c>
      <c r="R2433">
        <v>23</v>
      </c>
      <c r="S2433" t="s">
        <v>27</v>
      </c>
    </row>
    <row r="2434" spans="1:19" x14ac:dyDescent="0.3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 t="str">
        <f t="shared" si="37"/>
        <v>15-30 days</v>
      </c>
      <c r="L2434">
        <v>23</v>
      </c>
      <c r="M2434">
        <v>1</v>
      </c>
      <c r="N2434">
        <v>0</v>
      </c>
      <c r="O2434" t="s">
        <v>25</v>
      </c>
      <c r="P2434" t="s">
        <v>35</v>
      </c>
      <c r="Q2434">
        <v>15.1</v>
      </c>
      <c r="R2434">
        <v>57</v>
      </c>
      <c r="S2434" t="s">
        <v>36</v>
      </c>
    </row>
    <row r="2435" spans="1:19" x14ac:dyDescent="0.3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 t="str">
        <f t="shared" ref="K2435:K2498" si="38">IF(L2435&lt;=7,"0-7 days",IF(L2435&lt;=14,"8-14 days",IF(L2435&lt;=30,"15-30 days","31-60 days")))</f>
        <v>31-60 days</v>
      </c>
      <c r="L2435">
        <v>44</v>
      </c>
      <c r="M2435">
        <v>4</v>
      </c>
      <c r="N2435">
        <v>0</v>
      </c>
      <c r="O2435" t="s">
        <v>25</v>
      </c>
      <c r="P2435" t="s">
        <v>50</v>
      </c>
      <c r="Q2435">
        <v>23.2</v>
      </c>
      <c r="R2435">
        <v>35</v>
      </c>
      <c r="S2435" t="s">
        <v>27</v>
      </c>
    </row>
    <row r="2436" spans="1:19" x14ac:dyDescent="0.3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 t="str">
        <f t="shared" si="38"/>
        <v>15-30 days</v>
      </c>
      <c r="L2436">
        <v>25</v>
      </c>
      <c r="M2436">
        <v>0</v>
      </c>
      <c r="N2436">
        <v>0</v>
      </c>
      <c r="O2436" t="s">
        <v>25</v>
      </c>
      <c r="P2436" t="s">
        <v>26</v>
      </c>
      <c r="Q2436">
        <v>7.5</v>
      </c>
      <c r="R2436">
        <v>39</v>
      </c>
      <c r="S2436" t="s">
        <v>36</v>
      </c>
    </row>
    <row r="2437" spans="1:19" x14ac:dyDescent="0.3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 t="str">
        <f t="shared" si="38"/>
        <v>31-60 days</v>
      </c>
      <c r="L2437">
        <v>48</v>
      </c>
      <c r="M2437">
        <v>1</v>
      </c>
      <c r="N2437">
        <v>0</v>
      </c>
      <c r="O2437" t="s">
        <v>25</v>
      </c>
      <c r="P2437" t="s">
        <v>26</v>
      </c>
      <c r="Q2437">
        <v>5.4</v>
      </c>
      <c r="R2437">
        <v>14</v>
      </c>
      <c r="S2437" t="s">
        <v>36</v>
      </c>
    </row>
    <row r="2438" spans="1:19" x14ac:dyDescent="0.3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 t="str">
        <f t="shared" si="38"/>
        <v>31-60 days</v>
      </c>
      <c r="L2438">
        <v>49</v>
      </c>
      <c r="M2438">
        <v>1</v>
      </c>
      <c r="N2438">
        <v>0</v>
      </c>
      <c r="O2438" t="s">
        <v>25</v>
      </c>
      <c r="P2438" t="s">
        <v>35</v>
      </c>
      <c r="Q2438">
        <v>6.7</v>
      </c>
      <c r="R2438">
        <v>23</v>
      </c>
      <c r="S2438" t="s">
        <v>27</v>
      </c>
    </row>
    <row r="2439" spans="1:19" x14ac:dyDescent="0.3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 t="str">
        <f t="shared" si="38"/>
        <v>31-60 days</v>
      </c>
      <c r="L2439">
        <v>57</v>
      </c>
      <c r="M2439">
        <v>3</v>
      </c>
      <c r="N2439">
        <v>1</v>
      </c>
      <c r="O2439" t="s">
        <v>25</v>
      </c>
      <c r="P2439" t="s">
        <v>50</v>
      </c>
      <c r="Q2439">
        <v>7.9</v>
      </c>
      <c r="R2439">
        <v>33</v>
      </c>
      <c r="S2439" t="s">
        <v>27</v>
      </c>
    </row>
    <row r="2440" spans="1:19" x14ac:dyDescent="0.3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 t="str">
        <f t="shared" si="38"/>
        <v>31-60 days</v>
      </c>
      <c r="L2440">
        <v>35</v>
      </c>
      <c r="M2440">
        <v>2</v>
      </c>
      <c r="N2440">
        <v>0</v>
      </c>
      <c r="O2440" t="s">
        <v>25</v>
      </c>
      <c r="P2440" t="s">
        <v>26</v>
      </c>
      <c r="Q2440">
        <v>11.7</v>
      </c>
      <c r="R2440">
        <v>23</v>
      </c>
      <c r="S2440" t="s">
        <v>36</v>
      </c>
    </row>
    <row r="2441" spans="1:19" x14ac:dyDescent="0.3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 t="str">
        <f t="shared" si="38"/>
        <v>15-30 days</v>
      </c>
      <c r="L2441">
        <v>28</v>
      </c>
      <c r="M2441">
        <v>4</v>
      </c>
      <c r="N2441">
        <v>1</v>
      </c>
      <c r="O2441" t="s">
        <v>54</v>
      </c>
      <c r="P2441" t="s">
        <v>55</v>
      </c>
      <c r="Q2441">
        <v>2.1</v>
      </c>
      <c r="R2441">
        <v>25</v>
      </c>
      <c r="S2441" t="s">
        <v>27</v>
      </c>
    </row>
    <row r="2442" spans="1:19" x14ac:dyDescent="0.3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 t="str">
        <f t="shared" si="38"/>
        <v>8-14 days</v>
      </c>
      <c r="L2442">
        <v>10</v>
      </c>
      <c r="M2442">
        <v>4</v>
      </c>
      <c r="N2442">
        <v>0</v>
      </c>
      <c r="O2442" t="s">
        <v>25</v>
      </c>
      <c r="P2442" t="s">
        <v>35</v>
      </c>
      <c r="Q2442">
        <v>3.3</v>
      </c>
      <c r="R2442">
        <v>27</v>
      </c>
      <c r="S2442" t="s">
        <v>27</v>
      </c>
    </row>
    <row r="2443" spans="1:19" x14ac:dyDescent="0.3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 t="str">
        <f t="shared" si="38"/>
        <v>31-60 days</v>
      </c>
      <c r="L2443">
        <v>38</v>
      </c>
      <c r="M2443">
        <v>4</v>
      </c>
      <c r="N2443">
        <v>1</v>
      </c>
      <c r="O2443" t="s">
        <v>54</v>
      </c>
      <c r="P2443" t="s">
        <v>55</v>
      </c>
      <c r="Q2443">
        <v>9</v>
      </c>
      <c r="R2443">
        <v>16</v>
      </c>
      <c r="S2443" t="s">
        <v>27</v>
      </c>
    </row>
    <row r="2444" spans="1:19" x14ac:dyDescent="0.3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 t="str">
        <f t="shared" si="38"/>
        <v>31-60 days</v>
      </c>
      <c r="L2444">
        <v>34</v>
      </c>
      <c r="M2444">
        <v>1</v>
      </c>
      <c r="N2444">
        <v>1</v>
      </c>
      <c r="O2444" t="s">
        <v>54</v>
      </c>
      <c r="P2444" t="s">
        <v>55</v>
      </c>
      <c r="Q2444">
        <v>8.1</v>
      </c>
      <c r="R2444">
        <v>14</v>
      </c>
      <c r="S2444" t="s">
        <v>27</v>
      </c>
    </row>
    <row r="2445" spans="1:19" x14ac:dyDescent="0.3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 t="str">
        <f t="shared" si="38"/>
        <v>31-60 days</v>
      </c>
      <c r="L2445">
        <v>31</v>
      </c>
      <c r="M2445">
        <v>0</v>
      </c>
      <c r="N2445">
        <v>0</v>
      </c>
      <c r="O2445" t="s">
        <v>25</v>
      </c>
      <c r="P2445" t="s">
        <v>35</v>
      </c>
      <c r="Q2445">
        <v>3.1</v>
      </c>
      <c r="R2445">
        <v>22</v>
      </c>
      <c r="S2445" t="s">
        <v>36</v>
      </c>
    </row>
    <row r="2446" spans="1:19" x14ac:dyDescent="0.3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 t="str">
        <f t="shared" si="38"/>
        <v>31-60 days</v>
      </c>
      <c r="L2446">
        <v>41</v>
      </c>
      <c r="M2446">
        <v>1</v>
      </c>
      <c r="N2446">
        <v>1</v>
      </c>
      <c r="O2446" t="s">
        <v>25</v>
      </c>
      <c r="P2446" t="s">
        <v>35</v>
      </c>
      <c r="Q2446">
        <v>17.3</v>
      </c>
      <c r="R2446">
        <v>19</v>
      </c>
      <c r="S2446" t="s">
        <v>36</v>
      </c>
    </row>
    <row r="2447" spans="1:19" x14ac:dyDescent="0.3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 t="str">
        <f t="shared" si="38"/>
        <v>31-60 days</v>
      </c>
      <c r="L2447">
        <v>51</v>
      </c>
      <c r="M2447">
        <v>9</v>
      </c>
      <c r="N2447">
        <v>2</v>
      </c>
      <c r="O2447" t="s">
        <v>25</v>
      </c>
      <c r="P2447" t="s">
        <v>26</v>
      </c>
      <c r="Q2447">
        <v>4.9000000000000004</v>
      </c>
      <c r="R2447">
        <v>14</v>
      </c>
      <c r="S2447" t="s">
        <v>27</v>
      </c>
    </row>
    <row r="2448" spans="1:19" x14ac:dyDescent="0.3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 t="str">
        <f t="shared" si="38"/>
        <v>8-14 days</v>
      </c>
      <c r="L2448">
        <v>9</v>
      </c>
      <c r="M2448">
        <v>3</v>
      </c>
      <c r="N2448">
        <v>1</v>
      </c>
      <c r="O2448" t="s">
        <v>54</v>
      </c>
      <c r="P2448" t="s">
        <v>55</v>
      </c>
      <c r="Q2448">
        <v>26.3</v>
      </c>
      <c r="R2448">
        <v>23</v>
      </c>
      <c r="S2448" t="s">
        <v>36</v>
      </c>
    </row>
    <row r="2449" spans="1:19" x14ac:dyDescent="0.3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 t="str">
        <f t="shared" si="38"/>
        <v>15-30 days</v>
      </c>
      <c r="L2449">
        <v>26</v>
      </c>
      <c r="M2449">
        <v>1</v>
      </c>
      <c r="N2449">
        <v>0</v>
      </c>
      <c r="O2449" t="s">
        <v>54</v>
      </c>
      <c r="P2449" t="s">
        <v>55</v>
      </c>
      <c r="Q2449">
        <v>11.4</v>
      </c>
      <c r="R2449">
        <v>10</v>
      </c>
      <c r="S2449" t="s">
        <v>27</v>
      </c>
    </row>
    <row r="2450" spans="1:19" x14ac:dyDescent="0.3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 t="str">
        <f t="shared" si="38"/>
        <v>31-60 days</v>
      </c>
      <c r="L2450">
        <v>44</v>
      </c>
      <c r="M2450">
        <v>3</v>
      </c>
      <c r="N2450">
        <v>1</v>
      </c>
      <c r="O2450" t="s">
        <v>25</v>
      </c>
      <c r="P2450" t="s">
        <v>35</v>
      </c>
      <c r="R2450">
        <v>32</v>
      </c>
      <c r="S2450" t="s">
        <v>36</v>
      </c>
    </row>
    <row r="2451" spans="1:19" x14ac:dyDescent="0.3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 t="str">
        <f t="shared" si="38"/>
        <v>31-60 days</v>
      </c>
      <c r="L2451">
        <v>50</v>
      </c>
      <c r="M2451">
        <v>1</v>
      </c>
      <c r="N2451">
        <v>0</v>
      </c>
      <c r="O2451" t="s">
        <v>54</v>
      </c>
      <c r="P2451" t="s">
        <v>55</v>
      </c>
      <c r="Q2451">
        <v>9.8000000000000007</v>
      </c>
      <c r="R2451">
        <v>30</v>
      </c>
      <c r="S2451" t="s">
        <v>27</v>
      </c>
    </row>
    <row r="2452" spans="1:19" x14ac:dyDescent="0.3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 t="str">
        <f t="shared" si="38"/>
        <v>31-60 days</v>
      </c>
      <c r="L2452">
        <v>47</v>
      </c>
      <c r="M2452">
        <v>1</v>
      </c>
      <c r="N2452">
        <v>0</v>
      </c>
      <c r="O2452" t="s">
        <v>25</v>
      </c>
      <c r="P2452" t="s">
        <v>35</v>
      </c>
      <c r="Q2452">
        <v>5.5</v>
      </c>
      <c r="R2452">
        <v>32</v>
      </c>
      <c r="S2452" t="s">
        <v>36</v>
      </c>
    </row>
    <row r="2453" spans="1:19" x14ac:dyDescent="0.3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 t="str">
        <f t="shared" si="38"/>
        <v>31-60 days</v>
      </c>
      <c r="L2453">
        <v>48</v>
      </c>
      <c r="M2453">
        <v>1</v>
      </c>
      <c r="N2453">
        <v>1</v>
      </c>
      <c r="O2453" t="s">
        <v>25</v>
      </c>
      <c r="P2453" t="s">
        <v>35</v>
      </c>
      <c r="Q2453">
        <v>9.5</v>
      </c>
      <c r="R2453">
        <v>15</v>
      </c>
      <c r="S2453" t="s">
        <v>36</v>
      </c>
    </row>
    <row r="2454" spans="1:19" x14ac:dyDescent="0.3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 t="str">
        <f t="shared" si="38"/>
        <v>31-60 days</v>
      </c>
      <c r="L2454">
        <v>52</v>
      </c>
      <c r="M2454">
        <v>2</v>
      </c>
      <c r="N2454">
        <v>1</v>
      </c>
      <c r="O2454" t="s">
        <v>25</v>
      </c>
      <c r="P2454" t="s">
        <v>35</v>
      </c>
      <c r="Q2454">
        <v>7.2</v>
      </c>
      <c r="R2454">
        <v>13</v>
      </c>
      <c r="S2454" t="s">
        <v>27</v>
      </c>
    </row>
    <row r="2455" spans="1:19" x14ac:dyDescent="0.3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 t="str">
        <f t="shared" si="38"/>
        <v>31-60 days</v>
      </c>
      <c r="L2455">
        <v>58</v>
      </c>
      <c r="M2455">
        <v>0</v>
      </c>
      <c r="N2455">
        <v>0</v>
      </c>
      <c r="O2455" t="s">
        <v>54</v>
      </c>
      <c r="P2455" t="s">
        <v>55</v>
      </c>
      <c r="Q2455">
        <v>2.5</v>
      </c>
      <c r="R2455">
        <v>39</v>
      </c>
      <c r="S2455" t="s">
        <v>27</v>
      </c>
    </row>
    <row r="2456" spans="1:19" x14ac:dyDescent="0.3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 t="str">
        <f t="shared" si="38"/>
        <v>31-60 days</v>
      </c>
      <c r="L2456">
        <v>37</v>
      </c>
      <c r="M2456">
        <v>0</v>
      </c>
      <c r="N2456">
        <v>0</v>
      </c>
      <c r="O2456" t="s">
        <v>25</v>
      </c>
      <c r="P2456" t="s">
        <v>26</v>
      </c>
      <c r="Q2456">
        <v>2.6</v>
      </c>
      <c r="R2456">
        <v>22</v>
      </c>
      <c r="S2456" t="s">
        <v>27</v>
      </c>
    </row>
    <row r="2457" spans="1:19" x14ac:dyDescent="0.3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 t="str">
        <f t="shared" si="38"/>
        <v>15-30 days</v>
      </c>
      <c r="L2457">
        <v>15</v>
      </c>
      <c r="M2457">
        <v>2</v>
      </c>
      <c r="N2457">
        <v>2</v>
      </c>
      <c r="O2457" t="s">
        <v>54</v>
      </c>
      <c r="P2457" t="s">
        <v>55</v>
      </c>
      <c r="Q2457">
        <v>6.4</v>
      </c>
      <c r="R2457">
        <v>30</v>
      </c>
      <c r="S2457" t="s">
        <v>27</v>
      </c>
    </row>
    <row r="2458" spans="1:19" x14ac:dyDescent="0.3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 t="str">
        <f t="shared" si="38"/>
        <v>31-60 days</v>
      </c>
      <c r="L2458">
        <v>34</v>
      </c>
      <c r="M2458">
        <v>6</v>
      </c>
      <c r="N2458">
        <v>1</v>
      </c>
      <c r="O2458" t="s">
        <v>25</v>
      </c>
      <c r="P2458" t="s">
        <v>35</v>
      </c>
      <c r="Q2458">
        <v>11.9</v>
      </c>
      <c r="R2458">
        <v>11</v>
      </c>
      <c r="S2458" t="s">
        <v>36</v>
      </c>
    </row>
    <row r="2459" spans="1:19" x14ac:dyDescent="0.3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 t="str">
        <f t="shared" si="38"/>
        <v>31-60 days</v>
      </c>
      <c r="L2459">
        <v>43</v>
      </c>
      <c r="M2459">
        <v>2</v>
      </c>
      <c r="N2459">
        <v>0</v>
      </c>
      <c r="O2459" t="s">
        <v>25</v>
      </c>
      <c r="P2459" t="s">
        <v>26</v>
      </c>
      <c r="Q2459">
        <v>6.3</v>
      </c>
      <c r="R2459">
        <v>21</v>
      </c>
      <c r="S2459" t="s">
        <v>36</v>
      </c>
    </row>
    <row r="2460" spans="1:19" x14ac:dyDescent="0.3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 t="str">
        <f t="shared" si="38"/>
        <v>0-7 days</v>
      </c>
      <c r="L2460">
        <v>6</v>
      </c>
      <c r="M2460">
        <v>2</v>
      </c>
      <c r="N2460">
        <v>0</v>
      </c>
      <c r="O2460" t="s">
        <v>54</v>
      </c>
      <c r="P2460" t="s">
        <v>55</v>
      </c>
      <c r="Q2460">
        <v>6.5</v>
      </c>
      <c r="R2460">
        <v>37</v>
      </c>
      <c r="S2460" t="s">
        <v>36</v>
      </c>
    </row>
    <row r="2461" spans="1:19" x14ac:dyDescent="0.3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 t="str">
        <f t="shared" si="38"/>
        <v>31-60 days</v>
      </c>
      <c r="L2461">
        <v>46</v>
      </c>
      <c r="M2461">
        <v>3</v>
      </c>
      <c r="N2461">
        <v>0</v>
      </c>
      <c r="O2461" t="s">
        <v>25</v>
      </c>
      <c r="P2461" t="s">
        <v>35</v>
      </c>
      <c r="Q2461">
        <v>12.2</v>
      </c>
      <c r="R2461">
        <v>25</v>
      </c>
      <c r="S2461" t="s">
        <v>36</v>
      </c>
    </row>
    <row r="2462" spans="1:19" x14ac:dyDescent="0.3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 t="str">
        <f t="shared" si="38"/>
        <v>31-60 days</v>
      </c>
      <c r="L2462">
        <v>33</v>
      </c>
      <c r="M2462">
        <v>2</v>
      </c>
      <c r="N2462">
        <v>0</v>
      </c>
      <c r="O2462" t="s">
        <v>25</v>
      </c>
      <c r="P2462" t="s">
        <v>26</v>
      </c>
      <c r="Q2462">
        <v>6.3</v>
      </c>
      <c r="R2462">
        <v>21</v>
      </c>
      <c r="S2462" t="s">
        <v>27</v>
      </c>
    </row>
    <row r="2463" spans="1:19" x14ac:dyDescent="0.3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 t="str">
        <f t="shared" si="38"/>
        <v>31-60 days</v>
      </c>
      <c r="L2463">
        <v>57</v>
      </c>
      <c r="M2463">
        <v>1</v>
      </c>
      <c r="N2463">
        <v>0</v>
      </c>
      <c r="O2463" t="s">
        <v>54</v>
      </c>
      <c r="P2463" t="s">
        <v>55</v>
      </c>
      <c r="Q2463">
        <v>32.700000000000003</v>
      </c>
      <c r="R2463">
        <v>30</v>
      </c>
      <c r="S2463" t="s">
        <v>27</v>
      </c>
    </row>
    <row r="2464" spans="1:19" x14ac:dyDescent="0.3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 t="str">
        <f t="shared" si="38"/>
        <v>8-14 days</v>
      </c>
      <c r="L2464">
        <v>12</v>
      </c>
      <c r="M2464">
        <v>2</v>
      </c>
      <c r="N2464">
        <v>0</v>
      </c>
      <c r="O2464" t="s">
        <v>25</v>
      </c>
      <c r="P2464" t="s">
        <v>35</v>
      </c>
      <c r="Q2464">
        <v>4.9000000000000004</v>
      </c>
      <c r="R2464">
        <v>27</v>
      </c>
      <c r="S2464" t="s">
        <v>36</v>
      </c>
    </row>
    <row r="2465" spans="1:19" x14ac:dyDescent="0.3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 t="str">
        <f t="shared" si="38"/>
        <v>31-60 days</v>
      </c>
      <c r="L2465">
        <v>55</v>
      </c>
      <c r="M2465">
        <v>3</v>
      </c>
      <c r="N2465">
        <v>1</v>
      </c>
      <c r="O2465" t="s">
        <v>25</v>
      </c>
      <c r="P2465" t="s">
        <v>50</v>
      </c>
      <c r="Q2465">
        <v>15</v>
      </c>
      <c r="R2465">
        <v>47</v>
      </c>
      <c r="S2465" t="s">
        <v>27</v>
      </c>
    </row>
    <row r="2466" spans="1:19" x14ac:dyDescent="0.3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 t="str">
        <f t="shared" si="38"/>
        <v>15-30 days</v>
      </c>
      <c r="L2466">
        <v>27</v>
      </c>
      <c r="M2466">
        <v>5</v>
      </c>
      <c r="N2466">
        <v>0</v>
      </c>
      <c r="O2466" t="s">
        <v>25</v>
      </c>
      <c r="P2466" t="s">
        <v>35</v>
      </c>
      <c r="Q2466">
        <v>8.9</v>
      </c>
      <c r="R2466">
        <v>24</v>
      </c>
      <c r="S2466" t="s">
        <v>36</v>
      </c>
    </row>
    <row r="2467" spans="1:19" x14ac:dyDescent="0.3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 t="str">
        <f t="shared" si="38"/>
        <v>31-60 days</v>
      </c>
      <c r="L2467">
        <v>34</v>
      </c>
      <c r="M2467">
        <v>2</v>
      </c>
      <c r="N2467">
        <v>1</v>
      </c>
      <c r="O2467" t="s">
        <v>54</v>
      </c>
      <c r="P2467" t="s">
        <v>55</v>
      </c>
      <c r="Q2467">
        <v>45</v>
      </c>
      <c r="R2467">
        <v>31</v>
      </c>
      <c r="S2467" t="s">
        <v>36</v>
      </c>
    </row>
    <row r="2468" spans="1:19" x14ac:dyDescent="0.3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 t="str">
        <f t="shared" si="38"/>
        <v>31-60 days</v>
      </c>
      <c r="L2468">
        <v>40</v>
      </c>
      <c r="M2468">
        <v>1</v>
      </c>
      <c r="N2468">
        <v>0</v>
      </c>
      <c r="O2468" t="s">
        <v>25</v>
      </c>
      <c r="P2468" t="s">
        <v>35</v>
      </c>
      <c r="Q2468">
        <v>6</v>
      </c>
      <c r="R2468">
        <v>23</v>
      </c>
      <c r="S2468" t="s">
        <v>27</v>
      </c>
    </row>
    <row r="2469" spans="1:19" x14ac:dyDescent="0.3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 t="str">
        <f t="shared" si="38"/>
        <v>31-60 days</v>
      </c>
      <c r="L2469">
        <v>35</v>
      </c>
      <c r="M2469">
        <v>1</v>
      </c>
      <c r="N2469">
        <v>0</v>
      </c>
      <c r="O2469" t="s">
        <v>25</v>
      </c>
      <c r="P2469" t="s">
        <v>26</v>
      </c>
      <c r="Q2469">
        <v>13.5</v>
      </c>
      <c r="R2469">
        <v>13</v>
      </c>
      <c r="S2469" t="s">
        <v>36</v>
      </c>
    </row>
    <row r="2470" spans="1:19" x14ac:dyDescent="0.3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 t="str">
        <f t="shared" si="38"/>
        <v>31-60 days</v>
      </c>
      <c r="L2470">
        <v>55</v>
      </c>
      <c r="M2470">
        <v>7</v>
      </c>
      <c r="N2470">
        <v>2</v>
      </c>
      <c r="O2470" t="s">
        <v>54</v>
      </c>
      <c r="P2470" t="s">
        <v>55</v>
      </c>
      <c r="Q2470">
        <v>8</v>
      </c>
      <c r="R2470">
        <v>29</v>
      </c>
      <c r="S2470" t="s">
        <v>27</v>
      </c>
    </row>
    <row r="2471" spans="1:19" x14ac:dyDescent="0.3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 t="str">
        <f t="shared" si="38"/>
        <v>8-14 days</v>
      </c>
      <c r="L2471">
        <v>10</v>
      </c>
      <c r="M2471">
        <v>3</v>
      </c>
      <c r="N2471">
        <v>1</v>
      </c>
      <c r="O2471" t="s">
        <v>25</v>
      </c>
      <c r="P2471" t="s">
        <v>35</v>
      </c>
      <c r="Q2471">
        <v>1.1000000000000001</v>
      </c>
      <c r="R2471">
        <v>8</v>
      </c>
      <c r="S2471" t="s">
        <v>27</v>
      </c>
    </row>
    <row r="2472" spans="1:19" x14ac:dyDescent="0.3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 t="str">
        <f t="shared" si="38"/>
        <v>31-60 days</v>
      </c>
      <c r="L2472">
        <v>44</v>
      </c>
      <c r="M2472">
        <v>6</v>
      </c>
      <c r="N2472">
        <v>0</v>
      </c>
      <c r="O2472" t="s">
        <v>25</v>
      </c>
      <c r="P2472" t="s">
        <v>50</v>
      </c>
      <c r="Q2472">
        <v>8.6</v>
      </c>
      <c r="R2472">
        <v>35</v>
      </c>
      <c r="S2472" t="s">
        <v>36</v>
      </c>
    </row>
    <row r="2473" spans="1:19" x14ac:dyDescent="0.3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 t="str">
        <f t="shared" si="38"/>
        <v>31-60 days</v>
      </c>
      <c r="L2473">
        <v>59</v>
      </c>
      <c r="M2473">
        <v>1</v>
      </c>
      <c r="N2473">
        <v>1</v>
      </c>
      <c r="O2473" t="s">
        <v>25</v>
      </c>
      <c r="P2473" t="s">
        <v>35</v>
      </c>
      <c r="Q2473">
        <v>5.9</v>
      </c>
      <c r="R2473">
        <v>10</v>
      </c>
      <c r="S2473" t="s">
        <v>27</v>
      </c>
    </row>
    <row r="2474" spans="1:19" x14ac:dyDescent="0.3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 t="str">
        <f t="shared" si="38"/>
        <v>8-14 days</v>
      </c>
      <c r="L2474">
        <v>13</v>
      </c>
      <c r="M2474">
        <v>1</v>
      </c>
      <c r="N2474">
        <v>0</v>
      </c>
      <c r="O2474" t="s">
        <v>54</v>
      </c>
      <c r="P2474" t="s">
        <v>55</v>
      </c>
      <c r="Q2474">
        <v>10.1</v>
      </c>
      <c r="R2474">
        <v>14</v>
      </c>
      <c r="S2474" t="s">
        <v>27</v>
      </c>
    </row>
    <row r="2475" spans="1:19" x14ac:dyDescent="0.3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 t="str">
        <f t="shared" si="38"/>
        <v>15-30 days</v>
      </c>
      <c r="L2475">
        <v>15</v>
      </c>
      <c r="M2475">
        <v>2</v>
      </c>
      <c r="N2475">
        <v>0</v>
      </c>
      <c r="O2475" t="s">
        <v>25</v>
      </c>
      <c r="P2475" t="s">
        <v>35</v>
      </c>
      <c r="Q2475">
        <v>4.7</v>
      </c>
      <c r="R2475">
        <v>13</v>
      </c>
      <c r="S2475" t="s">
        <v>36</v>
      </c>
    </row>
    <row r="2476" spans="1:19" x14ac:dyDescent="0.3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 t="str">
        <f t="shared" si="38"/>
        <v>15-30 days</v>
      </c>
      <c r="L2476">
        <v>28</v>
      </c>
      <c r="M2476">
        <v>1</v>
      </c>
      <c r="N2476">
        <v>1</v>
      </c>
      <c r="O2476" t="s">
        <v>25</v>
      </c>
      <c r="P2476" t="s">
        <v>26</v>
      </c>
      <c r="Q2476">
        <v>0.8</v>
      </c>
      <c r="R2476">
        <v>31</v>
      </c>
      <c r="S2476" t="s">
        <v>27</v>
      </c>
    </row>
    <row r="2477" spans="1:19" x14ac:dyDescent="0.3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 t="str">
        <f t="shared" si="38"/>
        <v>31-60 days</v>
      </c>
      <c r="L2477">
        <v>44</v>
      </c>
      <c r="M2477">
        <v>0</v>
      </c>
      <c r="N2477">
        <v>0</v>
      </c>
      <c r="O2477" t="s">
        <v>25</v>
      </c>
      <c r="P2477" t="s">
        <v>50</v>
      </c>
      <c r="Q2477">
        <v>22.1</v>
      </c>
      <c r="R2477">
        <v>12</v>
      </c>
      <c r="S2477" t="s">
        <v>27</v>
      </c>
    </row>
    <row r="2478" spans="1:19" x14ac:dyDescent="0.3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 t="str">
        <f t="shared" si="38"/>
        <v>31-60 days</v>
      </c>
      <c r="L2478">
        <v>58</v>
      </c>
      <c r="M2478">
        <v>3</v>
      </c>
      <c r="N2478">
        <v>0</v>
      </c>
      <c r="O2478" t="s">
        <v>25</v>
      </c>
      <c r="P2478" t="s">
        <v>50</v>
      </c>
      <c r="Q2478">
        <v>5.2</v>
      </c>
      <c r="R2478">
        <v>30</v>
      </c>
      <c r="S2478" t="s">
        <v>27</v>
      </c>
    </row>
    <row r="2479" spans="1:19" x14ac:dyDescent="0.3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 t="str">
        <f t="shared" si="38"/>
        <v>31-60 days</v>
      </c>
      <c r="L2479">
        <v>48</v>
      </c>
      <c r="M2479">
        <v>2</v>
      </c>
      <c r="N2479">
        <v>1</v>
      </c>
      <c r="O2479" t="s">
        <v>25</v>
      </c>
      <c r="P2479" t="s">
        <v>35</v>
      </c>
      <c r="Q2479">
        <v>14.6</v>
      </c>
      <c r="R2479">
        <v>17</v>
      </c>
      <c r="S2479" t="s">
        <v>27</v>
      </c>
    </row>
    <row r="2480" spans="1:19" x14ac:dyDescent="0.3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 t="str">
        <f t="shared" si="38"/>
        <v>31-60 days</v>
      </c>
      <c r="L2480">
        <v>48</v>
      </c>
      <c r="M2480">
        <v>2</v>
      </c>
      <c r="N2480">
        <v>0</v>
      </c>
      <c r="O2480" t="s">
        <v>25</v>
      </c>
      <c r="P2480" t="s">
        <v>50</v>
      </c>
      <c r="Q2480">
        <v>7.6</v>
      </c>
      <c r="R2480">
        <v>23</v>
      </c>
      <c r="S2480" t="s">
        <v>27</v>
      </c>
    </row>
    <row r="2481" spans="1:19" x14ac:dyDescent="0.3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 t="str">
        <f t="shared" si="38"/>
        <v>15-30 days</v>
      </c>
      <c r="L2481">
        <v>26</v>
      </c>
      <c r="M2481">
        <v>3</v>
      </c>
      <c r="N2481">
        <v>1</v>
      </c>
      <c r="O2481" t="s">
        <v>25</v>
      </c>
      <c r="P2481" t="s">
        <v>26</v>
      </c>
      <c r="Q2481">
        <v>10</v>
      </c>
      <c r="R2481">
        <v>18</v>
      </c>
      <c r="S2481" t="s">
        <v>27</v>
      </c>
    </row>
    <row r="2482" spans="1:19" x14ac:dyDescent="0.3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 t="str">
        <f t="shared" si="38"/>
        <v>31-60 days</v>
      </c>
      <c r="L2482">
        <v>39</v>
      </c>
      <c r="M2482">
        <v>5</v>
      </c>
      <c r="N2482">
        <v>1</v>
      </c>
      <c r="O2482" t="s">
        <v>25</v>
      </c>
      <c r="P2482" t="s">
        <v>26</v>
      </c>
      <c r="Q2482">
        <v>9.4</v>
      </c>
      <c r="R2482">
        <v>50</v>
      </c>
      <c r="S2482" t="s">
        <v>27</v>
      </c>
    </row>
    <row r="2483" spans="1:19" x14ac:dyDescent="0.3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 t="str">
        <f t="shared" si="38"/>
        <v>8-14 days</v>
      </c>
      <c r="L2483">
        <v>12</v>
      </c>
      <c r="M2483">
        <v>1</v>
      </c>
      <c r="N2483">
        <v>0</v>
      </c>
      <c r="O2483" t="s">
        <v>25</v>
      </c>
      <c r="P2483" t="s">
        <v>26</v>
      </c>
      <c r="Q2483">
        <v>6.3</v>
      </c>
      <c r="R2483">
        <v>6</v>
      </c>
      <c r="S2483" t="s">
        <v>27</v>
      </c>
    </row>
    <row r="2484" spans="1:19" x14ac:dyDescent="0.3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 t="str">
        <f t="shared" si="38"/>
        <v>15-30 days</v>
      </c>
      <c r="L2484">
        <v>28</v>
      </c>
      <c r="M2484">
        <v>3</v>
      </c>
      <c r="N2484">
        <v>0</v>
      </c>
      <c r="O2484" t="s">
        <v>25</v>
      </c>
      <c r="P2484" t="s">
        <v>35</v>
      </c>
      <c r="Q2484">
        <v>8.6</v>
      </c>
      <c r="R2484">
        <v>29</v>
      </c>
      <c r="S2484" t="s">
        <v>27</v>
      </c>
    </row>
    <row r="2485" spans="1:19" x14ac:dyDescent="0.3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 t="str">
        <f t="shared" si="38"/>
        <v>8-14 days</v>
      </c>
      <c r="L2485">
        <v>11</v>
      </c>
      <c r="M2485">
        <v>5</v>
      </c>
      <c r="N2485">
        <v>1</v>
      </c>
      <c r="O2485" t="s">
        <v>25</v>
      </c>
      <c r="P2485" t="s">
        <v>26</v>
      </c>
      <c r="Q2485">
        <v>14</v>
      </c>
      <c r="R2485">
        <v>24</v>
      </c>
      <c r="S2485" t="s">
        <v>36</v>
      </c>
    </row>
    <row r="2486" spans="1:19" x14ac:dyDescent="0.3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 t="str">
        <f t="shared" si="38"/>
        <v>0-7 days</v>
      </c>
      <c r="L2486">
        <v>1</v>
      </c>
      <c r="M2486">
        <v>3</v>
      </c>
      <c r="N2486">
        <v>1</v>
      </c>
      <c r="O2486" t="s">
        <v>54</v>
      </c>
      <c r="P2486" t="s">
        <v>55</v>
      </c>
      <c r="Q2486">
        <v>8.9</v>
      </c>
      <c r="R2486">
        <v>15</v>
      </c>
      <c r="S2486" t="s">
        <v>27</v>
      </c>
    </row>
    <row r="2487" spans="1:19" x14ac:dyDescent="0.3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 t="str">
        <f t="shared" si="38"/>
        <v>31-60 days</v>
      </c>
      <c r="L2487">
        <v>52</v>
      </c>
      <c r="M2487">
        <v>7</v>
      </c>
      <c r="N2487">
        <v>2</v>
      </c>
      <c r="O2487" t="s">
        <v>25</v>
      </c>
      <c r="P2487" t="s">
        <v>35</v>
      </c>
      <c r="Q2487">
        <v>15.9</v>
      </c>
      <c r="R2487">
        <v>28</v>
      </c>
      <c r="S2487" t="s">
        <v>27</v>
      </c>
    </row>
    <row r="2488" spans="1:19" x14ac:dyDescent="0.3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 t="str">
        <f t="shared" si="38"/>
        <v>31-60 days</v>
      </c>
      <c r="L2488">
        <v>49</v>
      </c>
      <c r="M2488">
        <v>3</v>
      </c>
      <c r="N2488">
        <v>0</v>
      </c>
      <c r="O2488" t="s">
        <v>25</v>
      </c>
      <c r="P2488" t="s">
        <v>26</v>
      </c>
      <c r="Q2488">
        <v>5.9</v>
      </c>
      <c r="R2488">
        <v>13</v>
      </c>
      <c r="S2488" t="s">
        <v>36</v>
      </c>
    </row>
    <row r="2489" spans="1:19" x14ac:dyDescent="0.3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 t="str">
        <f t="shared" si="38"/>
        <v>31-60 days</v>
      </c>
      <c r="L2489">
        <v>31</v>
      </c>
      <c r="M2489">
        <v>0</v>
      </c>
      <c r="N2489">
        <v>0</v>
      </c>
      <c r="O2489" t="s">
        <v>25</v>
      </c>
      <c r="P2489" t="s">
        <v>35</v>
      </c>
      <c r="Q2489">
        <v>8</v>
      </c>
      <c r="R2489">
        <v>12</v>
      </c>
      <c r="S2489" t="s">
        <v>27</v>
      </c>
    </row>
    <row r="2490" spans="1:19" x14ac:dyDescent="0.3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 t="str">
        <f t="shared" si="38"/>
        <v>0-7 days</v>
      </c>
      <c r="L2490">
        <v>0</v>
      </c>
      <c r="M2490">
        <v>1</v>
      </c>
      <c r="N2490">
        <v>0</v>
      </c>
      <c r="O2490" t="s">
        <v>25</v>
      </c>
      <c r="P2490" t="s">
        <v>50</v>
      </c>
      <c r="R2490">
        <v>11</v>
      </c>
      <c r="S2490" t="s">
        <v>36</v>
      </c>
    </row>
    <row r="2491" spans="1:19" x14ac:dyDescent="0.3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 t="str">
        <f t="shared" si="38"/>
        <v>0-7 days</v>
      </c>
      <c r="L2491">
        <v>5</v>
      </c>
      <c r="M2491">
        <v>3</v>
      </c>
      <c r="N2491">
        <v>1</v>
      </c>
      <c r="O2491" t="s">
        <v>54</v>
      </c>
      <c r="P2491" t="s">
        <v>55</v>
      </c>
      <c r="Q2491">
        <v>10.6</v>
      </c>
      <c r="R2491">
        <v>25</v>
      </c>
      <c r="S2491" t="s">
        <v>36</v>
      </c>
    </row>
    <row r="2492" spans="1:19" x14ac:dyDescent="0.3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 t="str">
        <f t="shared" si="38"/>
        <v>0-7 days</v>
      </c>
      <c r="L2492">
        <v>6</v>
      </c>
      <c r="M2492">
        <v>1</v>
      </c>
      <c r="N2492">
        <v>0</v>
      </c>
      <c r="O2492" t="s">
        <v>54</v>
      </c>
      <c r="P2492" t="s">
        <v>55</v>
      </c>
      <c r="Q2492">
        <v>7.6</v>
      </c>
      <c r="R2492">
        <v>17</v>
      </c>
      <c r="S2492" t="s">
        <v>36</v>
      </c>
    </row>
    <row r="2493" spans="1:19" x14ac:dyDescent="0.3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 t="str">
        <f t="shared" si="38"/>
        <v>31-60 days</v>
      </c>
      <c r="L2493">
        <v>43</v>
      </c>
      <c r="M2493">
        <v>3</v>
      </c>
      <c r="N2493">
        <v>0</v>
      </c>
      <c r="O2493" t="s">
        <v>25</v>
      </c>
      <c r="P2493" t="s">
        <v>35</v>
      </c>
      <c r="Q2493">
        <v>9.3000000000000007</v>
      </c>
      <c r="R2493">
        <v>14</v>
      </c>
      <c r="S2493" t="s">
        <v>27</v>
      </c>
    </row>
    <row r="2494" spans="1:19" x14ac:dyDescent="0.3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 t="str">
        <f t="shared" si="38"/>
        <v>8-14 days</v>
      </c>
      <c r="L2494">
        <v>12</v>
      </c>
      <c r="M2494">
        <v>2</v>
      </c>
      <c r="N2494">
        <v>0</v>
      </c>
      <c r="O2494" t="s">
        <v>25</v>
      </c>
      <c r="P2494" t="s">
        <v>26</v>
      </c>
      <c r="Q2494">
        <v>21.3</v>
      </c>
      <c r="R2494">
        <v>28</v>
      </c>
      <c r="S2494" t="s">
        <v>27</v>
      </c>
    </row>
    <row r="2495" spans="1:19" x14ac:dyDescent="0.3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 t="str">
        <f t="shared" si="38"/>
        <v>15-30 days</v>
      </c>
      <c r="L2495">
        <v>15</v>
      </c>
      <c r="M2495">
        <v>3</v>
      </c>
      <c r="N2495">
        <v>1</v>
      </c>
      <c r="O2495" t="s">
        <v>25</v>
      </c>
      <c r="P2495" t="s">
        <v>35</v>
      </c>
      <c r="Q2495">
        <v>7.7</v>
      </c>
      <c r="R2495">
        <v>36</v>
      </c>
      <c r="S2495" t="s">
        <v>27</v>
      </c>
    </row>
    <row r="2496" spans="1:19" x14ac:dyDescent="0.3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 t="str">
        <f t="shared" si="38"/>
        <v>31-60 days</v>
      </c>
      <c r="L2496">
        <v>52</v>
      </c>
      <c r="M2496">
        <v>0</v>
      </c>
      <c r="N2496">
        <v>0</v>
      </c>
      <c r="O2496" t="s">
        <v>25</v>
      </c>
      <c r="P2496" t="s">
        <v>35</v>
      </c>
      <c r="Q2496">
        <v>19.7</v>
      </c>
      <c r="R2496">
        <v>8</v>
      </c>
      <c r="S2496" t="s">
        <v>27</v>
      </c>
    </row>
    <row r="2497" spans="1:19" x14ac:dyDescent="0.3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 t="str">
        <f t="shared" si="38"/>
        <v>31-60 days</v>
      </c>
      <c r="L2497">
        <v>53</v>
      </c>
      <c r="M2497">
        <v>1</v>
      </c>
      <c r="N2497">
        <v>0</v>
      </c>
      <c r="O2497" t="s">
        <v>25</v>
      </c>
      <c r="P2497" t="s">
        <v>35</v>
      </c>
      <c r="Q2497">
        <v>4.3</v>
      </c>
      <c r="R2497">
        <v>28</v>
      </c>
      <c r="S2497" t="s">
        <v>27</v>
      </c>
    </row>
    <row r="2498" spans="1:19" x14ac:dyDescent="0.3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 t="str">
        <f t="shared" si="38"/>
        <v>31-60 days</v>
      </c>
      <c r="L2498">
        <v>46</v>
      </c>
      <c r="M2498">
        <v>1</v>
      </c>
      <c r="N2498">
        <v>1</v>
      </c>
      <c r="O2498" t="s">
        <v>25</v>
      </c>
      <c r="P2498" t="s">
        <v>35</v>
      </c>
      <c r="Q2498">
        <v>4.7</v>
      </c>
      <c r="R2498">
        <v>30</v>
      </c>
      <c r="S2498" t="s">
        <v>27</v>
      </c>
    </row>
    <row r="2499" spans="1:19" x14ac:dyDescent="0.3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 t="str">
        <f t="shared" ref="K2499:K2562" si="39">IF(L2499&lt;=7,"0-7 days",IF(L2499&lt;=14,"8-14 days",IF(L2499&lt;=30,"15-30 days","31-60 days")))</f>
        <v>15-30 days</v>
      </c>
      <c r="L2499">
        <v>18</v>
      </c>
      <c r="M2499">
        <v>1</v>
      </c>
      <c r="N2499">
        <v>0</v>
      </c>
      <c r="O2499" t="s">
        <v>25</v>
      </c>
      <c r="P2499" t="s">
        <v>50</v>
      </c>
      <c r="R2499">
        <v>38</v>
      </c>
      <c r="S2499" t="s">
        <v>36</v>
      </c>
    </row>
    <row r="2500" spans="1:19" x14ac:dyDescent="0.3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 t="str">
        <f t="shared" si="39"/>
        <v>31-60 days</v>
      </c>
      <c r="L2500">
        <v>35</v>
      </c>
      <c r="M2500">
        <v>1</v>
      </c>
      <c r="N2500">
        <v>0</v>
      </c>
      <c r="O2500" t="s">
        <v>25</v>
      </c>
      <c r="P2500" t="s">
        <v>35</v>
      </c>
      <c r="Q2500">
        <v>3</v>
      </c>
      <c r="R2500">
        <v>21</v>
      </c>
      <c r="S2500" t="s">
        <v>71</v>
      </c>
    </row>
    <row r="2501" spans="1:19" x14ac:dyDescent="0.3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 t="str">
        <f t="shared" si="39"/>
        <v>8-14 days</v>
      </c>
      <c r="L2501">
        <v>12</v>
      </c>
      <c r="M2501">
        <v>5</v>
      </c>
      <c r="N2501">
        <v>0</v>
      </c>
      <c r="O2501" t="s">
        <v>25</v>
      </c>
      <c r="P2501" t="s">
        <v>35</v>
      </c>
      <c r="Q2501">
        <v>8.9</v>
      </c>
      <c r="R2501">
        <v>41</v>
      </c>
      <c r="S2501" t="s">
        <v>36</v>
      </c>
    </row>
    <row r="2502" spans="1:19" x14ac:dyDescent="0.3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 t="str">
        <f t="shared" si="39"/>
        <v>31-60 days</v>
      </c>
      <c r="L2502">
        <v>52</v>
      </c>
      <c r="M2502">
        <v>5</v>
      </c>
      <c r="N2502">
        <v>1</v>
      </c>
      <c r="O2502" t="s">
        <v>25</v>
      </c>
      <c r="P2502" t="s">
        <v>26</v>
      </c>
      <c r="Q2502">
        <v>11.8</v>
      </c>
      <c r="R2502">
        <v>30</v>
      </c>
      <c r="S2502" t="s">
        <v>27</v>
      </c>
    </row>
    <row r="2503" spans="1:19" x14ac:dyDescent="0.3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 t="str">
        <f t="shared" si="39"/>
        <v>0-7 days</v>
      </c>
      <c r="L2503">
        <v>5</v>
      </c>
      <c r="M2503">
        <v>2</v>
      </c>
      <c r="N2503">
        <v>0</v>
      </c>
      <c r="O2503" t="s">
        <v>25</v>
      </c>
      <c r="P2503" t="s">
        <v>50</v>
      </c>
      <c r="Q2503">
        <v>27.3</v>
      </c>
      <c r="R2503">
        <v>3</v>
      </c>
      <c r="S2503" t="s">
        <v>27</v>
      </c>
    </row>
    <row r="2504" spans="1:19" x14ac:dyDescent="0.3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 t="str">
        <f t="shared" si="39"/>
        <v>31-60 days</v>
      </c>
      <c r="L2504">
        <v>45</v>
      </c>
      <c r="M2504">
        <v>2</v>
      </c>
      <c r="N2504">
        <v>1</v>
      </c>
      <c r="O2504" t="s">
        <v>25</v>
      </c>
      <c r="P2504" t="s">
        <v>35</v>
      </c>
      <c r="Q2504">
        <v>7.4</v>
      </c>
      <c r="R2504">
        <v>27</v>
      </c>
      <c r="S2504" t="s">
        <v>36</v>
      </c>
    </row>
    <row r="2505" spans="1:19" x14ac:dyDescent="0.3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 t="str">
        <f t="shared" si="39"/>
        <v>31-60 days</v>
      </c>
      <c r="L2505">
        <v>31</v>
      </c>
      <c r="M2505">
        <v>5</v>
      </c>
      <c r="N2505">
        <v>0</v>
      </c>
      <c r="O2505" t="s">
        <v>25</v>
      </c>
      <c r="P2505" t="s">
        <v>35</v>
      </c>
      <c r="Q2505">
        <v>20.7</v>
      </c>
      <c r="R2505">
        <v>24</v>
      </c>
      <c r="S2505" t="s">
        <v>27</v>
      </c>
    </row>
    <row r="2506" spans="1:19" x14ac:dyDescent="0.3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 t="str">
        <f t="shared" si="39"/>
        <v>31-60 days</v>
      </c>
      <c r="L2506">
        <v>46</v>
      </c>
      <c r="M2506">
        <v>1</v>
      </c>
      <c r="N2506">
        <v>1</v>
      </c>
      <c r="O2506" t="s">
        <v>25</v>
      </c>
      <c r="P2506" t="s">
        <v>26</v>
      </c>
      <c r="Q2506">
        <v>3.5</v>
      </c>
      <c r="R2506">
        <v>35</v>
      </c>
      <c r="S2506" t="s">
        <v>71</v>
      </c>
    </row>
    <row r="2507" spans="1:19" x14ac:dyDescent="0.3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 t="str">
        <f t="shared" si="39"/>
        <v>15-30 days</v>
      </c>
      <c r="L2507">
        <v>27</v>
      </c>
      <c r="M2507">
        <v>1</v>
      </c>
      <c r="N2507">
        <v>0</v>
      </c>
      <c r="O2507" t="s">
        <v>25</v>
      </c>
      <c r="P2507" t="s">
        <v>35</v>
      </c>
      <c r="R2507">
        <v>37</v>
      </c>
      <c r="S2507" t="s">
        <v>36</v>
      </c>
    </row>
    <row r="2508" spans="1:19" x14ac:dyDescent="0.3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 t="str">
        <f t="shared" si="39"/>
        <v>8-14 days</v>
      </c>
      <c r="L2508">
        <v>9</v>
      </c>
      <c r="M2508">
        <v>4</v>
      </c>
      <c r="N2508">
        <v>1</v>
      </c>
      <c r="O2508" t="s">
        <v>54</v>
      </c>
      <c r="P2508" t="s">
        <v>55</v>
      </c>
      <c r="Q2508">
        <v>7.2</v>
      </c>
      <c r="R2508">
        <v>13</v>
      </c>
      <c r="S2508" t="s">
        <v>27</v>
      </c>
    </row>
    <row r="2509" spans="1:19" x14ac:dyDescent="0.3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 t="str">
        <f t="shared" si="39"/>
        <v>31-60 days</v>
      </c>
      <c r="L2509">
        <v>45</v>
      </c>
      <c r="M2509">
        <v>3</v>
      </c>
      <c r="N2509">
        <v>0</v>
      </c>
      <c r="O2509" t="s">
        <v>25</v>
      </c>
      <c r="P2509" t="s">
        <v>35</v>
      </c>
      <c r="Q2509">
        <v>3.6</v>
      </c>
      <c r="R2509">
        <v>34</v>
      </c>
      <c r="S2509" t="s">
        <v>36</v>
      </c>
    </row>
    <row r="2510" spans="1:19" x14ac:dyDescent="0.3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 t="str">
        <f t="shared" si="39"/>
        <v>31-60 days</v>
      </c>
      <c r="L2510">
        <v>38</v>
      </c>
      <c r="M2510">
        <v>3</v>
      </c>
      <c r="N2510">
        <v>0</v>
      </c>
      <c r="O2510" t="s">
        <v>25</v>
      </c>
      <c r="P2510" t="s">
        <v>50</v>
      </c>
      <c r="Q2510">
        <v>9.6</v>
      </c>
      <c r="R2510">
        <v>23</v>
      </c>
      <c r="S2510" t="s">
        <v>71</v>
      </c>
    </row>
    <row r="2511" spans="1:19" x14ac:dyDescent="0.3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 t="str">
        <f t="shared" si="39"/>
        <v>15-30 days</v>
      </c>
      <c r="L2511">
        <v>28</v>
      </c>
      <c r="M2511">
        <v>3</v>
      </c>
      <c r="N2511">
        <v>1</v>
      </c>
      <c r="O2511" t="s">
        <v>25</v>
      </c>
      <c r="P2511" t="s">
        <v>35</v>
      </c>
      <c r="Q2511">
        <v>2.8</v>
      </c>
      <c r="R2511">
        <v>16</v>
      </c>
      <c r="S2511" t="s">
        <v>71</v>
      </c>
    </row>
    <row r="2512" spans="1:19" x14ac:dyDescent="0.3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 t="str">
        <f t="shared" si="39"/>
        <v>15-30 days</v>
      </c>
      <c r="L2512">
        <v>22</v>
      </c>
      <c r="M2512">
        <v>10</v>
      </c>
      <c r="N2512">
        <v>1</v>
      </c>
      <c r="O2512" t="s">
        <v>25</v>
      </c>
      <c r="P2512" t="s">
        <v>26</v>
      </c>
      <c r="Q2512">
        <v>8.4</v>
      </c>
      <c r="R2512">
        <v>40</v>
      </c>
      <c r="S2512" t="s">
        <v>36</v>
      </c>
    </row>
    <row r="2513" spans="1:19" x14ac:dyDescent="0.3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 t="str">
        <f t="shared" si="39"/>
        <v>15-30 days</v>
      </c>
      <c r="L2513">
        <v>20</v>
      </c>
      <c r="M2513">
        <v>3</v>
      </c>
      <c r="N2513">
        <v>1</v>
      </c>
      <c r="O2513" t="s">
        <v>25</v>
      </c>
      <c r="P2513" t="s">
        <v>35</v>
      </c>
      <c r="Q2513">
        <v>8</v>
      </c>
      <c r="R2513">
        <v>19</v>
      </c>
      <c r="S2513" t="s">
        <v>36</v>
      </c>
    </row>
    <row r="2514" spans="1:19" x14ac:dyDescent="0.3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 t="str">
        <f t="shared" si="39"/>
        <v>15-30 days</v>
      </c>
      <c r="L2514">
        <v>29</v>
      </c>
      <c r="M2514">
        <v>7</v>
      </c>
      <c r="N2514">
        <v>2</v>
      </c>
      <c r="O2514" t="s">
        <v>25</v>
      </c>
      <c r="P2514" t="s">
        <v>50</v>
      </c>
      <c r="Q2514">
        <v>10.6</v>
      </c>
      <c r="R2514">
        <v>24</v>
      </c>
      <c r="S2514" t="s">
        <v>36</v>
      </c>
    </row>
    <row r="2515" spans="1:19" x14ac:dyDescent="0.3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 t="str">
        <f t="shared" si="39"/>
        <v>15-30 days</v>
      </c>
      <c r="L2515">
        <v>15</v>
      </c>
      <c r="M2515">
        <v>3</v>
      </c>
      <c r="N2515">
        <v>0</v>
      </c>
      <c r="O2515" t="s">
        <v>25</v>
      </c>
      <c r="P2515" t="s">
        <v>35</v>
      </c>
      <c r="Q2515">
        <v>19.600000000000001</v>
      </c>
      <c r="R2515">
        <v>23</v>
      </c>
      <c r="S2515" t="s">
        <v>71</v>
      </c>
    </row>
    <row r="2516" spans="1:19" x14ac:dyDescent="0.3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 t="str">
        <f t="shared" si="39"/>
        <v>15-30 days</v>
      </c>
      <c r="L2516">
        <v>17</v>
      </c>
      <c r="M2516">
        <v>1</v>
      </c>
      <c r="N2516">
        <v>0</v>
      </c>
      <c r="O2516" t="s">
        <v>25</v>
      </c>
      <c r="P2516" t="s">
        <v>26</v>
      </c>
      <c r="Q2516">
        <v>5</v>
      </c>
      <c r="R2516">
        <v>30</v>
      </c>
      <c r="S2516" t="s">
        <v>36</v>
      </c>
    </row>
    <row r="2517" spans="1:19" x14ac:dyDescent="0.3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 t="str">
        <f t="shared" si="39"/>
        <v>15-30 days</v>
      </c>
      <c r="L2517">
        <v>16</v>
      </c>
      <c r="M2517">
        <v>1</v>
      </c>
      <c r="N2517">
        <v>1</v>
      </c>
      <c r="O2517" t="s">
        <v>25</v>
      </c>
      <c r="P2517" t="s">
        <v>35</v>
      </c>
      <c r="Q2517">
        <v>24.4</v>
      </c>
      <c r="R2517">
        <v>39</v>
      </c>
      <c r="S2517" t="s">
        <v>36</v>
      </c>
    </row>
    <row r="2518" spans="1:19" x14ac:dyDescent="0.3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 t="str">
        <f t="shared" si="39"/>
        <v>0-7 days</v>
      </c>
      <c r="L2518">
        <v>0</v>
      </c>
      <c r="M2518">
        <v>2</v>
      </c>
      <c r="N2518">
        <v>0</v>
      </c>
      <c r="O2518" t="s">
        <v>25</v>
      </c>
      <c r="P2518" t="s">
        <v>35</v>
      </c>
      <c r="Q2518">
        <v>16</v>
      </c>
      <c r="R2518">
        <v>42</v>
      </c>
      <c r="S2518" t="s">
        <v>36</v>
      </c>
    </row>
    <row r="2519" spans="1:19" x14ac:dyDescent="0.3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 t="str">
        <f t="shared" si="39"/>
        <v>31-60 days</v>
      </c>
      <c r="L2519">
        <v>56</v>
      </c>
      <c r="M2519">
        <v>2</v>
      </c>
      <c r="N2519">
        <v>1</v>
      </c>
      <c r="O2519" t="s">
        <v>54</v>
      </c>
      <c r="P2519" t="s">
        <v>55</v>
      </c>
      <c r="Q2519">
        <v>10.6</v>
      </c>
      <c r="R2519">
        <v>34</v>
      </c>
      <c r="S2519" t="s">
        <v>27</v>
      </c>
    </row>
    <row r="2520" spans="1:19" x14ac:dyDescent="0.3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 t="str">
        <f t="shared" si="39"/>
        <v>8-14 days</v>
      </c>
      <c r="L2520">
        <v>14</v>
      </c>
      <c r="M2520">
        <v>6</v>
      </c>
      <c r="N2520">
        <v>2</v>
      </c>
      <c r="O2520" t="s">
        <v>25</v>
      </c>
      <c r="P2520" t="s">
        <v>35</v>
      </c>
      <c r="Q2520">
        <v>2.8</v>
      </c>
      <c r="R2520">
        <v>5</v>
      </c>
      <c r="S2520" t="s">
        <v>36</v>
      </c>
    </row>
    <row r="2521" spans="1:19" x14ac:dyDescent="0.3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 t="str">
        <f t="shared" si="39"/>
        <v>8-14 days</v>
      </c>
      <c r="L2521">
        <v>10</v>
      </c>
      <c r="M2521">
        <v>4</v>
      </c>
      <c r="N2521">
        <v>1</v>
      </c>
      <c r="O2521" t="s">
        <v>54</v>
      </c>
      <c r="P2521" t="s">
        <v>55</v>
      </c>
      <c r="Q2521">
        <v>9.5</v>
      </c>
      <c r="R2521">
        <v>40</v>
      </c>
      <c r="S2521" t="s">
        <v>36</v>
      </c>
    </row>
    <row r="2522" spans="1:19" x14ac:dyDescent="0.3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 t="str">
        <f t="shared" si="39"/>
        <v>8-14 days</v>
      </c>
      <c r="L2522">
        <v>9</v>
      </c>
      <c r="M2522">
        <v>4</v>
      </c>
      <c r="N2522">
        <v>1</v>
      </c>
      <c r="O2522" t="s">
        <v>25</v>
      </c>
      <c r="P2522" t="s">
        <v>35</v>
      </c>
      <c r="Q2522">
        <v>3.3</v>
      </c>
      <c r="R2522">
        <v>31</v>
      </c>
      <c r="S2522" t="s">
        <v>27</v>
      </c>
    </row>
    <row r="2523" spans="1:19" x14ac:dyDescent="0.3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 t="str">
        <f t="shared" si="39"/>
        <v>31-60 days</v>
      </c>
      <c r="L2523">
        <v>60</v>
      </c>
      <c r="M2523">
        <v>2</v>
      </c>
      <c r="N2523">
        <v>0</v>
      </c>
      <c r="O2523" t="s">
        <v>25</v>
      </c>
      <c r="P2523" t="s">
        <v>50</v>
      </c>
      <c r="Q2523">
        <v>12.6</v>
      </c>
      <c r="R2523">
        <v>36</v>
      </c>
      <c r="S2523" t="s">
        <v>36</v>
      </c>
    </row>
    <row r="2524" spans="1:19" x14ac:dyDescent="0.3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 t="str">
        <f t="shared" si="39"/>
        <v>15-30 days</v>
      </c>
      <c r="L2524">
        <v>29</v>
      </c>
      <c r="M2524">
        <v>3</v>
      </c>
      <c r="N2524">
        <v>1</v>
      </c>
      <c r="O2524" t="s">
        <v>25</v>
      </c>
      <c r="P2524" t="s">
        <v>35</v>
      </c>
      <c r="Q2524">
        <v>6</v>
      </c>
      <c r="R2524">
        <v>21</v>
      </c>
      <c r="S2524" t="s">
        <v>36</v>
      </c>
    </row>
    <row r="2525" spans="1:19" x14ac:dyDescent="0.3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 t="str">
        <f t="shared" si="39"/>
        <v>15-30 days</v>
      </c>
      <c r="L2525">
        <v>19</v>
      </c>
      <c r="M2525">
        <v>2</v>
      </c>
      <c r="N2525">
        <v>1</v>
      </c>
      <c r="O2525" t="s">
        <v>54</v>
      </c>
      <c r="P2525" t="s">
        <v>55</v>
      </c>
      <c r="Q2525">
        <v>18.2</v>
      </c>
      <c r="R2525">
        <v>24</v>
      </c>
      <c r="S2525" t="s">
        <v>36</v>
      </c>
    </row>
    <row r="2526" spans="1:19" x14ac:dyDescent="0.3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 t="str">
        <f t="shared" si="39"/>
        <v>15-30 days</v>
      </c>
      <c r="L2526">
        <v>24</v>
      </c>
      <c r="M2526">
        <v>3</v>
      </c>
      <c r="N2526">
        <v>1</v>
      </c>
      <c r="O2526" t="s">
        <v>25</v>
      </c>
      <c r="P2526" t="s">
        <v>35</v>
      </c>
      <c r="Q2526">
        <v>18.7</v>
      </c>
      <c r="R2526">
        <v>34</v>
      </c>
      <c r="S2526" t="s">
        <v>36</v>
      </c>
    </row>
    <row r="2527" spans="1:19" x14ac:dyDescent="0.3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 t="str">
        <f t="shared" si="39"/>
        <v>0-7 days</v>
      </c>
      <c r="L2527">
        <v>5</v>
      </c>
      <c r="M2527">
        <v>3</v>
      </c>
      <c r="N2527">
        <v>1</v>
      </c>
      <c r="O2527" t="s">
        <v>25</v>
      </c>
      <c r="P2527" t="s">
        <v>35</v>
      </c>
      <c r="Q2527">
        <v>13.2</v>
      </c>
      <c r="R2527">
        <v>46</v>
      </c>
      <c r="S2527" t="s">
        <v>36</v>
      </c>
    </row>
    <row r="2528" spans="1:19" x14ac:dyDescent="0.3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 t="str">
        <f t="shared" si="39"/>
        <v>15-30 days</v>
      </c>
      <c r="L2528">
        <v>19</v>
      </c>
      <c r="M2528">
        <v>4</v>
      </c>
      <c r="N2528">
        <v>0</v>
      </c>
      <c r="O2528" t="s">
        <v>25</v>
      </c>
      <c r="P2528" t="s">
        <v>26</v>
      </c>
      <c r="Q2528">
        <v>3.8</v>
      </c>
      <c r="R2528">
        <v>26</v>
      </c>
      <c r="S2528" t="s">
        <v>27</v>
      </c>
    </row>
    <row r="2529" spans="1:19" x14ac:dyDescent="0.3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 t="str">
        <f t="shared" si="39"/>
        <v>15-30 days</v>
      </c>
      <c r="L2529">
        <v>15</v>
      </c>
      <c r="M2529">
        <v>2</v>
      </c>
      <c r="N2529">
        <v>0</v>
      </c>
      <c r="O2529" t="s">
        <v>25</v>
      </c>
      <c r="P2529" t="s">
        <v>35</v>
      </c>
      <c r="Q2529">
        <v>6.7</v>
      </c>
      <c r="R2529">
        <v>10</v>
      </c>
      <c r="S2529" t="s">
        <v>36</v>
      </c>
    </row>
    <row r="2530" spans="1:19" x14ac:dyDescent="0.3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 t="str">
        <f t="shared" si="39"/>
        <v>31-60 days</v>
      </c>
      <c r="L2530">
        <v>48</v>
      </c>
      <c r="M2530">
        <v>3</v>
      </c>
      <c r="N2530">
        <v>0</v>
      </c>
      <c r="O2530" t="s">
        <v>25</v>
      </c>
      <c r="P2530" t="s">
        <v>26</v>
      </c>
      <c r="Q2530">
        <v>18.7</v>
      </c>
      <c r="R2530">
        <v>31</v>
      </c>
      <c r="S2530" t="s">
        <v>36</v>
      </c>
    </row>
    <row r="2531" spans="1:19" x14ac:dyDescent="0.3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 t="str">
        <f t="shared" si="39"/>
        <v>0-7 days</v>
      </c>
      <c r="L2531">
        <v>3</v>
      </c>
      <c r="M2531">
        <v>3</v>
      </c>
      <c r="N2531">
        <v>1</v>
      </c>
      <c r="O2531" t="s">
        <v>25</v>
      </c>
      <c r="P2531" t="s">
        <v>35</v>
      </c>
      <c r="Q2531">
        <v>34.200000000000003</v>
      </c>
      <c r="R2531">
        <v>22</v>
      </c>
      <c r="S2531" t="s">
        <v>27</v>
      </c>
    </row>
    <row r="2532" spans="1:19" x14ac:dyDescent="0.3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 t="str">
        <f t="shared" si="39"/>
        <v>15-30 days</v>
      </c>
      <c r="L2532">
        <v>25</v>
      </c>
      <c r="M2532">
        <v>2</v>
      </c>
      <c r="N2532">
        <v>0</v>
      </c>
      <c r="O2532" t="s">
        <v>54</v>
      </c>
      <c r="P2532" t="s">
        <v>55</v>
      </c>
      <c r="Q2532">
        <v>5.7</v>
      </c>
      <c r="R2532">
        <v>12</v>
      </c>
      <c r="S2532" t="s">
        <v>71</v>
      </c>
    </row>
    <row r="2533" spans="1:19" x14ac:dyDescent="0.3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 t="str">
        <f t="shared" si="39"/>
        <v>31-60 days</v>
      </c>
      <c r="L2533">
        <v>48</v>
      </c>
      <c r="M2533">
        <v>0</v>
      </c>
      <c r="N2533">
        <v>0</v>
      </c>
      <c r="O2533" t="s">
        <v>25</v>
      </c>
      <c r="P2533" t="s">
        <v>26</v>
      </c>
      <c r="Q2533">
        <v>9.6</v>
      </c>
      <c r="R2533">
        <v>23</v>
      </c>
      <c r="S2533" t="s">
        <v>27</v>
      </c>
    </row>
    <row r="2534" spans="1:19" x14ac:dyDescent="0.3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 t="str">
        <f t="shared" si="39"/>
        <v>31-60 days</v>
      </c>
      <c r="L2534">
        <v>50</v>
      </c>
      <c r="M2534">
        <v>6</v>
      </c>
      <c r="N2534">
        <v>1</v>
      </c>
      <c r="O2534" t="s">
        <v>25</v>
      </c>
      <c r="P2534" t="s">
        <v>50</v>
      </c>
      <c r="R2534">
        <v>29</v>
      </c>
      <c r="S2534" t="s">
        <v>27</v>
      </c>
    </row>
    <row r="2535" spans="1:19" x14ac:dyDescent="0.3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 t="str">
        <f t="shared" si="39"/>
        <v>31-60 days</v>
      </c>
      <c r="L2535">
        <v>31</v>
      </c>
      <c r="M2535">
        <v>4</v>
      </c>
      <c r="N2535">
        <v>0</v>
      </c>
      <c r="O2535" t="s">
        <v>25</v>
      </c>
      <c r="P2535" t="s">
        <v>50</v>
      </c>
      <c r="Q2535">
        <v>4</v>
      </c>
      <c r="R2535">
        <v>36</v>
      </c>
      <c r="S2535" t="s">
        <v>36</v>
      </c>
    </row>
    <row r="2536" spans="1:19" x14ac:dyDescent="0.3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 t="str">
        <f t="shared" si="39"/>
        <v>8-14 days</v>
      </c>
      <c r="L2536">
        <v>13</v>
      </c>
      <c r="M2536">
        <v>3</v>
      </c>
      <c r="N2536">
        <v>0</v>
      </c>
      <c r="O2536" t="s">
        <v>25</v>
      </c>
      <c r="P2536" t="s">
        <v>35</v>
      </c>
      <c r="Q2536">
        <v>4.5999999999999996</v>
      </c>
      <c r="S2536" t="s">
        <v>27</v>
      </c>
    </row>
    <row r="2537" spans="1:19" x14ac:dyDescent="0.3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 t="str">
        <f t="shared" si="39"/>
        <v>15-30 days</v>
      </c>
      <c r="L2537">
        <v>20</v>
      </c>
      <c r="M2537">
        <v>3</v>
      </c>
      <c r="N2537">
        <v>0</v>
      </c>
      <c r="O2537" t="s">
        <v>25</v>
      </c>
      <c r="P2537" t="s">
        <v>26</v>
      </c>
      <c r="Q2537">
        <v>8.1999999999999993</v>
      </c>
      <c r="R2537">
        <v>19</v>
      </c>
      <c r="S2537" t="s">
        <v>27</v>
      </c>
    </row>
    <row r="2538" spans="1:19" x14ac:dyDescent="0.3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 t="str">
        <f t="shared" si="39"/>
        <v>8-14 days</v>
      </c>
      <c r="L2538">
        <v>13</v>
      </c>
      <c r="M2538">
        <v>2</v>
      </c>
      <c r="N2538">
        <v>0</v>
      </c>
      <c r="O2538" t="s">
        <v>25</v>
      </c>
      <c r="P2538" t="s">
        <v>26</v>
      </c>
      <c r="Q2538">
        <v>2.1</v>
      </c>
      <c r="R2538">
        <v>23</v>
      </c>
      <c r="S2538" t="s">
        <v>27</v>
      </c>
    </row>
    <row r="2539" spans="1:19" x14ac:dyDescent="0.3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 t="str">
        <f t="shared" si="39"/>
        <v>31-60 days</v>
      </c>
      <c r="L2539">
        <v>40</v>
      </c>
      <c r="M2539">
        <v>2</v>
      </c>
      <c r="N2539">
        <v>0</v>
      </c>
      <c r="O2539" t="s">
        <v>54</v>
      </c>
      <c r="P2539" t="s">
        <v>55</v>
      </c>
      <c r="Q2539">
        <v>16.5</v>
      </c>
      <c r="R2539">
        <v>43</v>
      </c>
      <c r="S2539" t="s">
        <v>27</v>
      </c>
    </row>
    <row r="2540" spans="1:19" x14ac:dyDescent="0.3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 t="str">
        <f t="shared" si="39"/>
        <v>15-30 days</v>
      </c>
      <c r="L2540">
        <v>17</v>
      </c>
      <c r="M2540">
        <v>4</v>
      </c>
      <c r="N2540">
        <v>0</v>
      </c>
      <c r="O2540" t="s">
        <v>25</v>
      </c>
      <c r="P2540" t="s">
        <v>35</v>
      </c>
      <c r="Q2540">
        <v>7</v>
      </c>
      <c r="R2540">
        <v>39</v>
      </c>
      <c r="S2540" t="s">
        <v>27</v>
      </c>
    </row>
    <row r="2541" spans="1:19" x14ac:dyDescent="0.3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 t="str">
        <f t="shared" si="39"/>
        <v>31-60 days</v>
      </c>
      <c r="L2541">
        <v>38</v>
      </c>
      <c r="M2541">
        <v>2</v>
      </c>
      <c r="N2541">
        <v>0</v>
      </c>
      <c r="O2541" t="s">
        <v>54</v>
      </c>
      <c r="P2541" t="s">
        <v>55</v>
      </c>
      <c r="Q2541">
        <v>10</v>
      </c>
      <c r="R2541">
        <v>30</v>
      </c>
      <c r="S2541" t="s">
        <v>36</v>
      </c>
    </row>
    <row r="2542" spans="1:19" x14ac:dyDescent="0.3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 t="str">
        <f t="shared" si="39"/>
        <v>31-60 days</v>
      </c>
      <c r="L2542">
        <v>39</v>
      </c>
      <c r="M2542">
        <v>7</v>
      </c>
      <c r="N2542">
        <v>1</v>
      </c>
      <c r="O2542" t="s">
        <v>54</v>
      </c>
      <c r="P2542" t="s">
        <v>55</v>
      </c>
      <c r="Q2542">
        <v>9.8000000000000007</v>
      </c>
      <c r="R2542">
        <v>30</v>
      </c>
      <c r="S2542" t="s">
        <v>27</v>
      </c>
    </row>
    <row r="2543" spans="1:19" x14ac:dyDescent="0.3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 t="str">
        <f t="shared" si="39"/>
        <v>31-60 days</v>
      </c>
      <c r="L2543">
        <v>57</v>
      </c>
      <c r="M2543">
        <v>2</v>
      </c>
      <c r="N2543">
        <v>1</v>
      </c>
      <c r="O2543" t="s">
        <v>25</v>
      </c>
      <c r="P2543" t="s">
        <v>35</v>
      </c>
      <c r="Q2543">
        <v>7.2</v>
      </c>
      <c r="R2543">
        <v>21</v>
      </c>
      <c r="S2543" t="s">
        <v>27</v>
      </c>
    </row>
    <row r="2544" spans="1:19" x14ac:dyDescent="0.3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 t="str">
        <f t="shared" si="39"/>
        <v>15-30 days</v>
      </c>
      <c r="L2544">
        <v>22</v>
      </c>
      <c r="M2544">
        <v>3</v>
      </c>
      <c r="N2544">
        <v>0</v>
      </c>
      <c r="O2544" t="s">
        <v>25</v>
      </c>
      <c r="P2544" t="s">
        <v>35</v>
      </c>
      <c r="Q2544">
        <v>5.6</v>
      </c>
      <c r="R2544">
        <v>32</v>
      </c>
      <c r="S2544" t="s">
        <v>36</v>
      </c>
    </row>
    <row r="2545" spans="1:19" x14ac:dyDescent="0.3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 t="str">
        <f t="shared" si="39"/>
        <v>31-60 days</v>
      </c>
      <c r="L2545">
        <v>58</v>
      </c>
      <c r="M2545">
        <v>1</v>
      </c>
      <c r="N2545">
        <v>0</v>
      </c>
      <c r="O2545" t="s">
        <v>54</v>
      </c>
      <c r="P2545" t="s">
        <v>55</v>
      </c>
      <c r="Q2545">
        <v>5.0999999999999996</v>
      </c>
      <c r="R2545">
        <v>13</v>
      </c>
      <c r="S2545" t="s">
        <v>71</v>
      </c>
    </row>
    <row r="2546" spans="1:19" x14ac:dyDescent="0.3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 t="str">
        <f t="shared" si="39"/>
        <v>15-30 days</v>
      </c>
      <c r="L2546">
        <v>24</v>
      </c>
      <c r="M2546">
        <v>3</v>
      </c>
      <c r="N2546">
        <v>1</v>
      </c>
      <c r="O2546" t="s">
        <v>54</v>
      </c>
      <c r="P2546" t="s">
        <v>55</v>
      </c>
      <c r="Q2546">
        <v>15.9</v>
      </c>
      <c r="R2546">
        <v>29</v>
      </c>
      <c r="S2546" t="s">
        <v>36</v>
      </c>
    </row>
    <row r="2547" spans="1:19" x14ac:dyDescent="0.3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 t="str">
        <f t="shared" si="39"/>
        <v>31-60 days</v>
      </c>
      <c r="L2547">
        <v>41</v>
      </c>
      <c r="M2547">
        <v>3</v>
      </c>
      <c r="N2547">
        <v>0</v>
      </c>
      <c r="O2547" t="s">
        <v>25</v>
      </c>
      <c r="P2547" t="s">
        <v>35</v>
      </c>
      <c r="Q2547">
        <v>2.9</v>
      </c>
      <c r="R2547">
        <v>2</v>
      </c>
      <c r="S2547" t="s">
        <v>27</v>
      </c>
    </row>
    <row r="2548" spans="1:19" x14ac:dyDescent="0.3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 t="str">
        <f t="shared" si="39"/>
        <v>31-60 days</v>
      </c>
      <c r="L2548">
        <v>40</v>
      </c>
      <c r="M2548">
        <v>3</v>
      </c>
      <c r="N2548">
        <v>0</v>
      </c>
      <c r="O2548" t="s">
        <v>54</v>
      </c>
      <c r="P2548" t="s">
        <v>55</v>
      </c>
      <c r="Q2548">
        <v>13.2</v>
      </c>
      <c r="R2548">
        <v>6</v>
      </c>
      <c r="S2548" t="s">
        <v>36</v>
      </c>
    </row>
    <row r="2549" spans="1:19" x14ac:dyDescent="0.3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 t="str">
        <f t="shared" si="39"/>
        <v>31-60 days</v>
      </c>
      <c r="L2549">
        <v>49</v>
      </c>
      <c r="M2549">
        <v>2</v>
      </c>
      <c r="N2549">
        <v>1</v>
      </c>
      <c r="O2549" t="s">
        <v>25</v>
      </c>
      <c r="P2549" t="s">
        <v>35</v>
      </c>
      <c r="Q2549">
        <v>13.7</v>
      </c>
      <c r="R2549">
        <v>3</v>
      </c>
      <c r="S2549" t="s">
        <v>27</v>
      </c>
    </row>
    <row r="2550" spans="1:19" x14ac:dyDescent="0.3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 t="str">
        <f t="shared" si="39"/>
        <v>15-30 days</v>
      </c>
      <c r="L2550">
        <v>28</v>
      </c>
      <c r="M2550">
        <v>5</v>
      </c>
      <c r="N2550">
        <v>0</v>
      </c>
      <c r="O2550" t="s">
        <v>25</v>
      </c>
      <c r="P2550" t="s">
        <v>35</v>
      </c>
      <c r="R2550">
        <v>45</v>
      </c>
      <c r="S2550" t="s">
        <v>36</v>
      </c>
    </row>
    <row r="2551" spans="1:19" x14ac:dyDescent="0.3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 t="str">
        <f t="shared" si="39"/>
        <v>31-60 days</v>
      </c>
      <c r="L2551">
        <v>48</v>
      </c>
      <c r="M2551">
        <v>6</v>
      </c>
      <c r="N2551">
        <v>3</v>
      </c>
      <c r="O2551" t="s">
        <v>54</v>
      </c>
      <c r="P2551" t="s">
        <v>55</v>
      </c>
      <c r="Q2551">
        <v>6.2</v>
      </c>
      <c r="R2551">
        <v>22</v>
      </c>
      <c r="S2551" t="s">
        <v>27</v>
      </c>
    </row>
    <row r="2552" spans="1:19" x14ac:dyDescent="0.3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 t="str">
        <f t="shared" si="39"/>
        <v>15-30 days</v>
      </c>
      <c r="L2552">
        <v>21</v>
      </c>
      <c r="M2552">
        <v>3</v>
      </c>
      <c r="N2552">
        <v>0</v>
      </c>
      <c r="O2552" t="s">
        <v>25</v>
      </c>
      <c r="P2552" t="s">
        <v>26</v>
      </c>
      <c r="Q2552">
        <v>10.4</v>
      </c>
      <c r="R2552">
        <v>9</v>
      </c>
      <c r="S2552" t="s">
        <v>36</v>
      </c>
    </row>
    <row r="2553" spans="1:19" x14ac:dyDescent="0.3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 t="str">
        <f t="shared" si="39"/>
        <v>15-30 days</v>
      </c>
      <c r="L2553">
        <v>29</v>
      </c>
      <c r="M2553">
        <v>2</v>
      </c>
      <c r="N2553">
        <v>1</v>
      </c>
      <c r="O2553" t="s">
        <v>54</v>
      </c>
      <c r="P2553" t="s">
        <v>55</v>
      </c>
      <c r="Q2553">
        <v>9.9</v>
      </c>
      <c r="R2553">
        <v>51</v>
      </c>
      <c r="S2553" t="s">
        <v>27</v>
      </c>
    </row>
    <row r="2554" spans="1:19" x14ac:dyDescent="0.3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 t="str">
        <f t="shared" si="39"/>
        <v>15-30 days</v>
      </c>
      <c r="L2554">
        <v>30</v>
      </c>
      <c r="M2554">
        <v>2</v>
      </c>
      <c r="N2554">
        <v>1</v>
      </c>
      <c r="O2554" t="s">
        <v>25</v>
      </c>
      <c r="P2554" t="s">
        <v>35</v>
      </c>
      <c r="Q2554">
        <v>15.8</v>
      </c>
      <c r="R2554">
        <v>15</v>
      </c>
      <c r="S2554" t="s">
        <v>36</v>
      </c>
    </row>
    <row r="2555" spans="1:19" x14ac:dyDescent="0.3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 t="str">
        <f t="shared" si="39"/>
        <v>31-60 days</v>
      </c>
      <c r="L2555">
        <v>42</v>
      </c>
      <c r="M2555">
        <v>3</v>
      </c>
      <c r="N2555">
        <v>1</v>
      </c>
      <c r="O2555" t="s">
        <v>25</v>
      </c>
      <c r="P2555" t="s">
        <v>26</v>
      </c>
      <c r="Q2555">
        <v>13.9</v>
      </c>
      <c r="R2555">
        <v>30</v>
      </c>
      <c r="S2555" t="s">
        <v>27</v>
      </c>
    </row>
    <row r="2556" spans="1:19" x14ac:dyDescent="0.3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 t="str">
        <f t="shared" si="39"/>
        <v>31-60 days</v>
      </c>
      <c r="L2556">
        <v>37</v>
      </c>
      <c r="M2556">
        <v>3</v>
      </c>
      <c r="N2556">
        <v>0</v>
      </c>
      <c r="O2556" t="s">
        <v>54</v>
      </c>
      <c r="P2556" t="s">
        <v>55</v>
      </c>
      <c r="Q2556">
        <v>4.5999999999999996</v>
      </c>
      <c r="R2556">
        <v>15</v>
      </c>
      <c r="S2556" t="s">
        <v>27</v>
      </c>
    </row>
    <row r="2557" spans="1:19" x14ac:dyDescent="0.3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 t="str">
        <f t="shared" si="39"/>
        <v>0-7 days</v>
      </c>
      <c r="L2557">
        <v>4</v>
      </c>
      <c r="M2557">
        <v>3</v>
      </c>
      <c r="N2557">
        <v>1</v>
      </c>
      <c r="O2557" t="s">
        <v>25</v>
      </c>
      <c r="P2557" t="s">
        <v>26</v>
      </c>
      <c r="Q2557">
        <v>18.3</v>
      </c>
      <c r="R2557">
        <v>33</v>
      </c>
      <c r="S2557" t="s">
        <v>36</v>
      </c>
    </row>
    <row r="2558" spans="1:19" x14ac:dyDescent="0.3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 t="str">
        <f t="shared" si="39"/>
        <v>31-60 days</v>
      </c>
      <c r="L2558">
        <v>49</v>
      </c>
      <c r="M2558">
        <v>4</v>
      </c>
      <c r="N2558">
        <v>0</v>
      </c>
      <c r="O2558" t="s">
        <v>25</v>
      </c>
      <c r="P2558" t="s">
        <v>26</v>
      </c>
      <c r="Q2558">
        <v>6</v>
      </c>
      <c r="R2558">
        <v>24</v>
      </c>
      <c r="S2558" t="s">
        <v>27</v>
      </c>
    </row>
    <row r="2559" spans="1:19" x14ac:dyDescent="0.3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 t="str">
        <f t="shared" si="39"/>
        <v>31-60 days</v>
      </c>
      <c r="L2559">
        <v>46</v>
      </c>
      <c r="M2559">
        <v>4</v>
      </c>
      <c r="N2559">
        <v>1</v>
      </c>
      <c r="O2559" t="s">
        <v>54</v>
      </c>
      <c r="P2559" t="s">
        <v>55</v>
      </c>
      <c r="Q2559">
        <v>2.8</v>
      </c>
      <c r="R2559">
        <v>16</v>
      </c>
      <c r="S2559" t="s">
        <v>36</v>
      </c>
    </row>
    <row r="2560" spans="1:19" x14ac:dyDescent="0.3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 t="str">
        <f t="shared" si="39"/>
        <v>0-7 days</v>
      </c>
      <c r="L2560">
        <v>6</v>
      </c>
      <c r="M2560">
        <v>5</v>
      </c>
      <c r="N2560">
        <v>2</v>
      </c>
      <c r="O2560" t="s">
        <v>54</v>
      </c>
      <c r="P2560" t="s">
        <v>55</v>
      </c>
      <c r="Q2560">
        <v>2.2000000000000002</v>
      </c>
      <c r="R2560">
        <v>9</v>
      </c>
      <c r="S2560" t="s">
        <v>27</v>
      </c>
    </row>
    <row r="2561" spans="1:19" x14ac:dyDescent="0.3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 t="str">
        <f t="shared" si="39"/>
        <v>31-60 days</v>
      </c>
      <c r="L2561">
        <v>58</v>
      </c>
      <c r="M2561">
        <v>3</v>
      </c>
      <c r="N2561">
        <v>0</v>
      </c>
      <c r="O2561" t="s">
        <v>54</v>
      </c>
      <c r="P2561" t="s">
        <v>55</v>
      </c>
      <c r="Q2561">
        <v>12.9</v>
      </c>
      <c r="R2561">
        <v>16</v>
      </c>
      <c r="S2561" t="s">
        <v>27</v>
      </c>
    </row>
    <row r="2562" spans="1:19" x14ac:dyDescent="0.3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 t="str">
        <f t="shared" si="39"/>
        <v>31-60 days</v>
      </c>
      <c r="L2562">
        <v>40</v>
      </c>
      <c r="M2562">
        <v>3</v>
      </c>
      <c r="N2562">
        <v>0</v>
      </c>
      <c r="O2562" t="s">
        <v>54</v>
      </c>
      <c r="P2562" t="s">
        <v>55</v>
      </c>
      <c r="Q2562">
        <v>29.2</v>
      </c>
      <c r="R2562">
        <v>13</v>
      </c>
      <c r="S2562" t="s">
        <v>27</v>
      </c>
    </row>
    <row r="2563" spans="1:19" x14ac:dyDescent="0.3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 t="str">
        <f t="shared" ref="K2563:K2626" si="40">IF(L2563&lt;=7,"0-7 days",IF(L2563&lt;=14,"8-14 days",IF(L2563&lt;=30,"15-30 days","31-60 days")))</f>
        <v>0-7 days</v>
      </c>
      <c r="L2563">
        <v>5</v>
      </c>
      <c r="M2563">
        <v>6</v>
      </c>
      <c r="N2563">
        <v>1</v>
      </c>
      <c r="O2563" t="s">
        <v>25</v>
      </c>
      <c r="P2563" t="s">
        <v>50</v>
      </c>
      <c r="Q2563">
        <v>4.4000000000000004</v>
      </c>
      <c r="R2563">
        <v>5</v>
      </c>
      <c r="S2563" t="s">
        <v>36</v>
      </c>
    </row>
    <row r="2564" spans="1:19" x14ac:dyDescent="0.3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 t="str">
        <f t="shared" si="40"/>
        <v>15-30 days</v>
      </c>
      <c r="L2564">
        <v>29</v>
      </c>
      <c r="M2564">
        <v>3</v>
      </c>
      <c r="N2564">
        <v>0</v>
      </c>
      <c r="O2564" t="s">
        <v>25</v>
      </c>
      <c r="P2564" t="s">
        <v>35</v>
      </c>
      <c r="Q2564">
        <v>1.9</v>
      </c>
      <c r="R2564">
        <v>32</v>
      </c>
      <c r="S2564" t="s">
        <v>27</v>
      </c>
    </row>
    <row r="2565" spans="1:19" x14ac:dyDescent="0.3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 t="str">
        <f t="shared" si="40"/>
        <v>31-60 days</v>
      </c>
      <c r="L2565">
        <v>51</v>
      </c>
      <c r="M2565">
        <v>2</v>
      </c>
      <c r="N2565">
        <v>0</v>
      </c>
      <c r="O2565" t="s">
        <v>25</v>
      </c>
      <c r="P2565" t="s">
        <v>26</v>
      </c>
      <c r="Q2565">
        <v>12.1</v>
      </c>
      <c r="R2565">
        <v>36</v>
      </c>
      <c r="S2565" t="s">
        <v>27</v>
      </c>
    </row>
    <row r="2566" spans="1:19" x14ac:dyDescent="0.3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 t="str">
        <f t="shared" si="40"/>
        <v>15-30 days</v>
      </c>
      <c r="L2566">
        <v>17</v>
      </c>
      <c r="M2566">
        <v>4</v>
      </c>
      <c r="N2566">
        <v>0</v>
      </c>
      <c r="O2566" t="s">
        <v>25</v>
      </c>
      <c r="P2566" t="s">
        <v>50</v>
      </c>
      <c r="Q2566">
        <v>3.6</v>
      </c>
      <c r="R2566">
        <v>17</v>
      </c>
      <c r="S2566" t="s">
        <v>27</v>
      </c>
    </row>
    <row r="2567" spans="1:19" x14ac:dyDescent="0.3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 t="str">
        <f t="shared" si="40"/>
        <v>31-60 days</v>
      </c>
      <c r="L2567">
        <v>56</v>
      </c>
      <c r="M2567">
        <v>6</v>
      </c>
      <c r="N2567">
        <v>1</v>
      </c>
      <c r="O2567" t="s">
        <v>54</v>
      </c>
      <c r="P2567" t="s">
        <v>55</v>
      </c>
      <c r="Q2567">
        <v>14.7</v>
      </c>
      <c r="R2567">
        <v>2</v>
      </c>
      <c r="S2567" t="s">
        <v>27</v>
      </c>
    </row>
    <row r="2568" spans="1:19" x14ac:dyDescent="0.3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 t="str">
        <f t="shared" si="40"/>
        <v>15-30 days</v>
      </c>
      <c r="L2568">
        <v>25</v>
      </c>
      <c r="M2568">
        <v>4</v>
      </c>
      <c r="N2568">
        <v>0</v>
      </c>
      <c r="O2568" t="s">
        <v>25</v>
      </c>
      <c r="P2568" t="s">
        <v>50</v>
      </c>
      <c r="Q2568">
        <v>7.2</v>
      </c>
      <c r="R2568">
        <v>28</v>
      </c>
      <c r="S2568" t="s">
        <v>36</v>
      </c>
    </row>
    <row r="2569" spans="1:19" x14ac:dyDescent="0.3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 t="str">
        <f t="shared" si="40"/>
        <v>8-14 days</v>
      </c>
      <c r="L2569">
        <v>13</v>
      </c>
      <c r="M2569">
        <v>6</v>
      </c>
      <c r="N2569">
        <v>2</v>
      </c>
      <c r="O2569" t="s">
        <v>54</v>
      </c>
      <c r="P2569" t="s">
        <v>55</v>
      </c>
      <c r="Q2569">
        <v>4.7</v>
      </c>
      <c r="R2569">
        <v>26</v>
      </c>
      <c r="S2569" t="s">
        <v>36</v>
      </c>
    </row>
    <row r="2570" spans="1:19" x14ac:dyDescent="0.3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 t="str">
        <f t="shared" si="40"/>
        <v>15-30 days</v>
      </c>
      <c r="L2570">
        <v>21</v>
      </c>
      <c r="M2570">
        <v>4</v>
      </c>
      <c r="N2570">
        <v>0</v>
      </c>
      <c r="O2570" t="s">
        <v>25</v>
      </c>
      <c r="P2570" t="s">
        <v>35</v>
      </c>
      <c r="Q2570">
        <v>7.4</v>
      </c>
      <c r="R2570">
        <v>13</v>
      </c>
      <c r="S2570" t="s">
        <v>36</v>
      </c>
    </row>
    <row r="2571" spans="1:19" x14ac:dyDescent="0.3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 t="str">
        <f t="shared" si="40"/>
        <v>31-60 days</v>
      </c>
      <c r="L2571">
        <v>32</v>
      </c>
      <c r="M2571">
        <v>3</v>
      </c>
      <c r="N2571">
        <v>1</v>
      </c>
      <c r="O2571" t="s">
        <v>25</v>
      </c>
      <c r="P2571" t="s">
        <v>26</v>
      </c>
      <c r="Q2571">
        <v>20.9</v>
      </c>
      <c r="R2571">
        <v>23</v>
      </c>
      <c r="S2571" t="s">
        <v>36</v>
      </c>
    </row>
    <row r="2572" spans="1:19" x14ac:dyDescent="0.3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 t="str">
        <f t="shared" si="40"/>
        <v>31-60 days</v>
      </c>
      <c r="L2572">
        <v>41</v>
      </c>
      <c r="M2572">
        <v>1</v>
      </c>
      <c r="N2572">
        <v>0</v>
      </c>
      <c r="O2572" t="s">
        <v>25</v>
      </c>
      <c r="P2572" t="s">
        <v>35</v>
      </c>
      <c r="Q2572">
        <v>1.8</v>
      </c>
      <c r="R2572">
        <v>2</v>
      </c>
      <c r="S2572" t="s">
        <v>27</v>
      </c>
    </row>
    <row r="2573" spans="1:19" x14ac:dyDescent="0.3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 t="str">
        <f t="shared" si="40"/>
        <v>31-60 days</v>
      </c>
      <c r="L2573">
        <v>56</v>
      </c>
      <c r="M2573">
        <v>5</v>
      </c>
      <c r="N2573">
        <v>1</v>
      </c>
      <c r="O2573" t="s">
        <v>25</v>
      </c>
      <c r="P2573" t="s">
        <v>26</v>
      </c>
      <c r="Q2573">
        <v>15.2</v>
      </c>
      <c r="R2573">
        <v>24</v>
      </c>
      <c r="S2573" t="s">
        <v>27</v>
      </c>
    </row>
    <row r="2574" spans="1:19" x14ac:dyDescent="0.3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 t="str">
        <f t="shared" si="40"/>
        <v>8-14 days</v>
      </c>
      <c r="L2574">
        <v>11</v>
      </c>
      <c r="M2574">
        <v>2</v>
      </c>
      <c r="N2574">
        <v>0</v>
      </c>
      <c r="O2574" t="s">
        <v>25</v>
      </c>
      <c r="P2574" t="s">
        <v>35</v>
      </c>
      <c r="Q2574">
        <v>16.100000000000001</v>
      </c>
      <c r="R2574">
        <v>22</v>
      </c>
      <c r="S2574" t="s">
        <v>36</v>
      </c>
    </row>
    <row r="2575" spans="1:19" x14ac:dyDescent="0.3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 t="str">
        <f t="shared" si="40"/>
        <v>31-60 days</v>
      </c>
      <c r="L2575">
        <v>58</v>
      </c>
      <c r="M2575">
        <v>7</v>
      </c>
      <c r="N2575">
        <v>2</v>
      </c>
      <c r="O2575" t="s">
        <v>25</v>
      </c>
      <c r="P2575" t="s">
        <v>50</v>
      </c>
      <c r="Q2575">
        <v>6.1</v>
      </c>
      <c r="R2575">
        <v>39</v>
      </c>
      <c r="S2575" t="s">
        <v>27</v>
      </c>
    </row>
    <row r="2576" spans="1:19" x14ac:dyDescent="0.3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 t="str">
        <f t="shared" si="40"/>
        <v>31-60 days</v>
      </c>
      <c r="L2576">
        <v>32</v>
      </c>
      <c r="M2576">
        <v>0</v>
      </c>
      <c r="N2576">
        <v>0</v>
      </c>
      <c r="O2576" t="s">
        <v>54</v>
      </c>
      <c r="P2576" t="s">
        <v>55</v>
      </c>
      <c r="Q2576">
        <v>12.6</v>
      </c>
      <c r="R2576">
        <v>27</v>
      </c>
      <c r="S2576" t="s">
        <v>27</v>
      </c>
    </row>
    <row r="2577" spans="1:19" x14ac:dyDescent="0.3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 t="str">
        <f t="shared" si="40"/>
        <v>0-7 days</v>
      </c>
      <c r="L2577">
        <v>7</v>
      </c>
      <c r="M2577">
        <v>5</v>
      </c>
      <c r="N2577">
        <v>1</v>
      </c>
      <c r="O2577" t="s">
        <v>54</v>
      </c>
      <c r="P2577" t="s">
        <v>55</v>
      </c>
      <c r="Q2577">
        <v>10.4</v>
      </c>
      <c r="R2577">
        <v>25</v>
      </c>
      <c r="S2577" t="s">
        <v>71</v>
      </c>
    </row>
    <row r="2578" spans="1:19" x14ac:dyDescent="0.3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 t="str">
        <f t="shared" si="40"/>
        <v>31-60 days</v>
      </c>
      <c r="L2578">
        <v>56</v>
      </c>
      <c r="M2578">
        <v>3</v>
      </c>
      <c r="N2578">
        <v>0</v>
      </c>
      <c r="O2578" t="s">
        <v>54</v>
      </c>
      <c r="P2578" t="s">
        <v>55</v>
      </c>
      <c r="Q2578">
        <v>16</v>
      </c>
      <c r="R2578">
        <v>46</v>
      </c>
      <c r="S2578" t="s">
        <v>27</v>
      </c>
    </row>
    <row r="2579" spans="1:19" x14ac:dyDescent="0.3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 t="str">
        <f t="shared" si="40"/>
        <v>15-30 days</v>
      </c>
      <c r="L2579">
        <v>21</v>
      </c>
      <c r="M2579">
        <v>3</v>
      </c>
      <c r="N2579">
        <v>1</v>
      </c>
      <c r="O2579" t="s">
        <v>54</v>
      </c>
      <c r="P2579" t="s">
        <v>55</v>
      </c>
      <c r="Q2579">
        <v>7.5</v>
      </c>
      <c r="R2579">
        <v>15</v>
      </c>
      <c r="S2579" t="s">
        <v>27</v>
      </c>
    </row>
    <row r="2580" spans="1:19" x14ac:dyDescent="0.3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 t="str">
        <f t="shared" si="40"/>
        <v>31-60 days</v>
      </c>
      <c r="L2580">
        <v>37</v>
      </c>
      <c r="M2580">
        <v>6</v>
      </c>
      <c r="N2580">
        <v>2</v>
      </c>
      <c r="O2580" t="s">
        <v>54</v>
      </c>
      <c r="P2580" t="s">
        <v>55</v>
      </c>
      <c r="Q2580">
        <v>2.6</v>
      </c>
      <c r="R2580">
        <v>8</v>
      </c>
      <c r="S2580" t="s">
        <v>36</v>
      </c>
    </row>
    <row r="2581" spans="1:19" x14ac:dyDescent="0.3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 t="str">
        <f t="shared" si="40"/>
        <v>31-60 days</v>
      </c>
      <c r="L2581">
        <v>42</v>
      </c>
      <c r="M2581">
        <v>5</v>
      </c>
      <c r="N2581">
        <v>1</v>
      </c>
      <c r="O2581" t="s">
        <v>25</v>
      </c>
      <c r="P2581" t="s">
        <v>50</v>
      </c>
      <c r="Q2581">
        <v>19</v>
      </c>
      <c r="R2581">
        <v>34</v>
      </c>
      <c r="S2581" t="s">
        <v>27</v>
      </c>
    </row>
    <row r="2582" spans="1:19" x14ac:dyDescent="0.3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 t="str">
        <f t="shared" si="40"/>
        <v>0-7 days</v>
      </c>
      <c r="L2582">
        <v>0</v>
      </c>
      <c r="M2582">
        <v>3</v>
      </c>
      <c r="N2582">
        <v>0</v>
      </c>
      <c r="O2582" t="s">
        <v>25</v>
      </c>
      <c r="P2582" t="s">
        <v>35</v>
      </c>
      <c r="Q2582">
        <v>4.9000000000000004</v>
      </c>
      <c r="R2582">
        <v>35</v>
      </c>
      <c r="S2582" t="s">
        <v>36</v>
      </c>
    </row>
    <row r="2583" spans="1:19" x14ac:dyDescent="0.3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 t="str">
        <f t="shared" si="40"/>
        <v>8-14 days</v>
      </c>
      <c r="L2583">
        <v>13</v>
      </c>
      <c r="M2583">
        <v>1</v>
      </c>
      <c r="N2583">
        <v>0</v>
      </c>
      <c r="O2583" t="s">
        <v>25</v>
      </c>
      <c r="P2583" t="s">
        <v>26</v>
      </c>
      <c r="Q2583">
        <v>6</v>
      </c>
      <c r="R2583">
        <v>36</v>
      </c>
      <c r="S2583" t="s">
        <v>27</v>
      </c>
    </row>
    <row r="2584" spans="1:19" x14ac:dyDescent="0.3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 t="str">
        <f t="shared" si="40"/>
        <v>31-60 days</v>
      </c>
      <c r="L2584">
        <v>41</v>
      </c>
      <c r="M2584">
        <v>2</v>
      </c>
      <c r="N2584">
        <v>0</v>
      </c>
      <c r="O2584" t="s">
        <v>25</v>
      </c>
      <c r="P2584" t="s">
        <v>26</v>
      </c>
      <c r="Q2584">
        <v>6.9</v>
      </c>
      <c r="R2584">
        <v>21</v>
      </c>
      <c r="S2584" t="s">
        <v>71</v>
      </c>
    </row>
    <row r="2585" spans="1:19" x14ac:dyDescent="0.3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 t="str">
        <f t="shared" si="40"/>
        <v>15-30 days</v>
      </c>
      <c r="L2585">
        <v>19</v>
      </c>
      <c r="M2585">
        <v>2</v>
      </c>
      <c r="N2585">
        <v>0</v>
      </c>
      <c r="O2585" t="s">
        <v>54</v>
      </c>
      <c r="P2585" t="s">
        <v>55</v>
      </c>
      <c r="Q2585">
        <v>17.5</v>
      </c>
      <c r="R2585">
        <v>16</v>
      </c>
      <c r="S2585" t="s">
        <v>71</v>
      </c>
    </row>
    <row r="2586" spans="1:19" x14ac:dyDescent="0.3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 t="str">
        <f t="shared" si="40"/>
        <v>0-7 days</v>
      </c>
      <c r="L2586">
        <v>0</v>
      </c>
      <c r="M2586">
        <v>3</v>
      </c>
      <c r="N2586">
        <v>1</v>
      </c>
      <c r="O2586" t="s">
        <v>54</v>
      </c>
      <c r="P2586" t="s">
        <v>55</v>
      </c>
      <c r="Q2586">
        <v>26.3</v>
      </c>
      <c r="R2586">
        <v>10</v>
      </c>
      <c r="S2586" t="s">
        <v>27</v>
      </c>
    </row>
    <row r="2587" spans="1:19" x14ac:dyDescent="0.3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 t="str">
        <f t="shared" si="40"/>
        <v>0-7 days</v>
      </c>
      <c r="L2587">
        <v>1</v>
      </c>
      <c r="M2587">
        <v>4</v>
      </c>
      <c r="N2587">
        <v>1</v>
      </c>
      <c r="O2587" t="s">
        <v>25</v>
      </c>
      <c r="P2587" t="s">
        <v>26</v>
      </c>
      <c r="Q2587">
        <v>6.5</v>
      </c>
      <c r="R2587">
        <v>14</v>
      </c>
      <c r="S2587" t="s">
        <v>27</v>
      </c>
    </row>
    <row r="2588" spans="1:19" x14ac:dyDescent="0.3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 t="str">
        <f t="shared" si="40"/>
        <v>31-60 days</v>
      </c>
      <c r="L2588">
        <v>50</v>
      </c>
      <c r="M2588">
        <v>6</v>
      </c>
      <c r="N2588">
        <v>2</v>
      </c>
      <c r="O2588" t="s">
        <v>25</v>
      </c>
      <c r="P2588" t="s">
        <v>50</v>
      </c>
      <c r="Q2588">
        <v>6.6</v>
      </c>
      <c r="R2588">
        <v>7</v>
      </c>
      <c r="S2588" t="s">
        <v>36</v>
      </c>
    </row>
    <row r="2589" spans="1:19" x14ac:dyDescent="0.3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 t="str">
        <f t="shared" si="40"/>
        <v>8-14 days</v>
      </c>
      <c r="L2589">
        <v>9</v>
      </c>
      <c r="M2589">
        <v>6</v>
      </c>
      <c r="N2589">
        <v>0</v>
      </c>
      <c r="O2589" t="s">
        <v>25</v>
      </c>
      <c r="P2589" t="s">
        <v>35</v>
      </c>
      <c r="Q2589">
        <v>10.1</v>
      </c>
      <c r="R2589">
        <v>19</v>
      </c>
      <c r="S2589" t="s">
        <v>36</v>
      </c>
    </row>
    <row r="2590" spans="1:19" x14ac:dyDescent="0.3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 t="str">
        <f t="shared" si="40"/>
        <v>0-7 days</v>
      </c>
      <c r="L2590">
        <v>6</v>
      </c>
      <c r="M2590">
        <v>2</v>
      </c>
      <c r="N2590">
        <v>1</v>
      </c>
      <c r="O2590" t="s">
        <v>54</v>
      </c>
      <c r="P2590" t="s">
        <v>55</v>
      </c>
      <c r="Q2590">
        <v>3.9</v>
      </c>
      <c r="R2590">
        <v>42</v>
      </c>
      <c r="S2590" t="s">
        <v>36</v>
      </c>
    </row>
    <row r="2591" spans="1:19" x14ac:dyDescent="0.3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 t="str">
        <f t="shared" si="40"/>
        <v>31-60 days</v>
      </c>
      <c r="L2591">
        <v>34</v>
      </c>
      <c r="M2591">
        <v>1</v>
      </c>
      <c r="N2591">
        <v>0</v>
      </c>
      <c r="O2591" t="s">
        <v>25</v>
      </c>
      <c r="P2591" t="s">
        <v>35</v>
      </c>
      <c r="Q2591">
        <v>12.2</v>
      </c>
      <c r="R2591">
        <v>18</v>
      </c>
      <c r="S2591" t="s">
        <v>71</v>
      </c>
    </row>
    <row r="2592" spans="1:19" x14ac:dyDescent="0.3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 t="str">
        <f t="shared" si="40"/>
        <v>0-7 days</v>
      </c>
      <c r="L2592">
        <v>7</v>
      </c>
      <c r="M2592">
        <v>4</v>
      </c>
      <c r="N2592">
        <v>0</v>
      </c>
      <c r="O2592" t="s">
        <v>25</v>
      </c>
      <c r="P2592" t="s">
        <v>35</v>
      </c>
      <c r="R2592">
        <v>25</v>
      </c>
      <c r="S2592" t="s">
        <v>36</v>
      </c>
    </row>
    <row r="2593" spans="1:19" x14ac:dyDescent="0.3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 t="str">
        <f t="shared" si="40"/>
        <v>31-60 days</v>
      </c>
      <c r="L2593">
        <v>39</v>
      </c>
      <c r="M2593">
        <v>4</v>
      </c>
      <c r="N2593">
        <v>1</v>
      </c>
      <c r="O2593" t="s">
        <v>25</v>
      </c>
      <c r="P2593" t="s">
        <v>35</v>
      </c>
      <c r="Q2593">
        <v>10.3</v>
      </c>
      <c r="R2593">
        <v>30</v>
      </c>
      <c r="S2593" t="s">
        <v>27</v>
      </c>
    </row>
    <row r="2594" spans="1:19" x14ac:dyDescent="0.3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 t="str">
        <f t="shared" si="40"/>
        <v>31-60 days</v>
      </c>
      <c r="L2594">
        <v>33</v>
      </c>
      <c r="M2594">
        <v>5</v>
      </c>
      <c r="N2594">
        <v>1</v>
      </c>
      <c r="O2594" t="s">
        <v>54</v>
      </c>
      <c r="P2594" t="s">
        <v>55</v>
      </c>
      <c r="Q2594">
        <v>2.9</v>
      </c>
      <c r="R2594">
        <v>20</v>
      </c>
      <c r="S2594" t="s">
        <v>27</v>
      </c>
    </row>
    <row r="2595" spans="1:19" x14ac:dyDescent="0.3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 t="str">
        <f t="shared" si="40"/>
        <v>31-60 days</v>
      </c>
      <c r="L2595">
        <v>39</v>
      </c>
      <c r="M2595">
        <v>2</v>
      </c>
      <c r="N2595">
        <v>0</v>
      </c>
      <c r="O2595" t="s">
        <v>25</v>
      </c>
      <c r="P2595" t="s">
        <v>35</v>
      </c>
      <c r="Q2595">
        <v>25.7</v>
      </c>
      <c r="R2595">
        <v>20</v>
      </c>
      <c r="S2595" t="s">
        <v>27</v>
      </c>
    </row>
    <row r="2596" spans="1:19" x14ac:dyDescent="0.3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 t="str">
        <f t="shared" si="40"/>
        <v>15-30 days</v>
      </c>
      <c r="L2596">
        <v>29</v>
      </c>
      <c r="M2596">
        <v>5</v>
      </c>
      <c r="N2596">
        <v>2</v>
      </c>
      <c r="O2596" t="s">
        <v>25</v>
      </c>
      <c r="P2596" t="s">
        <v>50</v>
      </c>
      <c r="Q2596">
        <v>12.9</v>
      </c>
      <c r="R2596">
        <v>38</v>
      </c>
      <c r="S2596" t="s">
        <v>27</v>
      </c>
    </row>
    <row r="2597" spans="1:19" x14ac:dyDescent="0.3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 t="str">
        <f t="shared" si="40"/>
        <v>31-60 days</v>
      </c>
      <c r="L2597">
        <v>47</v>
      </c>
      <c r="M2597">
        <v>1</v>
      </c>
      <c r="N2597">
        <v>0</v>
      </c>
      <c r="O2597" t="s">
        <v>25</v>
      </c>
      <c r="P2597" t="s">
        <v>50</v>
      </c>
      <c r="Q2597">
        <v>23.5</v>
      </c>
      <c r="R2597">
        <v>26</v>
      </c>
      <c r="S2597" t="s">
        <v>27</v>
      </c>
    </row>
    <row r="2598" spans="1:19" x14ac:dyDescent="0.3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 t="str">
        <f t="shared" si="40"/>
        <v>31-60 days</v>
      </c>
      <c r="L2598">
        <v>39</v>
      </c>
      <c r="M2598">
        <v>6</v>
      </c>
      <c r="N2598">
        <v>1</v>
      </c>
      <c r="O2598" t="s">
        <v>25</v>
      </c>
      <c r="P2598" t="s">
        <v>50</v>
      </c>
      <c r="Q2598">
        <v>3.2</v>
      </c>
      <c r="R2598">
        <v>36</v>
      </c>
      <c r="S2598" t="s">
        <v>36</v>
      </c>
    </row>
    <row r="2599" spans="1:19" x14ac:dyDescent="0.3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 t="str">
        <f t="shared" si="40"/>
        <v>15-30 days</v>
      </c>
      <c r="L2599">
        <v>25</v>
      </c>
      <c r="M2599">
        <v>2</v>
      </c>
      <c r="N2599">
        <v>0</v>
      </c>
      <c r="O2599" t="s">
        <v>25</v>
      </c>
      <c r="P2599" t="s">
        <v>35</v>
      </c>
      <c r="Q2599">
        <v>4.3</v>
      </c>
      <c r="R2599">
        <v>50</v>
      </c>
      <c r="S2599" t="s">
        <v>36</v>
      </c>
    </row>
    <row r="2600" spans="1:19" x14ac:dyDescent="0.3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 t="str">
        <f t="shared" si="40"/>
        <v>0-7 days</v>
      </c>
      <c r="L2600">
        <v>0</v>
      </c>
      <c r="M2600">
        <v>2</v>
      </c>
      <c r="N2600">
        <v>0</v>
      </c>
      <c r="O2600" t="s">
        <v>25</v>
      </c>
      <c r="P2600" t="s">
        <v>35</v>
      </c>
      <c r="Q2600">
        <v>5.0999999999999996</v>
      </c>
      <c r="R2600">
        <v>14</v>
      </c>
      <c r="S2600" t="s">
        <v>36</v>
      </c>
    </row>
    <row r="2601" spans="1:19" x14ac:dyDescent="0.3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 t="str">
        <f t="shared" si="40"/>
        <v>15-30 days</v>
      </c>
      <c r="L2601">
        <v>16</v>
      </c>
      <c r="M2601">
        <v>1</v>
      </c>
      <c r="N2601">
        <v>0</v>
      </c>
      <c r="O2601" t="s">
        <v>25</v>
      </c>
      <c r="P2601" t="s">
        <v>26</v>
      </c>
      <c r="Q2601">
        <v>26.5</v>
      </c>
      <c r="R2601">
        <v>22</v>
      </c>
      <c r="S2601" t="s">
        <v>36</v>
      </c>
    </row>
    <row r="2602" spans="1:19" x14ac:dyDescent="0.3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 t="str">
        <f t="shared" si="40"/>
        <v>8-14 days</v>
      </c>
      <c r="L2602">
        <v>8</v>
      </c>
      <c r="M2602">
        <v>3</v>
      </c>
      <c r="N2602">
        <v>1</v>
      </c>
      <c r="O2602" t="s">
        <v>25</v>
      </c>
      <c r="P2602" t="s">
        <v>50</v>
      </c>
      <c r="Q2602">
        <v>9.8000000000000007</v>
      </c>
      <c r="R2602">
        <v>22</v>
      </c>
      <c r="S2602" t="s">
        <v>36</v>
      </c>
    </row>
    <row r="2603" spans="1:19" x14ac:dyDescent="0.3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 t="str">
        <f t="shared" si="40"/>
        <v>0-7 days</v>
      </c>
      <c r="L2603">
        <v>0</v>
      </c>
      <c r="M2603">
        <v>1</v>
      </c>
      <c r="N2603">
        <v>0</v>
      </c>
      <c r="O2603" t="s">
        <v>25</v>
      </c>
      <c r="P2603" t="s">
        <v>35</v>
      </c>
      <c r="Q2603">
        <v>8.4</v>
      </c>
      <c r="R2603">
        <v>19</v>
      </c>
      <c r="S2603" t="s">
        <v>36</v>
      </c>
    </row>
    <row r="2604" spans="1:19" x14ac:dyDescent="0.3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 t="str">
        <f t="shared" si="40"/>
        <v>15-30 days</v>
      </c>
      <c r="L2604">
        <v>16</v>
      </c>
      <c r="M2604">
        <v>2</v>
      </c>
      <c r="N2604">
        <v>0</v>
      </c>
      <c r="O2604" t="s">
        <v>25</v>
      </c>
      <c r="P2604" t="s">
        <v>26</v>
      </c>
      <c r="Q2604">
        <v>1</v>
      </c>
      <c r="R2604">
        <v>19</v>
      </c>
      <c r="S2604" t="s">
        <v>36</v>
      </c>
    </row>
    <row r="2605" spans="1:19" x14ac:dyDescent="0.3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 t="str">
        <f t="shared" si="40"/>
        <v>8-14 days</v>
      </c>
      <c r="L2605">
        <v>12</v>
      </c>
      <c r="M2605">
        <v>3</v>
      </c>
      <c r="N2605">
        <v>0</v>
      </c>
      <c r="O2605" t="s">
        <v>25</v>
      </c>
      <c r="P2605" t="s">
        <v>35</v>
      </c>
      <c r="Q2605">
        <v>6.6</v>
      </c>
      <c r="R2605">
        <v>39</v>
      </c>
      <c r="S2605" t="s">
        <v>36</v>
      </c>
    </row>
    <row r="2606" spans="1:19" x14ac:dyDescent="0.3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 t="str">
        <f t="shared" si="40"/>
        <v>0-7 days</v>
      </c>
      <c r="L2606">
        <v>4</v>
      </c>
      <c r="M2606">
        <v>1</v>
      </c>
      <c r="N2606">
        <v>0</v>
      </c>
      <c r="O2606" t="s">
        <v>54</v>
      </c>
      <c r="P2606" t="s">
        <v>55</v>
      </c>
      <c r="Q2606">
        <v>7.5</v>
      </c>
      <c r="R2606">
        <v>25</v>
      </c>
      <c r="S2606" t="s">
        <v>27</v>
      </c>
    </row>
    <row r="2607" spans="1:19" x14ac:dyDescent="0.3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 t="str">
        <f t="shared" si="40"/>
        <v>15-30 days</v>
      </c>
      <c r="L2607">
        <v>19</v>
      </c>
      <c r="M2607">
        <v>2</v>
      </c>
      <c r="N2607">
        <v>0</v>
      </c>
      <c r="O2607" t="s">
        <v>25</v>
      </c>
      <c r="P2607" t="s">
        <v>26</v>
      </c>
      <c r="Q2607">
        <v>10.6</v>
      </c>
      <c r="R2607">
        <v>51</v>
      </c>
      <c r="S2607" t="s">
        <v>27</v>
      </c>
    </row>
    <row r="2608" spans="1:19" x14ac:dyDescent="0.3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 t="str">
        <f t="shared" si="40"/>
        <v>15-30 days</v>
      </c>
      <c r="L2608">
        <v>30</v>
      </c>
      <c r="M2608">
        <v>8</v>
      </c>
      <c r="N2608">
        <v>2</v>
      </c>
      <c r="O2608" t="s">
        <v>25</v>
      </c>
      <c r="P2608" t="s">
        <v>35</v>
      </c>
      <c r="Q2608">
        <v>26.8</v>
      </c>
      <c r="R2608">
        <v>20</v>
      </c>
      <c r="S2608" t="s">
        <v>36</v>
      </c>
    </row>
    <row r="2609" spans="1:19" x14ac:dyDescent="0.3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 t="str">
        <f t="shared" si="40"/>
        <v>8-14 days</v>
      </c>
      <c r="L2609">
        <v>10</v>
      </c>
      <c r="M2609">
        <v>8</v>
      </c>
      <c r="N2609">
        <v>2</v>
      </c>
      <c r="O2609" t="s">
        <v>25</v>
      </c>
      <c r="P2609" t="s">
        <v>35</v>
      </c>
      <c r="Q2609">
        <v>20.6</v>
      </c>
      <c r="R2609">
        <v>41</v>
      </c>
      <c r="S2609" t="s">
        <v>36</v>
      </c>
    </row>
    <row r="2610" spans="1:19" x14ac:dyDescent="0.3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 t="str">
        <f t="shared" si="40"/>
        <v>15-30 days</v>
      </c>
      <c r="L2610">
        <v>16</v>
      </c>
      <c r="M2610">
        <v>2</v>
      </c>
      <c r="N2610">
        <v>1</v>
      </c>
      <c r="O2610" t="s">
        <v>54</v>
      </c>
      <c r="P2610" t="s">
        <v>55</v>
      </c>
      <c r="Q2610">
        <v>7.2</v>
      </c>
      <c r="R2610">
        <v>43</v>
      </c>
      <c r="S2610" t="s">
        <v>36</v>
      </c>
    </row>
    <row r="2611" spans="1:19" x14ac:dyDescent="0.3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 t="str">
        <f t="shared" si="40"/>
        <v>0-7 days</v>
      </c>
      <c r="L2611">
        <v>1</v>
      </c>
      <c r="M2611">
        <v>6</v>
      </c>
      <c r="N2611">
        <v>0</v>
      </c>
      <c r="O2611" t="s">
        <v>54</v>
      </c>
      <c r="P2611" t="s">
        <v>55</v>
      </c>
      <c r="Q2611">
        <v>4.2</v>
      </c>
      <c r="R2611">
        <v>23</v>
      </c>
      <c r="S2611" t="s">
        <v>27</v>
      </c>
    </row>
    <row r="2612" spans="1:19" x14ac:dyDescent="0.3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 t="str">
        <f t="shared" si="40"/>
        <v>0-7 days</v>
      </c>
      <c r="L2612">
        <v>3</v>
      </c>
      <c r="M2612">
        <v>5</v>
      </c>
      <c r="N2612">
        <v>1</v>
      </c>
      <c r="O2612" t="s">
        <v>25</v>
      </c>
      <c r="P2612" t="s">
        <v>50</v>
      </c>
      <c r="Q2612">
        <v>7.1</v>
      </c>
      <c r="R2612">
        <v>29</v>
      </c>
      <c r="S2612" t="s">
        <v>71</v>
      </c>
    </row>
    <row r="2613" spans="1:19" x14ac:dyDescent="0.3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 t="str">
        <f t="shared" si="40"/>
        <v>8-14 days</v>
      </c>
      <c r="L2613">
        <v>9</v>
      </c>
      <c r="M2613">
        <v>2</v>
      </c>
      <c r="N2613">
        <v>0</v>
      </c>
      <c r="O2613" t="s">
        <v>25</v>
      </c>
      <c r="P2613" t="s">
        <v>35</v>
      </c>
      <c r="Q2613">
        <v>9.1999999999999993</v>
      </c>
      <c r="R2613">
        <v>34</v>
      </c>
      <c r="S2613" t="s">
        <v>71</v>
      </c>
    </row>
    <row r="2614" spans="1:19" x14ac:dyDescent="0.3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 t="str">
        <f t="shared" si="40"/>
        <v>15-30 days</v>
      </c>
      <c r="L2614">
        <v>27</v>
      </c>
      <c r="M2614">
        <v>5</v>
      </c>
      <c r="N2614">
        <v>2</v>
      </c>
      <c r="O2614" t="s">
        <v>25</v>
      </c>
      <c r="P2614" t="s">
        <v>26</v>
      </c>
      <c r="Q2614">
        <v>12.6</v>
      </c>
      <c r="R2614">
        <v>18</v>
      </c>
      <c r="S2614" t="s">
        <v>36</v>
      </c>
    </row>
    <row r="2615" spans="1:19" x14ac:dyDescent="0.3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 t="str">
        <f t="shared" si="40"/>
        <v>31-60 days</v>
      </c>
      <c r="L2615">
        <v>40</v>
      </c>
      <c r="M2615">
        <v>3</v>
      </c>
      <c r="N2615">
        <v>0</v>
      </c>
      <c r="O2615" t="s">
        <v>25</v>
      </c>
      <c r="P2615" t="s">
        <v>35</v>
      </c>
      <c r="Q2615">
        <v>0.5</v>
      </c>
      <c r="R2615">
        <v>42</v>
      </c>
      <c r="S2615" t="s">
        <v>36</v>
      </c>
    </row>
    <row r="2616" spans="1:19" x14ac:dyDescent="0.3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 t="str">
        <f t="shared" si="40"/>
        <v>31-60 days</v>
      </c>
      <c r="L2616">
        <v>48</v>
      </c>
      <c r="M2616">
        <v>4</v>
      </c>
      <c r="N2616">
        <v>0</v>
      </c>
      <c r="O2616" t="s">
        <v>25</v>
      </c>
      <c r="P2616" t="s">
        <v>26</v>
      </c>
      <c r="R2616">
        <v>15</v>
      </c>
      <c r="S2616" t="s">
        <v>36</v>
      </c>
    </row>
    <row r="2617" spans="1:19" x14ac:dyDescent="0.3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 t="str">
        <f t="shared" si="40"/>
        <v>31-60 days</v>
      </c>
      <c r="L2617">
        <v>38</v>
      </c>
      <c r="M2617">
        <v>1</v>
      </c>
      <c r="N2617">
        <v>1</v>
      </c>
      <c r="O2617" t="s">
        <v>25</v>
      </c>
      <c r="P2617" t="s">
        <v>35</v>
      </c>
      <c r="Q2617">
        <v>7.6</v>
      </c>
      <c r="R2617">
        <v>18</v>
      </c>
      <c r="S2617" t="s">
        <v>27</v>
      </c>
    </row>
    <row r="2618" spans="1:19" x14ac:dyDescent="0.3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 t="str">
        <f t="shared" si="40"/>
        <v>31-60 days</v>
      </c>
      <c r="L2618">
        <v>37</v>
      </c>
      <c r="M2618">
        <v>2</v>
      </c>
      <c r="N2618">
        <v>0</v>
      </c>
      <c r="O2618" t="s">
        <v>25</v>
      </c>
      <c r="P2618" t="s">
        <v>26</v>
      </c>
      <c r="Q2618">
        <v>7</v>
      </c>
      <c r="R2618">
        <v>18</v>
      </c>
      <c r="S2618" t="s">
        <v>36</v>
      </c>
    </row>
    <row r="2619" spans="1:19" x14ac:dyDescent="0.3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 t="str">
        <f t="shared" si="40"/>
        <v>31-60 days</v>
      </c>
      <c r="L2619">
        <v>57</v>
      </c>
      <c r="M2619">
        <v>2</v>
      </c>
      <c r="N2619">
        <v>2</v>
      </c>
      <c r="O2619" t="s">
        <v>25</v>
      </c>
      <c r="P2619" t="s">
        <v>26</v>
      </c>
      <c r="Q2619">
        <v>26.7</v>
      </c>
      <c r="R2619">
        <v>26</v>
      </c>
      <c r="S2619" t="s">
        <v>27</v>
      </c>
    </row>
    <row r="2620" spans="1:19" x14ac:dyDescent="0.3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 t="str">
        <f t="shared" si="40"/>
        <v>15-30 days</v>
      </c>
      <c r="L2620">
        <v>15</v>
      </c>
      <c r="M2620">
        <v>3</v>
      </c>
      <c r="N2620">
        <v>1</v>
      </c>
      <c r="O2620" t="s">
        <v>25</v>
      </c>
      <c r="P2620" t="s">
        <v>35</v>
      </c>
      <c r="Q2620">
        <v>7.9</v>
      </c>
      <c r="R2620">
        <v>28</v>
      </c>
      <c r="S2620" t="s">
        <v>27</v>
      </c>
    </row>
    <row r="2621" spans="1:19" x14ac:dyDescent="0.3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 t="str">
        <f t="shared" si="40"/>
        <v>31-60 days</v>
      </c>
      <c r="L2621">
        <v>48</v>
      </c>
      <c r="M2621">
        <v>2</v>
      </c>
      <c r="N2621">
        <v>0</v>
      </c>
      <c r="O2621" t="s">
        <v>25</v>
      </c>
      <c r="P2621" t="s">
        <v>50</v>
      </c>
      <c r="Q2621">
        <v>8.6999999999999993</v>
      </c>
      <c r="R2621">
        <v>17</v>
      </c>
      <c r="S2621" t="s">
        <v>36</v>
      </c>
    </row>
    <row r="2622" spans="1:19" x14ac:dyDescent="0.3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 t="str">
        <f t="shared" si="40"/>
        <v>31-60 days</v>
      </c>
      <c r="L2622">
        <v>57</v>
      </c>
      <c r="M2622">
        <v>1</v>
      </c>
      <c r="N2622">
        <v>0</v>
      </c>
      <c r="O2622" t="s">
        <v>25</v>
      </c>
      <c r="P2622" t="s">
        <v>35</v>
      </c>
      <c r="Q2622">
        <v>24.7</v>
      </c>
      <c r="R2622">
        <v>23</v>
      </c>
      <c r="S2622" t="s">
        <v>27</v>
      </c>
    </row>
    <row r="2623" spans="1:19" x14ac:dyDescent="0.3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 t="str">
        <f t="shared" si="40"/>
        <v>31-60 days</v>
      </c>
      <c r="L2623">
        <v>34</v>
      </c>
      <c r="M2623">
        <v>0</v>
      </c>
      <c r="N2623">
        <v>0</v>
      </c>
      <c r="O2623" t="s">
        <v>54</v>
      </c>
      <c r="P2623" t="s">
        <v>55</v>
      </c>
      <c r="Q2623">
        <v>20.399999999999999</v>
      </c>
      <c r="R2623">
        <v>12</v>
      </c>
      <c r="S2623" t="s">
        <v>36</v>
      </c>
    </row>
    <row r="2624" spans="1:19" x14ac:dyDescent="0.3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 t="str">
        <f t="shared" si="40"/>
        <v>31-60 days</v>
      </c>
      <c r="L2624">
        <v>51</v>
      </c>
      <c r="M2624">
        <v>1</v>
      </c>
      <c r="N2624">
        <v>0</v>
      </c>
      <c r="O2624" t="s">
        <v>25</v>
      </c>
      <c r="P2624" t="s">
        <v>35</v>
      </c>
      <c r="Q2624">
        <v>18.600000000000001</v>
      </c>
      <c r="R2624">
        <v>37</v>
      </c>
      <c r="S2624" t="s">
        <v>36</v>
      </c>
    </row>
    <row r="2625" spans="1:19" x14ac:dyDescent="0.3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 t="str">
        <f t="shared" si="40"/>
        <v>8-14 days</v>
      </c>
      <c r="L2625">
        <v>8</v>
      </c>
      <c r="M2625">
        <v>3</v>
      </c>
      <c r="N2625">
        <v>0</v>
      </c>
      <c r="O2625" t="s">
        <v>25</v>
      </c>
      <c r="P2625" t="s">
        <v>26</v>
      </c>
      <c r="Q2625">
        <v>10.3</v>
      </c>
      <c r="R2625">
        <v>32</v>
      </c>
      <c r="S2625" t="s">
        <v>36</v>
      </c>
    </row>
    <row r="2626" spans="1:19" x14ac:dyDescent="0.3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 t="str">
        <f t="shared" si="40"/>
        <v>31-60 days</v>
      </c>
      <c r="L2626">
        <v>53</v>
      </c>
      <c r="M2626">
        <v>5</v>
      </c>
      <c r="N2626">
        <v>0</v>
      </c>
      <c r="O2626" t="s">
        <v>54</v>
      </c>
      <c r="P2626" t="s">
        <v>55</v>
      </c>
      <c r="Q2626">
        <v>6.3</v>
      </c>
      <c r="R2626">
        <v>20</v>
      </c>
      <c r="S2626" t="s">
        <v>36</v>
      </c>
    </row>
    <row r="2627" spans="1:19" x14ac:dyDescent="0.3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 t="str">
        <f t="shared" ref="K2627:K2690" si="41">IF(L2627&lt;=7,"0-7 days",IF(L2627&lt;=14,"8-14 days",IF(L2627&lt;=30,"15-30 days","31-60 days")))</f>
        <v>31-60 days</v>
      </c>
      <c r="L2627">
        <v>34</v>
      </c>
      <c r="M2627">
        <v>4</v>
      </c>
      <c r="N2627">
        <v>0</v>
      </c>
      <c r="O2627" t="s">
        <v>25</v>
      </c>
      <c r="P2627" t="s">
        <v>50</v>
      </c>
      <c r="Q2627">
        <v>4.0999999999999996</v>
      </c>
      <c r="R2627">
        <v>22</v>
      </c>
      <c r="S2627" t="s">
        <v>71</v>
      </c>
    </row>
    <row r="2628" spans="1:19" x14ac:dyDescent="0.3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 t="str">
        <f t="shared" si="41"/>
        <v>8-14 days</v>
      </c>
      <c r="L2628">
        <v>13</v>
      </c>
      <c r="M2628">
        <v>1</v>
      </c>
      <c r="N2628">
        <v>0</v>
      </c>
      <c r="O2628" t="s">
        <v>25</v>
      </c>
      <c r="P2628" t="s">
        <v>26</v>
      </c>
      <c r="Q2628">
        <v>16.100000000000001</v>
      </c>
      <c r="R2628">
        <v>17</v>
      </c>
      <c r="S2628" t="s">
        <v>36</v>
      </c>
    </row>
    <row r="2629" spans="1:19" x14ac:dyDescent="0.3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 t="str">
        <f t="shared" si="41"/>
        <v>0-7 days</v>
      </c>
      <c r="L2629">
        <v>3</v>
      </c>
      <c r="M2629">
        <v>2</v>
      </c>
      <c r="N2629">
        <v>0</v>
      </c>
      <c r="O2629" t="s">
        <v>25</v>
      </c>
      <c r="P2629" t="s">
        <v>35</v>
      </c>
      <c r="Q2629">
        <v>23.4</v>
      </c>
      <c r="R2629">
        <v>14</v>
      </c>
      <c r="S2629" t="s">
        <v>36</v>
      </c>
    </row>
    <row r="2630" spans="1:19" x14ac:dyDescent="0.3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 t="str">
        <f t="shared" si="41"/>
        <v>31-60 days</v>
      </c>
      <c r="L2630">
        <v>43</v>
      </c>
      <c r="M2630">
        <v>4</v>
      </c>
      <c r="N2630">
        <v>1</v>
      </c>
      <c r="O2630" t="s">
        <v>25</v>
      </c>
      <c r="P2630" t="s">
        <v>35</v>
      </c>
      <c r="Q2630">
        <v>12.6</v>
      </c>
      <c r="S2630" t="s">
        <v>71</v>
      </c>
    </row>
    <row r="2631" spans="1:19" x14ac:dyDescent="0.3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 t="str">
        <f t="shared" si="41"/>
        <v>15-30 days</v>
      </c>
      <c r="L2631">
        <v>26</v>
      </c>
      <c r="M2631">
        <v>2</v>
      </c>
      <c r="N2631">
        <v>1</v>
      </c>
      <c r="O2631" t="s">
        <v>25</v>
      </c>
      <c r="P2631" t="s">
        <v>50</v>
      </c>
      <c r="Q2631">
        <v>3.6</v>
      </c>
      <c r="R2631">
        <v>14</v>
      </c>
      <c r="S2631" t="s">
        <v>36</v>
      </c>
    </row>
    <row r="2632" spans="1:19" x14ac:dyDescent="0.3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 t="str">
        <f t="shared" si="41"/>
        <v>15-30 days</v>
      </c>
      <c r="L2632">
        <v>18</v>
      </c>
      <c r="M2632">
        <v>4</v>
      </c>
      <c r="N2632">
        <v>1</v>
      </c>
      <c r="O2632" t="s">
        <v>54</v>
      </c>
      <c r="P2632" t="s">
        <v>55</v>
      </c>
      <c r="Q2632">
        <v>9.8000000000000007</v>
      </c>
      <c r="R2632">
        <v>35</v>
      </c>
      <c r="S2632" t="s">
        <v>36</v>
      </c>
    </row>
    <row r="2633" spans="1:19" x14ac:dyDescent="0.3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 t="str">
        <f t="shared" si="41"/>
        <v>15-30 days</v>
      </c>
      <c r="L2633">
        <v>23</v>
      </c>
      <c r="M2633">
        <v>3</v>
      </c>
      <c r="N2633">
        <v>1</v>
      </c>
      <c r="O2633" t="s">
        <v>25</v>
      </c>
      <c r="P2633" t="s">
        <v>35</v>
      </c>
      <c r="Q2633">
        <v>18.2</v>
      </c>
      <c r="R2633">
        <v>35</v>
      </c>
      <c r="S2633" t="s">
        <v>27</v>
      </c>
    </row>
    <row r="2634" spans="1:19" x14ac:dyDescent="0.3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 t="str">
        <f t="shared" si="41"/>
        <v>31-60 days</v>
      </c>
      <c r="L2634">
        <v>60</v>
      </c>
      <c r="M2634">
        <v>3</v>
      </c>
      <c r="N2634">
        <v>0</v>
      </c>
      <c r="O2634" t="s">
        <v>54</v>
      </c>
      <c r="P2634" t="s">
        <v>55</v>
      </c>
      <c r="Q2634">
        <v>4.4000000000000004</v>
      </c>
      <c r="R2634">
        <v>9</v>
      </c>
      <c r="S2634" t="s">
        <v>27</v>
      </c>
    </row>
    <row r="2635" spans="1:19" x14ac:dyDescent="0.3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 t="str">
        <f t="shared" si="41"/>
        <v>15-30 days</v>
      </c>
      <c r="L2635">
        <v>26</v>
      </c>
      <c r="M2635">
        <v>5</v>
      </c>
      <c r="N2635">
        <v>2</v>
      </c>
      <c r="O2635" t="s">
        <v>25</v>
      </c>
      <c r="P2635" t="s">
        <v>35</v>
      </c>
      <c r="Q2635">
        <v>4.5999999999999996</v>
      </c>
      <c r="R2635">
        <v>32</v>
      </c>
      <c r="S2635" t="s">
        <v>27</v>
      </c>
    </row>
    <row r="2636" spans="1:19" x14ac:dyDescent="0.3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 t="str">
        <f t="shared" si="41"/>
        <v>0-7 days</v>
      </c>
      <c r="L2636">
        <v>4</v>
      </c>
      <c r="M2636">
        <v>2</v>
      </c>
      <c r="N2636">
        <v>0</v>
      </c>
      <c r="O2636" t="s">
        <v>25</v>
      </c>
      <c r="P2636" t="s">
        <v>50</v>
      </c>
      <c r="Q2636">
        <v>12</v>
      </c>
      <c r="R2636">
        <v>11</v>
      </c>
      <c r="S2636" t="s">
        <v>27</v>
      </c>
    </row>
    <row r="2637" spans="1:19" x14ac:dyDescent="0.3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 t="str">
        <f t="shared" si="41"/>
        <v>15-30 days</v>
      </c>
      <c r="L2637">
        <v>17</v>
      </c>
      <c r="M2637">
        <v>3</v>
      </c>
      <c r="N2637">
        <v>1</v>
      </c>
      <c r="O2637" t="s">
        <v>25</v>
      </c>
      <c r="P2637" t="s">
        <v>35</v>
      </c>
      <c r="Q2637">
        <v>12.7</v>
      </c>
      <c r="R2637">
        <v>32</v>
      </c>
      <c r="S2637" t="s">
        <v>36</v>
      </c>
    </row>
    <row r="2638" spans="1:19" x14ac:dyDescent="0.3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 t="str">
        <f t="shared" si="41"/>
        <v>8-14 days</v>
      </c>
      <c r="L2638">
        <v>8</v>
      </c>
      <c r="M2638">
        <v>3</v>
      </c>
      <c r="N2638">
        <v>1</v>
      </c>
      <c r="O2638" t="s">
        <v>25</v>
      </c>
      <c r="P2638" t="s">
        <v>26</v>
      </c>
      <c r="Q2638">
        <v>11.6</v>
      </c>
      <c r="R2638">
        <v>25</v>
      </c>
      <c r="S2638" t="s">
        <v>36</v>
      </c>
    </row>
    <row r="2639" spans="1:19" x14ac:dyDescent="0.3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 t="str">
        <f t="shared" si="41"/>
        <v>31-60 days</v>
      </c>
      <c r="L2639">
        <v>41</v>
      </c>
      <c r="M2639">
        <v>3</v>
      </c>
      <c r="N2639">
        <v>1</v>
      </c>
      <c r="O2639" t="s">
        <v>25</v>
      </c>
      <c r="P2639" t="s">
        <v>26</v>
      </c>
      <c r="Q2639">
        <v>19.7</v>
      </c>
      <c r="R2639">
        <v>18</v>
      </c>
      <c r="S2639" t="s">
        <v>27</v>
      </c>
    </row>
    <row r="2640" spans="1:19" x14ac:dyDescent="0.3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 t="str">
        <f t="shared" si="41"/>
        <v>31-60 days</v>
      </c>
      <c r="L2640">
        <v>48</v>
      </c>
      <c r="M2640">
        <v>3</v>
      </c>
      <c r="N2640">
        <v>0</v>
      </c>
      <c r="O2640" t="s">
        <v>25</v>
      </c>
      <c r="P2640" t="s">
        <v>26</v>
      </c>
      <c r="Q2640">
        <v>8.6</v>
      </c>
      <c r="R2640">
        <v>29</v>
      </c>
      <c r="S2640" t="s">
        <v>27</v>
      </c>
    </row>
    <row r="2641" spans="1:19" x14ac:dyDescent="0.3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 t="str">
        <f t="shared" si="41"/>
        <v>31-60 days</v>
      </c>
      <c r="L2641">
        <v>51</v>
      </c>
      <c r="M2641">
        <v>3</v>
      </c>
      <c r="N2641">
        <v>0</v>
      </c>
      <c r="O2641" t="s">
        <v>25</v>
      </c>
      <c r="P2641" t="s">
        <v>50</v>
      </c>
      <c r="Q2641">
        <v>5.9</v>
      </c>
      <c r="R2641">
        <v>39</v>
      </c>
      <c r="S2641" t="s">
        <v>27</v>
      </c>
    </row>
    <row r="2642" spans="1:19" x14ac:dyDescent="0.3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 t="str">
        <f t="shared" si="41"/>
        <v>31-60 days</v>
      </c>
      <c r="L2642">
        <v>38</v>
      </c>
      <c r="M2642">
        <v>2</v>
      </c>
      <c r="N2642">
        <v>1</v>
      </c>
      <c r="O2642" t="s">
        <v>54</v>
      </c>
      <c r="P2642" t="s">
        <v>55</v>
      </c>
      <c r="Q2642">
        <v>15.3</v>
      </c>
      <c r="R2642">
        <v>3</v>
      </c>
      <c r="S2642" t="s">
        <v>27</v>
      </c>
    </row>
    <row r="2643" spans="1:19" x14ac:dyDescent="0.3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 t="str">
        <f t="shared" si="41"/>
        <v>31-60 days</v>
      </c>
      <c r="L2643">
        <v>46</v>
      </c>
      <c r="M2643">
        <v>3</v>
      </c>
      <c r="N2643">
        <v>1</v>
      </c>
      <c r="O2643" t="s">
        <v>25</v>
      </c>
      <c r="P2643" t="s">
        <v>35</v>
      </c>
      <c r="Q2643">
        <v>30.2</v>
      </c>
      <c r="R2643">
        <v>37</v>
      </c>
      <c r="S2643" t="s">
        <v>27</v>
      </c>
    </row>
    <row r="2644" spans="1:19" x14ac:dyDescent="0.3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 t="str">
        <f t="shared" si="41"/>
        <v>15-30 days</v>
      </c>
      <c r="L2644">
        <v>25</v>
      </c>
      <c r="M2644">
        <v>0</v>
      </c>
      <c r="N2644">
        <v>0</v>
      </c>
      <c r="O2644" t="s">
        <v>54</v>
      </c>
      <c r="P2644" t="s">
        <v>55</v>
      </c>
      <c r="Q2644">
        <v>6.2</v>
      </c>
      <c r="R2644">
        <v>15</v>
      </c>
      <c r="S2644" t="s">
        <v>36</v>
      </c>
    </row>
    <row r="2645" spans="1:19" x14ac:dyDescent="0.3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 t="str">
        <f t="shared" si="41"/>
        <v>31-60 days</v>
      </c>
      <c r="L2645">
        <v>38</v>
      </c>
      <c r="M2645">
        <v>3</v>
      </c>
      <c r="N2645">
        <v>0</v>
      </c>
      <c r="O2645" t="s">
        <v>25</v>
      </c>
      <c r="P2645" t="s">
        <v>26</v>
      </c>
      <c r="Q2645">
        <v>14</v>
      </c>
      <c r="R2645">
        <v>40</v>
      </c>
      <c r="S2645" t="s">
        <v>27</v>
      </c>
    </row>
    <row r="2646" spans="1:19" x14ac:dyDescent="0.3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 t="str">
        <f t="shared" si="41"/>
        <v>0-7 days</v>
      </c>
      <c r="L2646">
        <v>6</v>
      </c>
      <c r="M2646">
        <v>2</v>
      </c>
      <c r="N2646">
        <v>0</v>
      </c>
      <c r="O2646" t="s">
        <v>25</v>
      </c>
      <c r="P2646" t="s">
        <v>50</v>
      </c>
      <c r="R2646">
        <v>34</v>
      </c>
      <c r="S2646" t="s">
        <v>36</v>
      </c>
    </row>
    <row r="2647" spans="1:19" x14ac:dyDescent="0.3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 t="str">
        <f t="shared" si="41"/>
        <v>31-60 days</v>
      </c>
      <c r="L2647">
        <v>32</v>
      </c>
      <c r="M2647">
        <v>3</v>
      </c>
      <c r="N2647">
        <v>2</v>
      </c>
      <c r="O2647" t="s">
        <v>25</v>
      </c>
      <c r="P2647" t="s">
        <v>35</v>
      </c>
      <c r="Q2647">
        <v>10.8</v>
      </c>
      <c r="R2647">
        <v>12</v>
      </c>
      <c r="S2647" t="s">
        <v>27</v>
      </c>
    </row>
    <row r="2648" spans="1:19" x14ac:dyDescent="0.3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 t="str">
        <f t="shared" si="41"/>
        <v>31-60 days</v>
      </c>
      <c r="L2648">
        <v>34</v>
      </c>
      <c r="M2648">
        <v>0</v>
      </c>
      <c r="N2648">
        <v>0</v>
      </c>
      <c r="O2648" t="s">
        <v>25</v>
      </c>
      <c r="P2648" t="s">
        <v>50</v>
      </c>
      <c r="Q2648">
        <v>3.7</v>
      </c>
      <c r="R2648">
        <v>18</v>
      </c>
      <c r="S2648" t="s">
        <v>27</v>
      </c>
    </row>
    <row r="2649" spans="1:19" x14ac:dyDescent="0.3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 t="str">
        <f t="shared" si="41"/>
        <v>0-7 days</v>
      </c>
      <c r="L2649">
        <v>1</v>
      </c>
      <c r="M2649">
        <v>7</v>
      </c>
      <c r="N2649">
        <v>2</v>
      </c>
      <c r="O2649" t="s">
        <v>54</v>
      </c>
      <c r="P2649" t="s">
        <v>55</v>
      </c>
      <c r="Q2649">
        <v>11</v>
      </c>
      <c r="R2649">
        <v>29</v>
      </c>
      <c r="S2649" t="s">
        <v>27</v>
      </c>
    </row>
    <row r="2650" spans="1:19" x14ac:dyDescent="0.3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 t="str">
        <f t="shared" si="41"/>
        <v>31-60 days</v>
      </c>
      <c r="L2650">
        <v>33</v>
      </c>
      <c r="M2650">
        <v>2</v>
      </c>
      <c r="N2650">
        <v>0</v>
      </c>
      <c r="O2650" t="s">
        <v>25</v>
      </c>
      <c r="P2650" t="s">
        <v>50</v>
      </c>
      <c r="Q2650">
        <v>12.2</v>
      </c>
      <c r="R2650">
        <v>34</v>
      </c>
      <c r="S2650" t="s">
        <v>36</v>
      </c>
    </row>
    <row r="2651" spans="1:19" x14ac:dyDescent="0.3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 t="str">
        <f t="shared" si="41"/>
        <v>31-60 days</v>
      </c>
      <c r="L2651">
        <v>44</v>
      </c>
      <c r="M2651">
        <v>4</v>
      </c>
      <c r="N2651">
        <v>1</v>
      </c>
      <c r="O2651" t="s">
        <v>25</v>
      </c>
      <c r="P2651" t="s">
        <v>35</v>
      </c>
      <c r="Q2651">
        <v>7.3</v>
      </c>
      <c r="R2651">
        <v>29</v>
      </c>
      <c r="S2651" t="s">
        <v>36</v>
      </c>
    </row>
    <row r="2652" spans="1:19" x14ac:dyDescent="0.3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 t="str">
        <f t="shared" si="41"/>
        <v>15-30 days</v>
      </c>
      <c r="L2652">
        <v>22</v>
      </c>
      <c r="M2652">
        <v>4</v>
      </c>
      <c r="N2652">
        <v>0</v>
      </c>
      <c r="O2652" t="s">
        <v>54</v>
      </c>
      <c r="P2652" t="s">
        <v>55</v>
      </c>
      <c r="Q2652">
        <v>7.2</v>
      </c>
      <c r="R2652">
        <v>28</v>
      </c>
      <c r="S2652" t="s">
        <v>36</v>
      </c>
    </row>
    <row r="2653" spans="1:19" x14ac:dyDescent="0.3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 t="str">
        <f t="shared" si="41"/>
        <v>31-60 days</v>
      </c>
      <c r="L2653">
        <v>33</v>
      </c>
      <c r="M2653">
        <v>2</v>
      </c>
      <c r="N2653">
        <v>0</v>
      </c>
      <c r="O2653" t="s">
        <v>25</v>
      </c>
      <c r="P2653" t="s">
        <v>35</v>
      </c>
      <c r="Q2653">
        <v>2.9</v>
      </c>
      <c r="R2653">
        <v>17</v>
      </c>
      <c r="S2653" t="s">
        <v>36</v>
      </c>
    </row>
    <row r="2654" spans="1:19" x14ac:dyDescent="0.3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 t="str">
        <f t="shared" si="41"/>
        <v>15-30 days</v>
      </c>
      <c r="L2654">
        <v>17</v>
      </c>
      <c r="M2654">
        <v>3</v>
      </c>
      <c r="N2654">
        <v>0</v>
      </c>
      <c r="O2654" t="s">
        <v>25</v>
      </c>
      <c r="P2654" t="s">
        <v>26</v>
      </c>
      <c r="Q2654">
        <v>5.2</v>
      </c>
      <c r="R2654">
        <v>24</v>
      </c>
      <c r="S2654" t="s">
        <v>36</v>
      </c>
    </row>
    <row r="2655" spans="1:19" x14ac:dyDescent="0.3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 t="str">
        <f t="shared" si="41"/>
        <v>15-30 days</v>
      </c>
      <c r="L2655">
        <v>16</v>
      </c>
      <c r="M2655">
        <v>1</v>
      </c>
      <c r="N2655">
        <v>1</v>
      </c>
      <c r="O2655" t="s">
        <v>25</v>
      </c>
      <c r="P2655" t="s">
        <v>50</v>
      </c>
      <c r="Q2655">
        <v>5.7</v>
      </c>
      <c r="R2655">
        <v>23</v>
      </c>
      <c r="S2655" t="s">
        <v>27</v>
      </c>
    </row>
    <row r="2656" spans="1:19" x14ac:dyDescent="0.3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 t="str">
        <f t="shared" si="41"/>
        <v>0-7 days</v>
      </c>
      <c r="L2656">
        <v>7</v>
      </c>
      <c r="M2656">
        <v>2</v>
      </c>
      <c r="N2656">
        <v>1</v>
      </c>
      <c r="O2656" t="s">
        <v>25</v>
      </c>
      <c r="P2656" t="s">
        <v>35</v>
      </c>
      <c r="Q2656">
        <v>4.5999999999999996</v>
      </c>
      <c r="R2656">
        <v>7</v>
      </c>
      <c r="S2656" t="s">
        <v>36</v>
      </c>
    </row>
    <row r="2657" spans="1:19" x14ac:dyDescent="0.3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 t="str">
        <f t="shared" si="41"/>
        <v>15-30 days</v>
      </c>
      <c r="L2657">
        <v>19</v>
      </c>
      <c r="M2657">
        <v>2</v>
      </c>
      <c r="N2657">
        <v>0</v>
      </c>
      <c r="O2657" t="s">
        <v>25</v>
      </c>
      <c r="P2657" t="s">
        <v>35</v>
      </c>
      <c r="Q2657">
        <v>8.1999999999999993</v>
      </c>
      <c r="S2657" t="s">
        <v>36</v>
      </c>
    </row>
    <row r="2658" spans="1:19" x14ac:dyDescent="0.3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 t="str">
        <f t="shared" si="41"/>
        <v>31-60 days</v>
      </c>
      <c r="L2658">
        <v>48</v>
      </c>
      <c r="M2658">
        <v>2</v>
      </c>
      <c r="N2658">
        <v>2</v>
      </c>
      <c r="O2658" t="s">
        <v>25</v>
      </c>
      <c r="P2658" t="s">
        <v>35</v>
      </c>
      <c r="Q2658">
        <v>16.8</v>
      </c>
      <c r="R2658">
        <v>20</v>
      </c>
      <c r="S2658" t="s">
        <v>27</v>
      </c>
    </row>
    <row r="2659" spans="1:19" x14ac:dyDescent="0.3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 t="str">
        <f t="shared" si="41"/>
        <v>31-60 days</v>
      </c>
      <c r="L2659">
        <v>57</v>
      </c>
      <c r="M2659">
        <v>4</v>
      </c>
      <c r="N2659">
        <v>0</v>
      </c>
      <c r="O2659" t="s">
        <v>25</v>
      </c>
      <c r="P2659" t="s">
        <v>35</v>
      </c>
      <c r="Q2659">
        <v>5.6</v>
      </c>
      <c r="R2659">
        <v>39</v>
      </c>
      <c r="S2659" t="s">
        <v>36</v>
      </c>
    </row>
    <row r="2660" spans="1:19" x14ac:dyDescent="0.3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 t="str">
        <f t="shared" si="41"/>
        <v>31-60 days</v>
      </c>
      <c r="L2660">
        <v>38</v>
      </c>
      <c r="M2660">
        <v>3</v>
      </c>
      <c r="N2660">
        <v>1</v>
      </c>
      <c r="O2660" t="s">
        <v>25</v>
      </c>
      <c r="P2660" t="s">
        <v>50</v>
      </c>
      <c r="Q2660">
        <v>22.3</v>
      </c>
      <c r="R2660">
        <v>37</v>
      </c>
      <c r="S2660" t="s">
        <v>27</v>
      </c>
    </row>
    <row r="2661" spans="1:19" x14ac:dyDescent="0.3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 t="str">
        <f t="shared" si="41"/>
        <v>31-60 days</v>
      </c>
      <c r="L2661">
        <v>38</v>
      </c>
      <c r="M2661">
        <v>3</v>
      </c>
      <c r="N2661">
        <v>0</v>
      </c>
      <c r="O2661" t="s">
        <v>25</v>
      </c>
      <c r="P2661" t="s">
        <v>35</v>
      </c>
      <c r="Q2661">
        <v>11.8</v>
      </c>
      <c r="R2661">
        <v>26</v>
      </c>
      <c r="S2661" t="s">
        <v>36</v>
      </c>
    </row>
    <row r="2662" spans="1:19" x14ac:dyDescent="0.3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 t="str">
        <f t="shared" si="41"/>
        <v>31-60 days</v>
      </c>
      <c r="L2662">
        <v>37</v>
      </c>
      <c r="M2662">
        <v>4</v>
      </c>
      <c r="N2662">
        <v>0</v>
      </c>
      <c r="O2662" t="s">
        <v>25</v>
      </c>
      <c r="P2662" t="s">
        <v>35</v>
      </c>
      <c r="Q2662">
        <v>36.5</v>
      </c>
      <c r="R2662">
        <v>36</v>
      </c>
      <c r="S2662" t="s">
        <v>27</v>
      </c>
    </row>
    <row r="2663" spans="1:19" x14ac:dyDescent="0.3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 t="str">
        <f t="shared" si="41"/>
        <v>15-30 days</v>
      </c>
      <c r="L2663">
        <v>29</v>
      </c>
      <c r="M2663">
        <v>1</v>
      </c>
      <c r="N2663">
        <v>0</v>
      </c>
      <c r="O2663" t="s">
        <v>25</v>
      </c>
      <c r="P2663" t="s">
        <v>35</v>
      </c>
      <c r="Q2663">
        <v>14.1</v>
      </c>
      <c r="R2663">
        <v>31</v>
      </c>
      <c r="S2663" t="s">
        <v>27</v>
      </c>
    </row>
    <row r="2664" spans="1:19" x14ac:dyDescent="0.3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 t="str">
        <f t="shared" si="41"/>
        <v>15-30 days</v>
      </c>
      <c r="L2664">
        <v>25</v>
      </c>
      <c r="M2664">
        <v>4</v>
      </c>
      <c r="N2664">
        <v>2</v>
      </c>
      <c r="O2664" t="s">
        <v>25</v>
      </c>
      <c r="P2664" t="s">
        <v>26</v>
      </c>
      <c r="Q2664">
        <v>2.5</v>
      </c>
      <c r="R2664">
        <v>24</v>
      </c>
      <c r="S2664" t="s">
        <v>27</v>
      </c>
    </row>
    <row r="2665" spans="1:19" x14ac:dyDescent="0.3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 t="str">
        <f t="shared" si="41"/>
        <v>31-60 days</v>
      </c>
      <c r="L2665">
        <v>37</v>
      </c>
      <c r="M2665">
        <v>2</v>
      </c>
      <c r="N2665">
        <v>1</v>
      </c>
      <c r="O2665" t="s">
        <v>54</v>
      </c>
      <c r="P2665" t="s">
        <v>55</v>
      </c>
      <c r="Q2665">
        <v>19.899999999999999</v>
      </c>
      <c r="R2665">
        <v>8</v>
      </c>
      <c r="S2665" t="s">
        <v>27</v>
      </c>
    </row>
    <row r="2666" spans="1:19" x14ac:dyDescent="0.3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 t="str">
        <f t="shared" si="41"/>
        <v>31-60 days</v>
      </c>
      <c r="L2666">
        <v>47</v>
      </c>
      <c r="M2666">
        <v>4</v>
      </c>
      <c r="N2666">
        <v>0</v>
      </c>
      <c r="O2666" t="s">
        <v>54</v>
      </c>
      <c r="P2666" t="s">
        <v>55</v>
      </c>
      <c r="R2666">
        <v>22</v>
      </c>
      <c r="S2666" t="s">
        <v>36</v>
      </c>
    </row>
    <row r="2667" spans="1:19" x14ac:dyDescent="0.3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 t="str">
        <f t="shared" si="41"/>
        <v>15-30 days</v>
      </c>
      <c r="L2667">
        <v>25</v>
      </c>
      <c r="M2667">
        <v>4</v>
      </c>
      <c r="N2667">
        <v>2</v>
      </c>
      <c r="O2667" t="s">
        <v>25</v>
      </c>
      <c r="P2667" t="s">
        <v>35</v>
      </c>
      <c r="Q2667">
        <v>2.1</v>
      </c>
      <c r="R2667">
        <v>20</v>
      </c>
      <c r="S2667" t="s">
        <v>27</v>
      </c>
    </row>
    <row r="2668" spans="1:19" x14ac:dyDescent="0.3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 t="str">
        <f t="shared" si="41"/>
        <v>31-60 days</v>
      </c>
      <c r="L2668">
        <v>34</v>
      </c>
      <c r="M2668">
        <v>1</v>
      </c>
      <c r="N2668">
        <v>0</v>
      </c>
      <c r="O2668" t="s">
        <v>25</v>
      </c>
      <c r="P2668" t="s">
        <v>26</v>
      </c>
      <c r="Q2668">
        <v>16.8</v>
      </c>
      <c r="R2668">
        <v>23</v>
      </c>
      <c r="S2668" t="s">
        <v>27</v>
      </c>
    </row>
    <row r="2669" spans="1:19" x14ac:dyDescent="0.3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 t="str">
        <f t="shared" si="41"/>
        <v>15-30 days</v>
      </c>
      <c r="L2669">
        <v>28</v>
      </c>
      <c r="M2669">
        <v>3</v>
      </c>
      <c r="N2669">
        <v>1</v>
      </c>
      <c r="O2669" t="s">
        <v>54</v>
      </c>
      <c r="P2669" t="s">
        <v>55</v>
      </c>
      <c r="Q2669">
        <v>28</v>
      </c>
      <c r="R2669">
        <v>21</v>
      </c>
      <c r="S2669" t="s">
        <v>27</v>
      </c>
    </row>
    <row r="2670" spans="1:19" x14ac:dyDescent="0.3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 t="str">
        <f t="shared" si="41"/>
        <v>15-30 days</v>
      </c>
      <c r="L2670">
        <v>17</v>
      </c>
      <c r="M2670">
        <v>1</v>
      </c>
      <c r="N2670">
        <v>0</v>
      </c>
      <c r="O2670" t="s">
        <v>25</v>
      </c>
      <c r="P2670" t="s">
        <v>35</v>
      </c>
      <c r="Q2670">
        <v>28</v>
      </c>
      <c r="R2670">
        <v>36</v>
      </c>
      <c r="S2670" t="s">
        <v>36</v>
      </c>
    </row>
    <row r="2671" spans="1:19" x14ac:dyDescent="0.3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 t="str">
        <f t="shared" si="41"/>
        <v>15-30 days</v>
      </c>
      <c r="L2671">
        <v>17</v>
      </c>
      <c r="M2671">
        <v>2</v>
      </c>
      <c r="N2671">
        <v>0</v>
      </c>
      <c r="O2671" t="s">
        <v>25</v>
      </c>
      <c r="P2671" t="s">
        <v>35</v>
      </c>
      <c r="Q2671">
        <v>11.1</v>
      </c>
      <c r="R2671">
        <v>37</v>
      </c>
      <c r="S2671" t="s">
        <v>27</v>
      </c>
    </row>
    <row r="2672" spans="1:19" x14ac:dyDescent="0.3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 t="str">
        <f t="shared" si="41"/>
        <v>0-7 days</v>
      </c>
      <c r="L2672">
        <v>4</v>
      </c>
      <c r="M2672">
        <v>2</v>
      </c>
      <c r="N2672">
        <v>0</v>
      </c>
      <c r="O2672" t="s">
        <v>25</v>
      </c>
      <c r="P2672" t="s">
        <v>50</v>
      </c>
      <c r="Q2672">
        <v>7.1</v>
      </c>
      <c r="R2672">
        <v>19</v>
      </c>
      <c r="S2672" t="s">
        <v>36</v>
      </c>
    </row>
    <row r="2673" spans="1:19" x14ac:dyDescent="0.3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 t="str">
        <f t="shared" si="41"/>
        <v>15-30 days</v>
      </c>
      <c r="L2673">
        <v>26</v>
      </c>
      <c r="M2673">
        <v>2</v>
      </c>
      <c r="N2673">
        <v>0</v>
      </c>
      <c r="O2673" t="s">
        <v>25</v>
      </c>
      <c r="P2673" t="s">
        <v>35</v>
      </c>
      <c r="Q2673">
        <v>8.4</v>
      </c>
      <c r="R2673">
        <v>9</v>
      </c>
      <c r="S2673" t="s">
        <v>27</v>
      </c>
    </row>
    <row r="2674" spans="1:19" x14ac:dyDescent="0.3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 t="str">
        <f t="shared" si="41"/>
        <v>31-60 days</v>
      </c>
      <c r="L2674">
        <v>43</v>
      </c>
      <c r="M2674">
        <v>2</v>
      </c>
      <c r="N2674">
        <v>0</v>
      </c>
      <c r="O2674" t="s">
        <v>54</v>
      </c>
      <c r="P2674" t="s">
        <v>55</v>
      </c>
      <c r="Q2674">
        <v>8.5</v>
      </c>
      <c r="R2674">
        <v>13</v>
      </c>
      <c r="S2674" t="s">
        <v>36</v>
      </c>
    </row>
    <row r="2675" spans="1:19" x14ac:dyDescent="0.3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 t="str">
        <f t="shared" si="41"/>
        <v>31-60 days</v>
      </c>
      <c r="L2675">
        <v>41</v>
      </c>
      <c r="M2675">
        <v>3</v>
      </c>
      <c r="N2675">
        <v>1</v>
      </c>
      <c r="O2675" t="s">
        <v>54</v>
      </c>
      <c r="P2675" t="s">
        <v>55</v>
      </c>
      <c r="Q2675">
        <v>9.6</v>
      </c>
      <c r="R2675">
        <v>38</v>
      </c>
      <c r="S2675" t="s">
        <v>27</v>
      </c>
    </row>
    <row r="2676" spans="1:19" x14ac:dyDescent="0.3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 t="str">
        <f t="shared" si="41"/>
        <v>31-60 days</v>
      </c>
      <c r="L2676">
        <v>60</v>
      </c>
      <c r="M2676">
        <v>3</v>
      </c>
      <c r="N2676">
        <v>0</v>
      </c>
      <c r="O2676" t="s">
        <v>25</v>
      </c>
      <c r="P2676" t="s">
        <v>35</v>
      </c>
      <c r="Q2676">
        <v>5</v>
      </c>
      <c r="R2676">
        <v>35</v>
      </c>
      <c r="S2676" t="s">
        <v>27</v>
      </c>
    </row>
    <row r="2677" spans="1:19" x14ac:dyDescent="0.3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 t="str">
        <f t="shared" si="41"/>
        <v>0-7 days</v>
      </c>
      <c r="L2677">
        <v>2</v>
      </c>
      <c r="M2677">
        <v>2</v>
      </c>
      <c r="N2677">
        <v>0</v>
      </c>
      <c r="O2677" t="s">
        <v>25</v>
      </c>
      <c r="P2677" t="s">
        <v>50</v>
      </c>
      <c r="Q2677">
        <v>9.3000000000000007</v>
      </c>
      <c r="R2677">
        <v>11</v>
      </c>
      <c r="S2677" t="s">
        <v>71</v>
      </c>
    </row>
    <row r="2678" spans="1:19" x14ac:dyDescent="0.3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 t="str">
        <f t="shared" si="41"/>
        <v>31-60 days</v>
      </c>
      <c r="L2678">
        <v>46</v>
      </c>
      <c r="M2678">
        <v>1</v>
      </c>
      <c r="N2678">
        <v>1</v>
      </c>
      <c r="O2678" t="s">
        <v>54</v>
      </c>
      <c r="P2678" t="s">
        <v>55</v>
      </c>
      <c r="Q2678">
        <v>6.3</v>
      </c>
      <c r="R2678">
        <v>8</v>
      </c>
      <c r="S2678" t="s">
        <v>36</v>
      </c>
    </row>
    <row r="2679" spans="1:19" x14ac:dyDescent="0.3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 t="str">
        <f t="shared" si="41"/>
        <v>31-60 days</v>
      </c>
      <c r="L2679">
        <v>48</v>
      </c>
      <c r="M2679">
        <v>1</v>
      </c>
      <c r="N2679">
        <v>0</v>
      </c>
      <c r="O2679" t="s">
        <v>25</v>
      </c>
      <c r="P2679" t="s">
        <v>35</v>
      </c>
      <c r="Q2679">
        <v>4.5999999999999996</v>
      </c>
      <c r="R2679">
        <v>17</v>
      </c>
      <c r="S2679" t="s">
        <v>27</v>
      </c>
    </row>
    <row r="2680" spans="1:19" x14ac:dyDescent="0.3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 t="str">
        <f t="shared" si="41"/>
        <v>15-30 days</v>
      </c>
      <c r="L2680">
        <v>26</v>
      </c>
      <c r="M2680">
        <v>2</v>
      </c>
      <c r="N2680">
        <v>0</v>
      </c>
      <c r="O2680" t="s">
        <v>54</v>
      </c>
      <c r="P2680" t="s">
        <v>55</v>
      </c>
      <c r="Q2680">
        <v>22.8</v>
      </c>
      <c r="R2680">
        <v>44</v>
      </c>
      <c r="S2680" t="s">
        <v>71</v>
      </c>
    </row>
    <row r="2681" spans="1:19" x14ac:dyDescent="0.3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 t="str">
        <f t="shared" si="41"/>
        <v>15-30 days</v>
      </c>
      <c r="L2681">
        <v>17</v>
      </c>
      <c r="M2681">
        <v>2</v>
      </c>
      <c r="N2681">
        <v>0</v>
      </c>
      <c r="O2681" t="s">
        <v>25</v>
      </c>
      <c r="P2681" t="s">
        <v>35</v>
      </c>
      <c r="Q2681">
        <v>12.6</v>
      </c>
      <c r="R2681">
        <v>29</v>
      </c>
      <c r="S2681" t="s">
        <v>36</v>
      </c>
    </row>
    <row r="2682" spans="1:19" x14ac:dyDescent="0.3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 t="str">
        <f t="shared" si="41"/>
        <v>15-30 days</v>
      </c>
      <c r="L2682">
        <v>21</v>
      </c>
      <c r="M2682">
        <v>2</v>
      </c>
      <c r="N2682">
        <v>0</v>
      </c>
      <c r="O2682" t="s">
        <v>25</v>
      </c>
      <c r="P2682" t="s">
        <v>26</v>
      </c>
      <c r="Q2682">
        <v>12.5</v>
      </c>
      <c r="R2682">
        <v>21</v>
      </c>
      <c r="S2682" t="s">
        <v>36</v>
      </c>
    </row>
    <row r="2683" spans="1:19" x14ac:dyDescent="0.3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 t="str">
        <f t="shared" si="41"/>
        <v>31-60 days</v>
      </c>
      <c r="L2683">
        <v>41</v>
      </c>
      <c r="M2683">
        <v>1</v>
      </c>
      <c r="N2683">
        <v>0</v>
      </c>
      <c r="O2683" t="s">
        <v>54</v>
      </c>
      <c r="P2683" t="s">
        <v>55</v>
      </c>
      <c r="Q2683">
        <v>9.6999999999999993</v>
      </c>
      <c r="R2683">
        <v>23</v>
      </c>
      <c r="S2683" t="s">
        <v>27</v>
      </c>
    </row>
    <row r="2684" spans="1:19" x14ac:dyDescent="0.3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 t="str">
        <f t="shared" si="41"/>
        <v>31-60 days</v>
      </c>
      <c r="L2684">
        <v>52</v>
      </c>
      <c r="M2684">
        <v>5</v>
      </c>
      <c r="N2684">
        <v>0</v>
      </c>
      <c r="O2684" t="s">
        <v>25</v>
      </c>
      <c r="P2684" t="s">
        <v>26</v>
      </c>
      <c r="Q2684">
        <v>5</v>
      </c>
      <c r="R2684">
        <v>3</v>
      </c>
      <c r="S2684" t="s">
        <v>27</v>
      </c>
    </row>
    <row r="2685" spans="1:19" x14ac:dyDescent="0.3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 t="str">
        <f t="shared" si="41"/>
        <v>31-60 days</v>
      </c>
      <c r="L2685">
        <v>39</v>
      </c>
      <c r="M2685">
        <v>4</v>
      </c>
      <c r="N2685">
        <v>0</v>
      </c>
      <c r="O2685" t="s">
        <v>25</v>
      </c>
      <c r="P2685" t="s">
        <v>26</v>
      </c>
      <c r="Q2685">
        <v>9.1</v>
      </c>
      <c r="R2685">
        <v>21</v>
      </c>
      <c r="S2685" t="s">
        <v>36</v>
      </c>
    </row>
    <row r="2686" spans="1:19" x14ac:dyDescent="0.3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 t="str">
        <f t="shared" si="41"/>
        <v>31-60 days</v>
      </c>
      <c r="L2686">
        <v>31</v>
      </c>
      <c r="M2686">
        <v>2</v>
      </c>
      <c r="N2686">
        <v>0</v>
      </c>
      <c r="O2686" t="s">
        <v>25</v>
      </c>
      <c r="P2686" t="s">
        <v>35</v>
      </c>
      <c r="Q2686">
        <v>27.4</v>
      </c>
      <c r="R2686">
        <v>38</v>
      </c>
      <c r="S2686" t="s">
        <v>27</v>
      </c>
    </row>
    <row r="2687" spans="1:19" x14ac:dyDescent="0.3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 t="str">
        <f t="shared" si="41"/>
        <v>31-60 days</v>
      </c>
      <c r="L2687">
        <v>39</v>
      </c>
      <c r="M2687">
        <v>2</v>
      </c>
      <c r="N2687">
        <v>1</v>
      </c>
      <c r="O2687" t="s">
        <v>25</v>
      </c>
      <c r="P2687" t="s">
        <v>26</v>
      </c>
      <c r="Q2687">
        <v>12.7</v>
      </c>
      <c r="R2687">
        <v>20</v>
      </c>
      <c r="S2687" t="s">
        <v>27</v>
      </c>
    </row>
    <row r="2688" spans="1:19" x14ac:dyDescent="0.3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 t="str">
        <f t="shared" si="41"/>
        <v>0-7 days</v>
      </c>
      <c r="L2688">
        <v>4</v>
      </c>
      <c r="M2688">
        <v>5</v>
      </c>
      <c r="N2688">
        <v>0</v>
      </c>
      <c r="O2688" t="s">
        <v>25</v>
      </c>
      <c r="P2688" t="s">
        <v>35</v>
      </c>
      <c r="Q2688">
        <v>8.1999999999999993</v>
      </c>
      <c r="R2688">
        <v>21</v>
      </c>
      <c r="S2688" t="s">
        <v>36</v>
      </c>
    </row>
    <row r="2689" spans="1:19" x14ac:dyDescent="0.3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 t="str">
        <f t="shared" si="41"/>
        <v>31-60 days</v>
      </c>
      <c r="L2689">
        <v>37</v>
      </c>
      <c r="M2689">
        <v>5</v>
      </c>
      <c r="N2689">
        <v>0</v>
      </c>
      <c r="O2689" t="s">
        <v>25</v>
      </c>
      <c r="P2689" t="s">
        <v>35</v>
      </c>
      <c r="Q2689">
        <v>11.5</v>
      </c>
      <c r="R2689">
        <v>28</v>
      </c>
      <c r="S2689" t="s">
        <v>27</v>
      </c>
    </row>
    <row r="2690" spans="1:19" x14ac:dyDescent="0.3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 t="str">
        <f t="shared" si="41"/>
        <v>0-7 days</v>
      </c>
      <c r="L2690">
        <v>2</v>
      </c>
      <c r="M2690">
        <v>6</v>
      </c>
      <c r="N2690">
        <v>2</v>
      </c>
      <c r="O2690" t="s">
        <v>25</v>
      </c>
      <c r="P2690" t="s">
        <v>50</v>
      </c>
      <c r="Q2690">
        <v>7</v>
      </c>
      <c r="R2690">
        <v>12</v>
      </c>
      <c r="S2690" t="s">
        <v>36</v>
      </c>
    </row>
    <row r="2691" spans="1:19" x14ac:dyDescent="0.3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 t="str">
        <f t="shared" ref="K2691:K2754" si="42">IF(L2691&lt;=7,"0-7 days",IF(L2691&lt;=14,"8-14 days",IF(L2691&lt;=30,"15-30 days","31-60 days")))</f>
        <v>31-60 days</v>
      </c>
      <c r="L2691">
        <v>58</v>
      </c>
      <c r="M2691">
        <v>3</v>
      </c>
      <c r="N2691">
        <v>0</v>
      </c>
      <c r="O2691" t="s">
        <v>54</v>
      </c>
      <c r="P2691" t="s">
        <v>55</v>
      </c>
      <c r="Q2691">
        <v>6.8</v>
      </c>
      <c r="R2691">
        <v>28</v>
      </c>
      <c r="S2691" t="s">
        <v>27</v>
      </c>
    </row>
    <row r="2692" spans="1:19" x14ac:dyDescent="0.3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 t="str">
        <f t="shared" si="42"/>
        <v>31-60 days</v>
      </c>
      <c r="L2692">
        <v>54</v>
      </c>
      <c r="M2692">
        <v>2</v>
      </c>
      <c r="N2692">
        <v>0</v>
      </c>
      <c r="O2692" t="s">
        <v>54</v>
      </c>
      <c r="P2692" t="s">
        <v>55</v>
      </c>
      <c r="Q2692">
        <v>17.3</v>
      </c>
      <c r="R2692">
        <v>15</v>
      </c>
      <c r="S2692" t="s">
        <v>71</v>
      </c>
    </row>
    <row r="2693" spans="1:19" x14ac:dyDescent="0.3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 t="str">
        <f t="shared" si="42"/>
        <v>31-60 days</v>
      </c>
      <c r="L2693">
        <v>31</v>
      </c>
      <c r="M2693">
        <v>5</v>
      </c>
      <c r="N2693">
        <v>1</v>
      </c>
      <c r="O2693" t="s">
        <v>25</v>
      </c>
      <c r="P2693" t="s">
        <v>26</v>
      </c>
      <c r="Q2693">
        <v>9.8000000000000007</v>
      </c>
      <c r="R2693">
        <v>19</v>
      </c>
      <c r="S2693" t="s">
        <v>27</v>
      </c>
    </row>
    <row r="2694" spans="1:19" x14ac:dyDescent="0.3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 t="str">
        <f t="shared" si="42"/>
        <v>15-30 days</v>
      </c>
      <c r="L2694">
        <v>22</v>
      </c>
      <c r="M2694">
        <v>5</v>
      </c>
      <c r="N2694">
        <v>1</v>
      </c>
      <c r="O2694" t="s">
        <v>54</v>
      </c>
      <c r="P2694" t="s">
        <v>55</v>
      </c>
      <c r="Q2694">
        <v>13</v>
      </c>
      <c r="R2694">
        <v>20</v>
      </c>
      <c r="S2694" t="s">
        <v>36</v>
      </c>
    </row>
    <row r="2695" spans="1:19" x14ac:dyDescent="0.3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 t="str">
        <f t="shared" si="42"/>
        <v>31-60 days</v>
      </c>
      <c r="L2695">
        <v>44</v>
      </c>
      <c r="M2695">
        <v>3</v>
      </c>
      <c r="N2695">
        <v>0</v>
      </c>
      <c r="O2695" t="s">
        <v>25</v>
      </c>
      <c r="P2695" t="s">
        <v>35</v>
      </c>
      <c r="Q2695">
        <v>9.4</v>
      </c>
      <c r="R2695">
        <v>20</v>
      </c>
      <c r="S2695" t="s">
        <v>27</v>
      </c>
    </row>
    <row r="2696" spans="1:19" x14ac:dyDescent="0.3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 t="str">
        <f t="shared" si="42"/>
        <v>31-60 days</v>
      </c>
      <c r="L2696">
        <v>38</v>
      </c>
      <c r="M2696">
        <v>4</v>
      </c>
      <c r="N2696">
        <v>0</v>
      </c>
      <c r="O2696" t="s">
        <v>54</v>
      </c>
      <c r="P2696" t="s">
        <v>55</v>
      </c>
      <c r="Q2696">
        <v>14.9</v>
      </c>
      <c r="R2696">
        <v>25</v>
      </c>
      <c r="S2696" t="s">
        <v>71</v>
      </c>
    </row>
    <row r="2697" spans="1:19" x14ac:dyDescent="0.3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 t="str">
        <f t="shared" si="42"/>
        <v>31-60 days</v>
      </c>
      <c r="L2697">
        <v>43</v>
      </c>
      <c r="M2697">
        <v>4</v>
      </c>
      <c r="N2697">
        <v>3</v>
      </c>
      <c r="O2697" t="s">
        <v>25</v>
      </c>
      <c r="P2697" t="s">
        <v>50</v>
      </c>
      <c r="Q2697">
        <v>6.7</v>
      </c>
      <c r="R2697">
        <v>23</v>
      </c>
      <c r="S2697" t="s">
        <v>27</v>
      </c>
    </row>
    <row r="2698" spans="1:19" x14ac:dyDescent="0.3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 t="str">
        <f t="shared" si="42"/>
        <v>31-60 days</v>
      </c>
      <c r="L2698">
        <v>31</v>
      </c>
      <c r="M2698">
        <v>1</v>
      </c>
      <c r="N2698">
        <v>1</v>
      </c>
      <c r="O2698" t="s">
        <v>54</v>
      </c>
      <c r="P2698" t="s">
        <v>55</v>
      </c>
      <c r="Q2698">
        <v>7.5</v>
      </c>
      <c r="R2698">
        <v>22</v>
      </c>
      <c r="S2698" t="s">
        <v>27</v>
      </c>
    </row>
    <row r="2699" spans="1:19" x14ac:dyDescent="0.3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 t="str">
        <f t="shared" si="42"/>
        <v>8-14 days</v>
      </c>
      <c r="L2699">
        <v>14</v>
      </c>
      <c r="M2699">
        <v>1</v>
      </c>
      <c r="N2699">
        <v>0</v>
      </c>
      <c r="O2699" t="s">
        <v>54</v>
      </c>
      <c r="P2699" t="s">
        <v>55</v>
      </c>
      <c r="Q2699">
        <v>25.8</v>
      </c>
      <c r="R2699">
        <v>25</v>
      </c>
      <c r="S2699" t="s">
        <v>71</v>
      </c>
    </row>
    <row r="2700" spans="1:19" x14ac:dyDescent="0.3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 t="str">
        <f t="shared" si="42"/>
        <v>0-7 days</v>
      </c>
      <c r="L2700">
        <v>4</v>
      </c>
      <c r="M2700">
        <v>5</v>
      </c>
      <c r="N2700">
        <v>0</v>
      </c>
      <c r="O2700" t="s">
        <v>54</v>
      </c>
      <c r="P2700" t="s">
        <v>55</v>
      </c>
      <c r="Q2700">
        <v>2.1</v>
      </c>
      <c r="R2700">
        <v>14</v>
      </c>
      <c r="S2700" t="s">
        <v>27</v>
      </c>
    </row>
    <row r="2701" spans="1:19" x14ac:dyDescent="0.3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 t="str">
        <f t="shared" si="42"/>
        <v>15-30 days</v>
      </c>
      <c r="L2701">
        <v>17</v>
      </c>
      <c r="M2701">
        <v>0</v>
      </c>
      <c r="N2701">
        <v>0</v>
      </c>
      <c r="O2701" t="s">
        <v>25</v>
      </c>
      <c r="P2701" t="s">
        <v>35</v>
      </c>
      <c r="Q2701">
        <v>14.6</v>
      </c>
      <c r="R2701">
        <v>2</v>
      </c>
      <c r="S2701" t="s">
        <v>36</v>
      </c>
    </row>
    <row r="2702" spans="1:19" x14ac:dyDescent="0.3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 t="str">
        <f t="shared" si="42"/>
        <v>31-60 days</v>
      </c>
      <c r="L2702">
        <v>32</v>
      </c>
      <c r="M2702">
        <v>6</v>
      </c>
      <c r="N2702">
        <v>2</v>
      </c>
      <c r="O2702" t="s">
        <v>54</v>
      </c>
      <c r="P2702" t="s">
        <v>55</v>
      </c>
      <c r="Q2702">
        <v>10.4</v>
      </c>
      <c r="R2702">
        <v>24</v>
      </c>
      <c r="S2702" t="s">
        <v>36</v>
      </c>
    </row>
    <row r="2703" spans="1:19" x14ac:dyDescent="0.3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 t="str">
        <f t="shared" si="42"/>
        <v>15-30 days</v>
      </c>
      <c r="L2703">
        <v>25</v>
      </c>
      <c r="M2703">
        <v>2</v>
      </c>
      <c r="N2703">
        <v>0</v>
      </c>
      <c r="O2703" t="s">
        <v>25</v>
      </c>
      <c r="P2703" t="s">
        <v>35</v>
      </c>
      <c r="Q2703">
        <v>7.8</v>
      </c>
      <c r="R2703">
        <v>16</v>
      </c>
      <c r="S2703" t="s">
        <v>36</v>
      </c>
    </row>
    <row r="2704" spans="1:19" x14ac:dyDescent="0.3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 t="str">
        <f t="shared" si="42"/>
        <v>15-30 days</v>
      </c>
      <c r="L2704">
        <v>30</v>
      </c>
      <c r="M2704">
        <v>4</v>
      </c>
      <c r="N2704">
        <v>2</v>
      </c>
      <c r="O2704" t="s">
        <v>25</v>
      </c>
      <c r="P2704" t="s">
        <v>26</v>
      </c>
      <c r="Q2704">
        <v>5.2</v>
      </c>
      <c r="R2704">
        <v>29</v>
      </c>
      <c r="S2704" t="s">
        <v>27</v>
      </c>
    </row>
    <row r="2705" spans="1:19" x14ac:dyDescent="0.3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 t="str">
        <f t="shared" si="42"/>
        <v>15-30 days</v>
      </c>
      <c r="L2705">
        <v>16</v>
      </c>
      <c r="M2705">
        <v>3</v>
      </c>
      <c r="N2705">
        <v>2</v>
      </c>
      <c r="O2705" t="s">
        <v>54</v>
      </c>
      <c r="P2705" t="s">
        <v>55</v>
      </c>
      <c r="Q2705">
        <v>19.2</v>
      </c>
      <c r="S2705" t="s">
        <v>27</v>
      </c>
    </row>
    <row r="2706" spans="1:19" x14ac:dyDescent="0.3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 t="str">
        <f t="shared" si="42"/>
        <v>31-60 days</v>
      </c>
      <c r="L2706">
        <v>57</v>
      </c>
      <c r="M2706">
        <v>3</v>
      </c>
      <c r="N2706">
        <v>0</v>
      </c>
      <c r="O2706" t="s">
        <v>54</v>
      </c>
      <c r="P2706" t="s">
        <v>55</v>
      </c>
      <c r="Q2706">
        <v>27.8</v>
      </c>
      <c r="R2706">
        <v>3</v>
      </c>
      <c r="S2706" t="s">
        <v>27</v>
      </c>
    </row>
    <row r="2707" spans="1:19" x14ac:dyDescent="0.3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 t="str">
        <f t="shared" si="42"/>
        <v>15-30 days</v>
      </c>
      <c r="L2707">
        <v>22</v>
      </c>
      <c r="M2707">
        <v>2</v>
      </c>
      <c r="N2707">
        <v>0</v>
      </c>
      <c r="O2707" t="s">
        <v>25</v>
      </c>
      <c r="P2707" t="s">
        <v>26</v>
      </c>
      <c r="Q2707">
        <v>7.5</v>
      </c>
      <c r="R2707">
        <v>23</v>
      </c>
      <c r="S2707" t="s">
        <v>27</v>
      </c>
    </row>
    <row r="2708" spans="1:19" x14ac:dyDescent="0.3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 t="str">
        <f t="shared" si="42"/>
        <v>31-60 days</v>
      </c>
      <c r="L2708">
        <v>51</v>
      </c>
      <c r="M2708">
        <v>4</v>
      </c>
      <c r="N2708">
        <v>0</v>
      </c>
      <c r="O2708" t="s">
        <v>25</v>
      </c>
      <c r="P2708" t="s">
        <v>35</v>
      </c>
      <c r="Q2708">
        <v>13.7</v>
      </c>
      <c r="R2708">
        <v>36</v>
      </c>
      <c r="S2708" t="s">
        <v>71</v>
      </c>
    </row>
    <row r="2709" spans="1:19" x14ac:dyDescent="0.3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 t="str">
        <f t="shared" si="42"/>
        <v>15-30 days</v>
      </c>
      <c r="L2709">
        <v>23</v>
      </c>
      <c r="M2709">
        <v>2</v>
      </c>
      <c r="N2709">
        <v>0</v>
      </c>
      <c r="O2709" t="s">
        <v>25</v>
      </c>
      <c r="P2709" t="s">
        <v>26</v>
      </c>
      <c r="Q2709">
        <v>13.4</v>
      </c>
      <c r="R2709">
        <v>27</v>
      </c>
      <c r="S2709" t="s">
        <v>36</v>
      </c>
    </row>
    <row r="2710" spans="1:19" x14ac:dyDescent="0.3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 t="str">
        <f t="shared" si="42"/>
        <v>15-30 days</v>
      </c>
      <c r="L2710">
        <v>27</v>
      </c>
      <c r="M2710">
        <v>7</v>
      </c>
      <c r="N2710">
        <v>1</v>
      </c>
      <c r="O2710" t="s">
        <v>25</v>
      </c>
      <c r="P2710" t="s">
        <v>35</v>
      </c>
      <c r="Q2710">
        <v>14</v>
      </c>
      <c r="R2710">
        <v>8</v>
      </c>
      <c r="S2710" t="s">
        <v>27</v>
      </c>
    </row>
    <row r="2711" spans="1:19" x14ac:dyDescent="0.3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 t="str">
        <f t="shared" si="42"/>
        <v>31-60 days</v>
      </c>
      <c r="L2711">
        <v>36</v>
      </c>
      <c r="M2711">
        <v>5</v>
      </c>
      <c r="N2711">
        <v>1</v>
      </c>
      <c r="O2711" t="s">
        <v>25</v>
      </c>
      <c r="P2711" t="s">
        <v>35</v>
      </c>
      <c r="Q2711">
        <v>3.5</v>
      </c>
      <c r="R2711">
        <v>17</v>
      </c>
      <c r="S2711" t="s">
        <v>27</v>
      </c>
    </row>
    <row r="2712" spans="1:19" x14ac:dyDescent="0.3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 t="str">
        <f t="shared" si="42"/>
        <v>15-30 days</v>
      </c>
      <c r="L2712">
        <v>16</v>
      </c>
      <c r="M2712">
        <v>3</v>
      </c>
      <c r="N2712">
        <v>0</v>
      </c>
      <c r="O2712" t="s">
        <v>54</v>
      </c>
      <c r="P2712" t="s">
        <v>55</v>
      </c>
      <c r="Q2712">
        <v>18</v>
      </c>
      <c r="R2712">
        <v>19</v>
      </c>
      <c r="S2712" t="s">
        <v>27</v>
      </c>
    </row>
    <row r="2713" spans="1:19" x14ac:dyDescent="0.3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 t="str">
        <f t="shared" si="42"/>
        <v>8-14 days</v>
      </c>
      <c r="L2713">
        <v>13</v>
      </c>
      <c r="M2713">
        <v>6</v>
      </c>
      <c r="N2713">
        <v>0</v>
      </c>
      <c r="O2713" t="s">
        <v>25</v>
      </c>
      <c r="P2713" t="s">
        <v>35</v>
      </c>
      <c r="Q2713">
        <v>2.6</v>
      </c>
      <c r="R2713">
        <v>22</v>
      </c>
      <c r="S2713" t="s">
        <v>71</v>
      </c>
    </row>
    <row r="2714" spans="1:19" x14ac:dyDescent="0.3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 t="str">
        <f t="shared" si="42"/>
        <v>15-30 days</v>
      </c>
      <c r="L2714">
        <v>23</v>
      </c>
      <c r="M2714">
        <v>7</v>
      </c>
      <c r="N2714">
        <v>1</v>
      </c>
      <c r="O2714" t="s">
        <v>25</v>
      </c>
      <c r="P2714" t="s">
        <v>35</v>
      </c>
      <c r="Q2714">
        <v>13.3</v>
      </c>
      <c r="R2714">
        <v>18</v>
      </c>
      <c r="S2714" t="s">
        <v>27</v>
      </c>
    </row>
    <row r="2715" spans="1:19" x14ac:dyDescent="0.3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 t="str">
        <f t="shared" si="42"/>
        <v>31-60 days</v>
      </c>
      <c r="L2715">
        <v>49</v>
      </c>
      <c r="M2715">
        <v>0</v>
      </c>
      <c r="N2715">
        <v>0</v>
      </c>
      <c r="O2715" t="s">
        <v>25</v>
      </c>
      <c r="P2715" t="s">
        <v>35</v>
      </c>
      <c r="Q2715">
        <v>20.6</v>
      </c>
      <c r="R2715">
        <v>5</v>
      </c>
      <c r="S2715" t="s">
        <v>27</v>
      </c>
    </row>
    <row r="2716" spans="1:19" x14ac:dyDescent="0.3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 t="str">
        <f t="shared" si="42"/>
        <v>8-14 days</v>
      </c>
      <c r="L2716">
        <v>8</v>
      </c>
      <c r="M2716">
        <v>0</v>
      </c>
      <c r="N2716">
        <v>0</v>
      </c>
      <c r="O2716" t="s">
        <v>25</v>
      </c>
      <c r="P2716" t="s">
        <v>35</v>
      </c>
      <c r="Q2716">
        <v>6.4</v>
      </c>
      <c r="R2716">
        <v>22</v>
      </c>
      <c r="S2716" t="s">
        <v>27</v>
      </c>
    </row>
    <row r="2717" spans="1:19" x14ac:dyDescent="0.3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 t="str">
        <f t="shared" si="42"/>
        <v>15-30 days</v>
      </c>
      <c r="L2717">
        <v>26</v>
      </c>
      <c r="M2717">
        <v>4</v>
      </c>
      <c r="N2717">
        <v>2</v>
      </c>
      <c r="O2717" t="s">
        <v>25</v>
      </c>
      <c r="P2717" t="s">
        <v>26</v>
      </c>
      <c r="Q2717">
        <v>10.199999999999999</v>
      </c>
      <c r="R2717">
        <v>40</v>
      </c>
      <c r="S2717" t="s">
        <v>27</v>
      </c>
    </row>
    <row r="2718" spans="1:19" x14ac:dyDescent="0.3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 t="str">
        <f t="shared" si="42"/>
        <v>31-60 days</v>
      </c>
      <c r="L2718">
        <v>40</v>
      </c>
      <c r="M2718">
        <v>1</v>
      </c>
      <c r="N2718">
        <v>0</v>
      </c>
      <c r="O2718" t="s">
        <v>54</v>
      </c>
      <c r="P2718" t="s">
        <v>55</v>
      </c>
      <c r="Q2718">
        <v>15.1</v>
      </c>
      <c r="R2718">
        <v>17</v>
      </c>
      <c r="S2718" t="s">
        <v>36</v>
      </c>
    </row>
    <row r="2719" spans="1:19" x14ac:dyDescent="0.3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 t="str">
        <f t="shared" si="42"/>
        <v>31-60 days</v>
      </c>
      <c r="L2719">
        <v>43</v>
      </c>
      <c r="M2719">
        <v>2</v>
      </c>
      <c r="N2719">
        <v>1</v>
      </c>
      <c r="O2719" t="s">
        <v>25</v>
      </c>
      <c r="P2719" t="s">
        <v>35</v>
      </c>
      <c r="Q2719">
        <v>7.7</v>
      </c>
      <c r="R2719">
        <v>10</v>
      </c>
      <c r="S2719" t="s">
        <v>27</v>
      </c>
    </row>
    <row r="2720" spans="1:19" x14ac:dyDescent="0.3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 t="str">
        <f t="shared" si="42"/>
        <v>15-30 days</v>
      </c>
      <c r="L2720">
        <v>26</v>
      </c>
      <c r="M2720">
        <v>6</v>
      </c>
      <c r="N2720">
        <v>1</v>
      </c>
      <c r="O2720" t="s">
        <v>25</v>
      </c>
      <c r="P2720" t="s">
        <v>35</v>
      </c>
      <c r="Q2720">
        <v>4.8</v>
      </c>
      <c r="R2720">
        <v>40</v>
      </c>
      <c r="S2720" t="s">
        <v>27</v>
      </c>
    </row>
    <row r="2721" spans="1:19" x14ac:dyDescent="0.3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 t="str">
        <f t="shared" si="42"/>
        <v>0-7 days</v>
      </c>
      <c r="L2721">
        <v>4</v>
      </c>
      <c r="M2721">
        <v>2</v>
      </c>
      <c r="N2721">
        <v>1</v>
      </c>
      <c r="O2721" t="s">
        <v>25</v>
      </c>
      <c r="P2721" t="s">
        <v>35</v>
      </c>
      <c r="Q2721">
        <v>13.9</v>
      </c>
      <c r="R2721">
        <v>45</v>
      </c>
      <c r="S2721" t="s">
        <v>36</v>
      </c>
    </row>
    <row r="2722" spans="1:19" x14ac:dyDescent="0.3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 t="str">
        <f t="shared" si="42"/>
        <v>0-7 days</v>
      </c>
      <c r="L2722">
        <v>0</v>
      </c>
      <c r="M2722">
        <v>0</v>
      </c>
      <c r="N2722">
        <v>0</v>
      </c>
      <c r="O2722" t="s">
        <v>25</v>
      </c>
      <c r="P2722" t="s">
        <v>50</v>
      </c>
      <c r="Q2722">
        <v>4.0999999999999996</v>
      </c>
      <c r="R2722">
        <v>20</v>
      </c>
      <c r="S2722" t="s">
        <v>36</v>
      </c>
    </row>
    <row r="2723" spans="1:19" x14ac:dyDescent="0.3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 t="str">
        <f t="shared" si="42"/>
        <v>15-30 days</v>
      </c>
      <c r="L2723">
        <v>28</v>
      </c>
      <c r="M2723">
        <v>4</v>
      </c>
      <c r="N2723">
        <v>0</v>
      </c>
      <c r="O2723" t="s">
        <v>25</v>
      </c>
      <c r="P2723" t="s">
        <v>35</v>
      </c>
      <c r="R2723">
        <v>27</v>
      </c>
      <c r="S2723" t="s">
        <v>27</v>
      </c>
    </row>
    <row r="2724" spans="1:19" x14ac:dyDescent="0.3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 t="str">
        <f t="shared" si="42"/>
        <v>31-60 days</v>
      </c>
      <c r="L2724">
        <v>49</v>
      </c>
      <c r="M2724">
        <v>0</v>
      </c>
      <c r="N2724">
        <v>0</v>
      </c>
      <c r="O2724" t="s">
        <v>25</v>
      </c>
      <c r="P2724" t="s">
        <v>35</v>
      </c>
      <c r="Q2724">
        <v>9.9</v>
      </c>
      <c r="R2724">
        <v>26</v>
      </c>
      <c r="S2724" t="s">
        <v>71</v>
      </c>
    </row>
    <row r="2725" spans="1:19" x14ac:dyDescent="0.3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 t="str">
        <f t="shared" si="42"/>
        <v>0-7 days</v>
      </c>
      <c r="L2725">
        <v>1</v>
      </c>
      <c r="M2725">
        <v>4</v>
      </c>
      <c r="N2725">
        <v>1</v>
      </c>
      <c r="O2725" t="s">
        <v>54</v>
      </c>
      <c r="P2725" t="s">
        <v>55</v>
      </c>
      <c r="Q2725">
        <v>7.7</v>
      </c>
      <c r="R2725">
        <v>34</v>
      </c>
      <c r="S2725" t="s">
        <v>36</v>
      </c>
    </row>
    <row r="2726" spans="1:19" x14ac:dyDescent="0.3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 t="str">
        <f t="shared" si="42"/>
        <v>31-60 days</v>
      </c>
      <c r="L2726">
        <v>54</v>
      </c>
      <c r="M2726">
        <v>3</v>
      </c>
      <c r="N2726">
        <v>0</v>
      </c>
      <c r="O2726" t="s">
        <v>25</v>
      </c>
      <c r="P2726" t="s">
        <v>35</v>
      </c>
      <c r="Q2726">
        <v>14.1</v>
      </c>
      <c r="R2726">
        <v>12</v>
      </c>
      <c r="S2726" t="s">
        <v>36</v>
      </c>
    </row>
    <row r="2727" spans="1:19" x14ac:dyDescent="0.3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 t="str">
        <f t="shared" si="42"/>
        <v>31-60 days</v>
      </c>
      <c r="L2727">
        <v>41</v>
      </c>
      <c r="M2727">
        <v>1</v>
      </c>
      <c r="N2727">
        <v>0</v>
      </c>
      <c r="O2727" t="s">
        <v>25</v>
      </c>
      <c r="P2727" t="s">
        <v>26</v>
      </c>
      <c r="Q2727">
        <v>10.4</v>
      </c>
      <c r="R2727">
        <v>24</v>
      </c>
      <c r="S2727" t="s">
        <v>36</v>
      </c>
    </row>
    <row r="2728" spans="1:19" x14ac:dyDescent="0.3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 t="str">
        <f t="shared" si="42"/>
        <v>0-7 days</v>
      </c>
      <c r="L2728">
        <v>0</v>
      </c>
      <c r="M2728">
        <v>2</v>
      </c>
      <c r="N2728">
        <v>0</v>
      </c>
      <c r="O2728" t="s">
        <v>54</v>
      </c>
      <c r="P2728" t="s">
        <v>55</v>
      </c>
      <c r="Q2728">
        <v>30.6</v>
      </c>
      <c r="R2728">
        <v>12</v>
      </c>
      <c r="S2728" t="s">
        <v>36</v>
      </c>
    </row>
    <row r="2729" spans="1:19" x14ac:dyDescent="0.3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 t="str">
        <f t="shared" si="42"/>
        <v>15-30 days</v>
      </c>
      <c r="L2729">
        <v>20</v>
      </c>
      <c r="M2729">
        <v>6</v>
      </c>
      <c r="N2729">
        <v>1</v>
      </c>
      <c r="O2729" t="s">
        <v>25</v>
      </c>
      <c r="P2729" t="s">
        <v>35</v>
      </c>
      <c r="Q2729">
        <v>19.7</v>
      </c>
      <c r="R2729">
        <v>28</v>
      </c>
      <c r="S2729" t="s">
        <v>27</v>
      </c>
    </row>
    <row r="2730" spans="1:19" x14ac:dyDescent="0.3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 t="str">
        <f t="shared" si="42"/>
        <v>8-14 days</v>
      </c>
      <c r="L2730">
        <v>13</v>
      </c>
      <c r="M2730">
        <v>3</v>
      </c>
      <c r="N2730">
        <v>0</v>
      </c>
      <c r="O2730" t="s">
        <v>54</v>
      </c>
      <c r="P2730" t="s">
        <v>55</v>
      </c>
      <c r="Q2730">
        <v>11.2</v>
      </c>
      <c r="R2730">
        <v>41</v>
      </c>
      <c r="S2730" t="s">
        <v>36</v>
      </c>
    </row>
    <row r="2731" spans="1:19" x14ac:dyDescent="0.3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 t="str">
        <f t="shared" si="42"/>
        <v>31-60 days</v>
      </c>
      <c r="L2731">
        <v>57</v>
      </c>
      <c r="M2731">
        <v>3</v>
      </c>
      <c r="N2731">
        <v>0</v>
      </c>
      <c r="O2731" t="s">
        <v>25</v>
      </c>
      <c r="P2731" t="s">
        <v>50</v>
      </c>
      <c r="Q2731">
        <v>18.2</v>
      </c>
      <c r="R2731">
        <v>28</v>
      </c>
      <c r="S2731" t="s">
        <v>27</v>
      </c>
    </row>
    <row r="2732" spans="1:19" x14ac:dyDescent="0.3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 t="str">
        <f t="shared" si="42"/>
        <v>31-60 days</v>
      </c>
      <c r="L2732">
        <v>33</v>
      </c>
      <c r="M2732">
        <v>0</v>
      </c>
      <c r="N2732">
        <v>0</v>
      </c>
      <c r="O2732" t="s">
        <v>25</v>
      </c>
      <c r="P2732" t="s">
        <v>35</v>
      </c>
      <c r="R2732">
        <v>15</v>
      </c>
      <c r="S2732" t="s">
        <v>27</v>
      </c>
    </row>
    <row r="2733" spans="1:19" x14ac:dyDescent="0.3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 t="str">
        <f t="shared" si="42"/>
        <v>15-30 days</v>
      </c>
      <c r="L2733">
        <v>19</v>
      </c>
      <c r="M2733">
        <v>2</v>
      </c>
      <c r="N2733">
        <v>0</v>
      </c>
      <c r="O2733" t="s">
        <v>25</v>
      </c>
      <c r="P2733" t="s">
        <v>35</v>
      </c>
      <c r="Q2733">
        <v>21.6</v>
      </c>
      <c r="R2733">
        <v>35</v>
      </c>
      <c r="S2733" t="s">
        <v>27</v>
      </c>
    </row>
    <row r="2734" spans="1:19" x14ac:dyDescent="0.3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 t="str">
        <f t="shared" si="42"/>
        <v>15-30 days</v>
      </c>
      <c r="L2734">
        <v>16</v>
      </c>
      <c r="M2734">
        <v>1</v>
      </c>
      <c r="N2734">
        <v>0</v>
      </c>
      <c r="O2734" t="s">
        <v>25</v>
      </c>
      <c r="P2734" t="s">
        <v>26</v>
      </c>
      <c r="Q2734">
        <v>4.4000000000000004</v>
      </c>
      <c r="R2734">
        <v>17</v>
      </c>
      <c r="S2734" t="s">
        <v>27</v>
      </c>
    </row>
    <row r="2735" spans="1:19" x14ac:dyDescent="0.3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 t="str">
        <f t="shared" si="42"/>
        <v>31-60 days</v>
      </c>
      <c r="L2735">
        <v>34</v>
      </c>
      <c r="M2735">
        <v>2</v>
      </c>
      <c r="N2735">
        <v>0</v>
      </c>
      <c r="O2735" t="s">
        <v>25</v>
      </c>
      <c r="P2735" t="s">
        <v>26</v>
      </c>
      <c r="Q2735">
        <v>5.2</v>
      </c>
      <c r="R2735">
        <v>29</v>
      </c>
      <c r="S2735" t="s">
        <v>71</v>
      </c>
    </row>
    <row r="2736" spans="1:19" x14ac:dyDescent="0.3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 t="str">
        <f t="shared" si="42"/>
        <v>0-7 days</v>
      </c>
      <c r="L2736">
        <v>0</v>
      </c>
      <c r="M2736">
        <v>5</v>
      </c>
      <c r="N2736">
        <v>1</v>
      </c>
      <c r="O2736" t="s">
        <v>25</v>
      </c>
      <c r="P2736" t="s">
        <v>35</v>
      </c>
      <c r="Q2736">
        <v>24</v>
      </c>
      <c r="R2736">
        <v>15</v>
      </c>
      <c r="S2736" t="s">
        <v>36</v>
      </c>
    </row>
    <row r="2737" spans="1:19" x14ac:dyDescent="0.3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 t="str">
        <f t="shared" si="42"/>
        <v>15-30 days</v>
      </c>
      <c r="L2737">
        <v>15</v>
      </c>
      <c r="M2737">
        <v>5</v>
      </c>
      <c r="N2737">
        <v>2</v>
      </c>
      <c r="O2737" t="s">
        <v>25</v>
      </c>
      <c r="P2737" t="s">
        <v>35</v>
      </c>
      <c r="Q2737">
        <v>10.1</v>
      </c>
      <c r="R2737">
        <v>9</v>
      </c>
      <c r="S2737" t="s">
        <v>36</v>
      </c>
    </row>
    <row r="2738" spans="1:19" x14ac:dyDescent="0.3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 t="str">
        <f t="shared" si="42"/>
        <v>8-14 days</v>
      </c>
      <c r="L2738">
        <v>10</v>
      </c>
      <c r="M2738">
        <v>4</v>
      </c>
      <c r="N2738">
        <v>1</v>
      </c>
      <c r="O2738" t="s">
        <v>25</v>
      </c>
      <c r="P2738" t="s">
        <v>26</v>
      </c>
      <c r="Q2738">
        <v>10.6</v>
      </c>
      <c r="R2738">
        <v>16</v>
      </c>
      <c r="S2738" t="s">
        <v>36</v>
      </c>
    </row>
    <row r="2739" spans="1:19" x14ac:dyDescent="0.3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 t="str">
        <f t="shared" si="42"/>
        <v>31-60 days</v>
      </c>
      <c r="L2739">
        <v>37</v>
      </c>
      <c r="M2739">
        <v>4</v>
      </c>
      <c r="N2739">
        <v>1</v>
      </c>
      <c r="O2739" t="s">
        <v>25</v>
      </c>
      <c r="P2739" t="s">
        <v>50</v>
      </c>
      <c r="Q2739">
        <v>12.9</v>
      </c>
      <c r="R2739">
        <v>2</v>
      </c>
      <c r="S2739" t="s">
        <v>27</v>
      </c>
    </row>
    <row r="2740" spans="1:19" x14ac:dyDescent="0.3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 t="str">
        <f t="shared" si="42"/>
        <v>31-60 days</v>
      </c>
      <c r="L2740">
        <v>40</v>
      </c>
      <c r="M2740">
        <v>1</v>
      </c>
      <c r="N2740">
        <v>0</v>
      </c>
      <c r="O2740" t="s">
        <v>25</v>
      </c>
      <c r="P2740" t="s">
        <v>35</v>
      </c>
      <c r="Q2740">
        <v>8.6</v>
      </c>
      <c r="R2740">
        <v>12</v>
      </c>
      <c r="S2740" t="s">
        <v>36</v>
      </c>
    </row>
    <row r="2741" spans="1:19" x14ac:dyDescent="0.3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 t="str">
        <f t="shared" si="42"/>
        <v>15-30 days</v>
      </c>
      <c r="L2741">
        <v>28</v>
      </c>
      <c r="M2741">
        <v>3</v>
      </c>
      <c r="N2741">
        <v>0</v>
      </c>
      <c r="O2741" t="s">
        <v>25</v>
      </c>
      <c r="P2741" t="s">
        <v>35</v>
      </c>
      <c r="Q2741">
        <v>25.5</v>
      </c>
      <c r="R2741">
        <v>48</v>
      </c>
      <c r="S2741" t="s">
        <v>36</v>
      </c>
    </row>
    <row r="2742" spans="1:19" x14ac:dyDescent="0.3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 t="str">
        <f t="shared" si="42"/>
        <v>8-14 days</v>
      </c>
      <c r="L2742">
        <v>8</v>
      </c>
      <c r="M2742">
        <v>4</v>
      </c>
      <c r="N2742">
        <v>2</v>
      </c>
      <c r="O2742" t="s">
        <v>54</v>
      </c>
      <c r="P2742" t="s">
        <v>55</v>
      </c>
      <c r="Q2742">
        <v>11.8</v>
      </c>
      <c r="R2742">
        <v>2</v>
      </c>
      <c r="S2742" t="s">
        <v>27</v>
      </c>
    </row>
    <row r="2743" spans="1:19" x14ac:dyDescent="0.3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 t="str">
        <f t="shared" si="42"/>
        <v>15-30 days</v>
      </c>
      <c r="L2743">
        <v>22</v>
      </c>
      <c r="M2743">
        <v>5</v>
      </c>
      <c r="N2743">
        <v>0</v>
      </c>
      <c r="O2743" t="s">
        <v>54</v>
      </c>
      <c r="P2743" t="s">
        <v>55</v>
      </c>
      <c r="Q2743">
        <v>17.100000000000001</v>
      </c>
      <c r="R2743">
        <v>7</v>
      </c>
      <c r="S2743" t="s">
        <v>71</v>
      </c>
    </row>
    <row r="2744" spans="1:19" x14ac:dyDescent="0.3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 t="str">
        <f t="shared" si="42"/>
        <v>31-60 days</v>
      </c>
      <c r="L2744">
        <v>51</v>
      </c>
      <c r="M2744">
        <v>2</v>
      </c>
      <c r="N2744">
        <v>1</v>
      </c>
      <c r="O2744" t="s">
        <v>25</v>
      </c>
      <c r="P2744" t="s">
        <v>26</v>
      </c>
      <c r="Q2744">
        <v>7.3</v>
      </c>
      <c r="R2744">
        <v>43</v>
      </c>
      <c r="S2744" t="s">
        <v>36</v>
      </c>
    </row>
    <row r="2745" spans="1:19" x14ac:dyDescent="0.3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 t="str">
        <f t="shared" si="42"/>
        <v>8-14 days</v>
      </c>
      <c r="L2745">
        <v>12</v>
      </c>
      <c r="M2745">
        <v>1</v>
      </c>
      <c r="N2745">
        <v>0</v>
      </c>
      <c r="O2745" t="s">
        <v>25</v>
      </c>
      <c r="P2745" t="s">
        <v>26</v>
      </c>
      <c r="Q2745">
        <v>8.1</v>
      </c>
      <c r="R2745">
        <v>13</v>
      </c>
      <c r="S2745" t="s">
        <v>36</v>
      </c>
    </row>
    <row r="2746" spans="1:19" x14ac:dyDescent="0.3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 t="str">
        <f t="shared" si="42"/>
        <v>8-14 days</v>
      </c>
      <c r="L2746">
        <v>9</v>
      </c>
      <c r="M2746">
        <v>2</v>
      </c>
      <c r="N2746">
        <v>0</v>
      </c>
      <c r="O2746" t="s">
        <v>25</v>
      </c>
      <c r="P2746" t="s">
        <v>35</v>
      </c>
      <c r="Q2746">
        <v>5</v>
      </c>
      <c r="R2746">
        <v>20</v>
      </c>
      <c r="S2746" t="s">
        <v>27</v>
      </c>
    </row>
    <row r="2747" spans="1:19" x14ac:dyDescent="0.3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 t="str">
        <f t="shared" si="42"/>
        <v>0-7 days</v>
      </c>
      <c r="L2747">
        <v>6</v>
      </c>
      <c r="M2747">
        <v>1</v>
      </c>
      <c r="N2747">
        <v>1</v>
      </c>
      <c r="O2747" t="s">
        <v>25</v>
      </c>
      <c r="P2747" t="s">
        <v>26</v>
      </c>
      <c r="Q2747">
        <v>15.7</v>
      </c>
      <c r="R2747">
        <v>24</v>
      </c>
      <c r="S2747" t="s">
        <v>36</v>
      </c>
    </row>
    <row r="2748" spans="1:19" x14ac:dyDescent="0.3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 t="str">
        <f t="shared" si="42"/>
        <v>31-60 days</v>
      </c>
      <c r="L2748">
        <v>49</v>
      </c>
      <c r="M2748">
        <v>1</v>
      </c>
      <c r="N2748">
        <v>1</v>
      </c>
      <c r="O2748" t="s">
        <v>25</v>
      </c>
      <c r="P2748" t="s">
        <v>35</v>
      </c>
      <c r="Q2748">
        <v>9</v>
      </c>
      <c r="R2748">
        <v>6</v>
      </c>
      <c r="S2748" t="s">
        <v>36</v>
      </c>
    </row>
    <row r="2749" spans="1:19" x14ac:dyDescent="0.3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 t="str">
        <f t="shared" si="42"/>
        <v>0-7 days</v>
      </c>
      <c r="L2749">
        <v>7</v>
      </c>
      <c r="M2749">
        <v>3</v>
      </c>
      <c r="N2749">
        <v>1</v>
      </c>
      <c r="O2749" t="s">
        <v>54</v>
      </c>
      <c r="P2749" t="s">
        <v>55</v>
      </c>
      <c r="Q2749">
        <v>15.7</v>
      </c>
      <c r="R2749">
        <v>35</v>
      </c>
      <c r="S2749" t="s">
        <v>27</v>
      </c>
    </row>
    <row r="2750" spans="1:19" x14ac:dyDescent="0.3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 t="str">
        <f t="shared" si="42"/>
        <v>31-60 days</v>
      </c>
      <c r="L2750">
        <v>35</v>
      </c>
      <c r="M2750">
        <v>1</v>
      </c>
      <c r="N2750">
        <v>1</v>
      </c>
      <c r="O2750" t="s">
        <v>54</v>
      </c>
      <c r="P2750" t="s">
        <v>55</v>
      </c>
      <c r="Q2750">
        <v>14.8</v>
      </c>
      <c r="R2750">
        <v>23</v>
      </c>
      <c r="S2750" t="s">
        <v>36</v>
      </c>
    </row>
    <row r="2751" spans="1:19" x14ac:dyDescent="0.3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 t="str">
        <f t="shared" si="42"/>
        <v>31-60 days</v>
      </c>
      <c r="L2751">
        <v>60</v>
      </c>
      <c r="M2751">
        <v>6</v>
      </c>
      <c r="N2751">
        <v>1</v>
      </c>
      <c r="O2751" t="s">
        <v>25</v>
      </c>
      <c r="P2751" t="s">
        <v>35</v>
      </c>
      <c r="R2751">
        <v>17</v>
      </c>
      <c r="S2751" t="s">
        <v>27</v>
      </c>
    </row>
    <row r="2752" spans="1:19" x14ac:dyDescent="0.3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 t="str">
        <f t="shared" si="42"/>
        <v>31-60 days</v>
      </c>
      <c r="L2752">
        <v>39</v>
      </c>
      <c r="M2752">
        <v>2</v>
      </c>
      <c r="N2752">
        <v>0</v>
      </c>
      <c r="O2752" t="s">
        <v>25</v>
      </c>
      <c r="P2752" t="s">
        <v>50</v>
      </c>
      <c r="Q2752">
        <v>8.3000000000000007</v>
      </c>
      <c r="R2752">
        <v>34</v>
      </c>
      <c r="S2752" t="s">
        <v>71</v>
      </c>
    </row>
    <row r="2753" spans="1:19" x14ac:dyDescent="0.3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 t="str">
        <f t="shared" si="42"/>
        <v>15-30 days</v>
      </c>
      <c r="L2753">
        <v>25</v>
      </c>
      <c r="M2753">
        <v>2</v>
      </c>
      <c r="N2753">
        <v>0</v>
      </c>
      <c r="O2753" t="s">
        <v>25</v>
      </c>
      <c r="P2753" t="s">
        <v>50</v>
      </c>
      <c r="Q2753">
        <v>4.2</v>
      </c>
      <c r="R2753">
        <v>9</v>
      </c>
      <c r="S2753" t="s">
        <v>36</v>
      </c>
    </row>
    <row r="2754" spans="1:19" x14ac:dyDescent="0.3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 t="str">
        <f t="shared" si="42"/>
        <v>8-14 days</v>
      </c>
      <c r="L2754">
        <v>12</v>
      </c>
      <c r="M2754">
        <v>4</v>
      </c>
      <c r="N2754">
        <v>0</v>
      </c>
      <c r="O2754" t="s">
        <v>25</v>
      </c>
      <c r="P2754" t="s">
        <v>35</v>
      </c>
      <c r="Q2754">
        <v>4.7</v>
      </c>
      <c r="R2754">
        <v>24</v>
      </c>
      <c r="S2754" t="s">
        <v>27</v>
      </c>
    </row>
    <row r="2755" spans="1:19" x14ac:dyDescent="0.3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 t="str">
        <f t="shared" ref="K2755:K2818" si="43">IF(L2755&lt;=7,"0-7 days",IF(L2755&lt;=14,"8-14 days",IF(L2755&lt;=30,"15-30 days","31-60 days")))</f>
        <v>0-7 days</v>
      </c>
      <c r="L2755">
        <v>0</v>
      </c>
      <c r="M2755">
        <v>3</v>
      </c>
      <c r="N2755">
        <v>0</v>
      </c>
      <c r="O2755" t="s">
        <v>54</v>
      </c>
      <c r="P2755" t="s">
        <v>55</v>
      </c>
      <c r="Q2755">
        <v>3.9</v>
      </c>
      <c r="R2755">
        <v>13</v>
      </c>
      <c r="S2755" t="s">
        <v>27</v>
      </c>
    </row>
    <row r="2756" spans="1:19" x14ac:dyDescent="0.3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 t="str">
        <f t="shared" si="43"/>
        <v>8-14 days</v>
      </c>
      <c r="L2756">
        <v>9</v>
      </c>
      <c r="M2756">
        <v>1</v>
      </c>
      <c r="N2756">
        <v>0</v>
      </c>
      <c r="O2756" t="s">
        <v>25</v>
      </c>
      <c r="P2756" t="s">
        <v>35</v>
      </c>
      <c r="Q2756">
        <v>5.4</v>
      </c>
      <c r="R2756">
        <v>10</v>
      </c>
      <c r="S2756" t="s">
        <v>27</v>
      </c>
    </row>
    <row r="2757" spans="1:19" x14ac:dyDescent="0.3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 t="str">
        <f t="shared" si="43"/>
        <v>31-60 days</v>
      </c>
      <c r="L2757">
        <v>58</v>
      </c>
      <c r="M2757">
        <v>2</v>
      </c>
      <c r="N2757">
        <v>1</v>
      </c>
      <c r="O2757" t="s">
        <v>25</v>
      </c>
      <c r="P2757" t="s">
        <v>26</v>
      </c>
      <c r="Q2757">
        <v>6.1</v>
      </c>
      <c r="R2757">
        <v>46</v>
      </c>
      <c r="S2757" t="s">
        <v>27</v>
      </c>
    </row>
    <row r="2758" spans="1:19" x14ac:dyDescent="0.3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 t="str">
        <f t="shared" si="43"/>
        <v>8-14 days</v>
      </c>
      <c r="L2758">
        <v>8</v>
      </c>
      <c r="M2758">
        <v>3</v>
      </c>
      <c r="N2758">
        <v>1</v>
      </c>
      <c r="O2758" t="s">
        <v>25</v>
      </c>
      <c r="P2758" t="s">
        <v>26</v>
      </c>
      <c r="R2758">
        <v>25</v>
      </c>
      <c r="S2758" t="s">
        <v>27</v>
      </c>
    </row>
    <row r="2759" spans="1:19" x14ac:dyDescent="0.3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 t="str">
        <f t="shared" si="43"/>
        <v>0-7 days</v>
      </c>
      <c r="L2759">
        <v>1</v>
      </c>
      <c r="M2759">
        <v>1</v>
      </c>
      <c r="N2759">
        <v>0</v>
      </c>
      <c r="O2759" t="s">
        <v>25</v>
      </c>
      <c r="P2759" t="s">
        <v>35</v>
      </c>
      <c r="Q2759">
        <v>7.7</v>
      </c>
      <c r="R2759">
        <v>34</v>
      </c>
      <c r="S2759" t="s">
        <v>36</v>
      </c>
    </row>
    <row r="2760" spans="1:19" x14ac:dyDescent="0.3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 t="str">
        <f t="shared" si="43"/>
        <v>31-60 days</v>
      </c>
      <c r="L2760">
        <v>49</v>
      </c>
      <c r="M2760">
        <v>3</v>
      </c>
      <c r="N2760">
        <v>1</v>
      </c>
      <c r="O2760" t="s">
        <v>25</v>
      </c>
      <c r="P2760" t="s">
        <v>35</v>
      </c>
      <c r="Q2760">
        <v>16.3</v>
      </c>
      <c r="R2760">
        <v>18</v>
      </c>
      <c r="S2760" t="s">
        <v>27</v>
      </c>
    </row>
    <row r="2761" spans="1:19" x14ac:dyDescent="0.3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 t="str">
        <f t="shared" si="43"/>
        <v>15-30 days</v>
      </c>
      <c r="L2761">
        <v>25</v>
      </c>
      <c r="M2761">
        <v>5</v>
      </c>
      <c r="N2761">
        <v>1</v>
      </c>
      <c r="O2761" t="s">
        <v>25</v>
      </c>
      <c r="P2761" t="s">
        <v>26</v>
      </c>
      <c r="Q2761">
        <v>13.5</v>
      </c>
      <c r="R2761">
        <v>13</v>
      </c>
      <c r="S2761" t="s">
        <v>27</v>
      </c>
    </row>
    <row r="2762" spans="1:19" x14ac:dyDescent="0.3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 t="str">
        <f t="shared" si="43"/>
        <v>15-30 days</v>
      </c>
      <c r="L2762">
        <v>21</v>
      </c>
      <c r="M2762">
        <v>4</v>
      </c>
      <c r="N2762">
        <v>2</v>
      </c>
      <c r="O2762" t="s">
        <v>25</v>
      </c>
      <c r="P2762" t="s">
        <v>26</v>
      </c>
      <c r="Q2762">
        <v>11.8</v>
      </c>
      <c r="R2762">
        <v>2</v>
      </c>
      <c r="S2762" t="s">
        <v>27</v>
      </c>
    </row>
    <row r="2763" spans="1:19" x14ac:dyDescent="0.3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 t="str">
        <f t="shared" si="43"/>
        <v>31-60 days</v>
      </c>
      <c r="L2763">
        <v>43</v>
      </c>
      <c r="M2763">
        <v>3</v>
      </c>
      <c r="N2763">
        <v>0</v>
      </c>
      <c r="O2763" t="s">
        <v>25</v>
      </c>
      <c r="P2763" t="s">
        <v>50</v>
      </c>
      <c r="Q2763">
        <v>17.600000000000001</v>
      </c>
      <c r="R2763">
        <v>21</v>
      </c>
      <c r="S2763" t="s">
        <v>36</v>
      </c>
    </row>
    <row r="2764" spans="1:19" x14ac:dyDescent="0.3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 t="str">
        <f t="shared" si="43"/>
        <v>31-60 days</v>
      </c>
      <c r="L2764">
        <v>31</v>
      </c>
      <c r="M2764">
        <v>4</v>
      </c>
      <c r="N2764">
        <v>1</v>
      </c>
      <c r="O2764" t="s">
        <v>54</v>
      </c>
      <c r="P2764" t="s">
        <v>55</v>
      </c>
      <c r="Q2764">
        <v>11.2</v>
      </c>
      <c r="R2764">
        <v>6</v>
      </c>
      <c r="S2764" t="s">
        <v>36</v>
      </c>
    </row>
    <row r="2765" spans="1:19" x14ac:dyDescent="0.3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 t="str">
        <f t="shared" si="43"/>
        <v>31-60 days</v>
      </c>
      <c r="L2765">
        <v>55</v>
      </c>
      <c r="M2765">
        <v>2</v>
      </c>
      <c r="N2765">
        <v>0</v>
      </c>
      <c r="O2765" t="s">
        <v>25</v>
      </c>
      <c r="P2765" t="s">
        <v>35</v>
      </c>
      <c r="Q2765">
        <v>5</v>
      </c>
      <c r="R2765">
        <v>25</v>
      </c>
      <c r="S2765" t="s">
        <v>36</v>
      </c>
    </row>
    <row r="2766" spans="1:19" x14ac:dyDescent="0.3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 t="str">
        <f t="shared" si="43"/>
        <v>15-30 days</v>
      </c>
      <c r="L2766">
        <v>28</v>
      </c>
      <c r="M2766">
        <v>3</v>
      </c>
      <c r="N2766">
        <v>1</v>
      </c>
      <c r="O2766" t="s">
        <v>25</v>
      </c>
      <c r="P2766" t="s">
        <v>35</v>
      </c>
      <c r="Q2766">
        <v>12.7</v>
      </c>
      <c r="R2766">
        <v>10</v>
      </c>
      <c r="S2766" t="s">
        <v>27</v>
      </c>
    </row>
    <row r="2767" spans="1:19" x14ac:dyDescent="0.3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 t="str">
        <f t="shared" si="43"/>
        <v>31-60 days</v>
      </c>
      <c r="L2767">
        <v>43</v>
      </c>
      <c r="M2767">
        <v>3</v>
      </c>
      <c r="N2767">
        <v>1</v>
      </c>
      <c r="O2767" t="s">
        <v>25</v>
      </c>
      <c r="P2767" t="s">
        <v>35</v>
      </c>
      <c r="Q2767">
        <v>14.7</v>
      </c>
      <c r="R2767">
        <v>29</v>
      </c>
      <c r="S2767" t="s">
        <v>27</v>
      </c>
    </row>
    <row r="2768" spans="1:19" x14ac:dyDescent="0.3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 t="str">
        <f t="shared" si="43"/>
        <v>31-60 days</v>
      </c>
      <c r="L2768">
        <v>53</v>
      </c>
      <c r="M2768">
        <v>3</v>
      </c>
      <c r="N2768">
        <v>0</v>
      </c>
      <c r="O2768" t="s">
        <v>54</v>
      </c>
      <c r="P2768" t="s">
        <v>55</v>
      </c>
      <c r="Q2768">
        <v>4.2</v>
      </c>
      <c r="R2768">
        <v>47</v>
      </c>
      <c r="S2768" t="s">
        <v>36</v>
      </c>
    </row>
    <row r="2769" spans="1:19" x14ac:dyDescent="0.3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 t="str">
        <f t="shared" si="43"/>
        <v>15-30 days</v>
      </c>
      <c r="L2769">
        <v>28</v>
      </c>
      <c r="M2769">
        <v>2</v>
      </c>
      <c r="N2769">
        <v>0</v>
      </c>
      <c r="O2769" t="s">
        <v>25</v>
      </c>
      <c r="P2769" t="s">
        <v>26</v>
      </c>
      <c r="Q2769">
        <v>11.1</v>
      </c>
      <c r="R2769">
        <v>55</v>
      </c>
      <c r="S2769" t="s">
        <v>71</v>
      </c>
    </row>
    <row r="2770" spans="1:19" x14ac:dyDescent="0.3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 t="str">
        <f t="shared" si="43"/>
        <v>15-30 days</v>
      </c>
      <c r="L2770">
        <v>17</v>
      </c>
      <c r="M2770">
        <v>2</v>
      </c>
      <c r="N2770">
        <v>0</v>
      </c>
      <c r="O2770" t="s">
        <v>54</v>
      </c>
      <c r="P2770" t="s">
        <v>55</v>
      </c>
      <c r="Q2770">
        <v>17.100000000000001</v>
      </c>
      <c r="R2770">
        <v>28</v>
      </c>
      <c r="S2770" t="s">
        <v>27</v>
      </c>
    </row>
    <row r="2771" spans="1:19" x14ac:dyDescent="0.3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 t="str">
        <f t="shared" si="43"/>
        <v>31-60 days</v>
      </c>
      <c r="L2771">
        <v>59</v>
      </c>
      <c r="M2771">
        <v>5</v>
      </c>
      <c r="N2771">
        <v>1</v>
      </c>
      <c r="O2771" t="s">
        <v>54</v>
      </c>
      <c r="P2771" t="s">
        <v>55</v>
      </c>
      <c r="R2771">
        <v>24</v>
      </c>
      <c r="S2771" t="s">
        <v>27</v>
      </c>
    </row>
    <row r="2772" spans="1:19" x14ac:dyDescent="0.3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 t="str">
        <f t="shared" si="43"/>
        <v>8-14 days</v>
      </c>
      <c r="L2772">
        <v>13</v>
      </c>
      <c r="M2772">
        <v>4</v>
      </c>
      <c r="N2772">
        <v>0</v>
      </c>
      <c r="O2772" t="s">
        <v>25</v>
      </c>
      <c r="P2772" t="s">
        <v>35</v>
      </c>
      <c r="Q2772">
        <v>28.4</v>
      </c>
      <c r="R2772">
        <v>16</v>
      </c>
      <c r="S2772" t="s">
        <v>27</v>
      </c>
    </row>
    <row r="2773" spans="1:19" x14ac:dyDescent="0.3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 t="str">
        <f t="shared" si="43"/>
        <v>0-7 days</v>
      </c>
      <c r="L2773">
        <v>2</v>
      </c>
      <c r="M2773">
        <v>7</v>
      </c>
      <c r="N2773">
        <v>2</v>
      </c>
      <c r="O2773" t="s">
        <v>54</v>
      </c>
      <c r="P2773" t="s">
        <v>55</v>
      </c>
      <c r="Q2773">
        <v>6.3</v>
      </c>
      <c r="R2773">
        <v>15</v>
      </c>
      <c r="S2773" t="s">
        <v>27</v>
      </c>
    </row>
    <row r="2774" spans="1:19" x14ac:dyDescent="0.3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 t="str">
        <f t="shared" si="43"/>
        <v>31-60 days</v>
      </c>
      <c r="L2774">
        <v>35</v>
      </c>
      <c r="M2774">
        <v>4</v>
      </c>
      <c r="N2774">
        <v>0</v>
      </c>
      <c r="O2774" t="s">
        <v>25</v>
      </c>
      <c r="P2774" t="s">
        <v>26</v>
      </c>
      <c r="Q2774">
        <v>7.9</v>
      </c>
      <c r="R2774">
        <v>14</v>
      </c>
      <c r="S2774" t="s">
        <v>36</v>
      </c>
    </row>
    <row r="2775" spans="1:19" x14ac:dyDescent="0.3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 t="str">
        <f t="shared" si="43"/>
        <v>31-60 days</v>
      </c>
      <c r="L2775">
        <v>60</v>
      </c>
      <c r="M2775">
        <v>0</v>
      </c>
      <c r="N2775">
        <v>0</v>
      </c>
      <c r="O2775" t="s">
        <v>25</v>
      </c>
      <c r="P2775" t="s">
        <v>35</v>
      </c>
      <c r="Q2775">
        <v>13</v>
      </c>
      <c r="R2775">
        <v>40</v>
      </c>
      <c r="S2775" t="s">
        <v>27</v>
      </c>
    </row>
    <row r="2776" spans="1:19" x14ac:dyDescent="0.3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 t="str">
        <f t="shared" si="43"/>
        <v>0-7 days</v>
      </c>
      <c r="L2776">
        <v>5</v>
      </c>
      <c r="M2776">
        <v>5</v>
      </c>
      <c r="N2776">
        <v>1</v>
      </c>
      <c r="O2776" t="s">
        <v>25</v>
      </c>
      <c r="P2776" t="s">
        <v>35</v>
      </c>
      <c r="Q2776">
        <v>6.7</v>
      </c>
      <c r="R2776">
        <v>20</v>
      </c>
      <c r="S2776" t="s">
        <v>36</v>
      </c>
    </row>
    <row r="2777" spans="1:19" x14ac:dyDescent="0.3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 t="str">
        <f t="shared" si="43"/>
        <v>31-60 days</v>
      </c>
      <c r="L2777">
        <v>51</v>
      </c>
      <c r="M2777">
        <v>2</v>
      </c>
      <c r="N2777">
        <v>1</v>
      </c>
      <c r="O2777" t="s">
        <v>25</v>
      </c>
      <c r="P2777" t="s">
        <v>26</v>
      </c>
      <c r="Q2777">
        <v>6.5</v>
      </c>
      <c r="R2777">
        <v>48</v>
      </c>
      <c r="S2777" t="s">
        <v>27</v>
      </c>
    </row>
    <row r="2778" spans="1:19" x14ac:dyDescent="0.3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 t="str">
        <f t="shared" si="43"/>
        <v>31-60 days</v>
      </c>
      <c r="L2778">
        <v>50</v>
      </c>
      <c r="M2778">
        <v>2</v>
      </c>
      <c r="N2778">
        <v>0</v>
      </c>
      <c r="O2778" t="s">
        <v>25</v>
      </c>
      <c r="P2778" t="s">
        <v>35</v>
      </c>
      <c r="Q2778">
        <v>20.5</v>
      </c>
      <c r="R2778">
        <v>14</v>
      </c>
      <c r="S2778" t="s">
        <v>27</v>
      </c>
    </row>
    <row r="2779" spans="1:19" x14ac:dyDescent="0.3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 t="str">
        <f t="shared" si="43"/>
        <v>31-60 days</v>
      </c>
      <c r="L2779">
        <v>56</v>
      </c>
      <c r="M2779">
        <v>3</v>
      </c>
      <c r="N2779">
        <v>1</v>
      </c>
      <c r="O2779" t="s">
        <v>25</v>
      </c>
      <c r="P2779" t="s">
        <v>26</v>
      </c>
      <c r="Q2779">
        <v>7.9</v>
      </c>
      <c r="R2779">
        <v>22</v>
      </c>
      <c r="S2779" t="s">
        <v>27</v>
      </c>
    </row>
    <row r="2780" spans="1:19" x14ac:dyDescent="0.3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 t="str">
        <f t="shared" si="43"/>
        <v>15-30 days</v>
      </c>
      <c r="L2780">
        <v>25</v>
      </c>
      <c r="M2780">
        <v>3</v>
      </c>
      <c r="N2780">
        <v>1</v>
      </c>
      <c r="O2780" t="s">
        <v>25</v>
      </c>
      <c r="P2780" t="s">
        <v>35</v>
      </c>
      <c r="Q2780">
        <v>17.2</v>
      </c>
      <c r="R2780">
        <v>10</v>
      </c>
      <c r="S2780" t="s">
        <v>27</v>
      </c>
    </row>
    <row r="2781" spans="1:19" x14ac:dyDescent="0.3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 t="str">
        <f t="shared" si="43"/>
        <v>15-30 days</v>
      </c>
      <c r="L2781">
        <v>15</v>
      </c>
      <c r="M2781">
        <v>2</v>
      </c>
      <c r="N2781">
        <v>0</v>
      </c>
      <c r="O2781" t="s">
        <v>25</v>
      </c>
      <c r="P2781" t="s">
        <v>35</v>
      </c>
      <c r="Q2781">
        <v>4.5999999999999996</v>
      </c>
      <c r="R2781">
        <v>30</v>
      </c>
      <c r="S2781" t="s">
        <v>36</v>
      </c>
    </row>
    <row r="2782" spans="1:19" x14ac:dyDescent="0.3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 t="str">
        <f t="shared" si="43"/>
        <v>31-60 days</v>
      </c>
      <c r="L2782">
        <v>31</v>
      </c>
      <c r="M2782">
        <v>1</v>
      </c>
      <c r="N2782">
        <v>0</v>
      </c>
      <c r="O2782" t="s">
        <v>25</v>
      </c>
      <c r="P2782" t="s">
        <v>26</v>
      </c>
      <c r="Q2782">
        <v>7.8</v>
      </c>
      <c r="R2782">
        <v>22</v>
      </c>
      <c r="S2782" t="s">
        <v>36</v>
      </c>
    </row>
    <row r="2783" spans="1:19" x14ac:dyDescent="0.3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 t="str">
        <f t="shared" si="43"/>
        <v>8-14 days</v>
      </c>
      <c r="L2783">
        <v>8</v>
      </c>
      <c r="M2783">
        <v>4</v>
      </c>
      <c r="N2783">
        <v>1</v>
      </c>
      <c r="O2783" t="s">
        <v>25</v>
      </c>
      <c r="P2783" t="s">
        <v>35</v>
      </c>
      <c r="Q2783">
        <v>7.6</v>
      </c>
      <c r="R2783">
        <v>24</v>
      </c>
      <c r="S2783" t="s">
        <v>36</v>
      </c>
    </row>
    <row r="2784" spans="1:19" x14ac:dyDescent="0.3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 t="str">
        <f t="shared" si="43"/>
        <v>31-60 days</v>
      </c>
      <c r="L2784">
        <v>51</v>
      </c>
      <c r="M2784">
        <v>5</v>
      </c>
      <c r="N2784">
        <v>0</v>
      </c>
      <c r="O2784" t="s">
        <v>25</v>
      </c>
      <c r="P2784" t="s">
        <v>35</v>
      </c>
      <c r="Q2784">
        <v>8</v>
      </c>
      <c r="R2784">
        <v>21</v>
      </c>
      <c r="S2784" t="s">
        <v>36</v>
      </c>
    </row>
    <row r="2785" spans="1:19" x14ac:dyDescent="0.3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 t="str">
        <f t="shared" si="43"/>
        <v>31-60 days</v>
      </c>
      <c r="L2785">
        <v>40</v>
      </c>
      <c r="M2785">
        <v>5</v>
      </c>
      <c r="N2785">
        <v>0</v>
      </c>
      <c r="O2785" t="s">
        <v>25</v>
      </c>
      <c r="P2785" t="s">
        <v>35</v>
      </c>
      <c r="Q2785">
        <v>4.5999999999999996</v>
      </c>
      <c r="R2785">
        <v>30</v>
      </c>
      <c r="S2785" t="s">
        <v>36</v>
      </c>
    </row>
    <row r="2786" spans="1:19" x14ac:dyDescent="0.3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 t="str">
        <f t="shared" si="43"/>
        <v>15-30 days</v>
      </c>
      <c r="L2786">
        <v>29</v>
      </c>
      <c r="M2786">
        <v>6</v>
      </c>
      <c r="N2786">
        <v>1</v>
      </c>
      <c r="O2786" t="s">
        <v>25</v>
      </c>
      <c r="P2786" t="s">
        <v>35</v>
      </c>
      <c r="Q2786">
        <v>7.2</v>
      </c>
      <c r="R2786">
        <v>31</v>
      </c>
      <c r="S2786" t="s">
        <v>36</v>
      </c>
    </row>
    <row r="2787" spans="1:19" x14ac:dyDescent="0.3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 t="str">
        <f t="shared" si="43"/>
        <v>31-60 days</v>
      </c>
      <c r="L2787">
        <v>31</v>
      </c>
      <c r="M2787">
        <v>2</v>
      </c>
      <c r="N2787">
        <v>1</v>
      </c>
      <c r="O2787" t="s">
        <v>54</v>
      </c>
      <c r="P2787" t="s">
        <v>55</v>
      </c>
      <c r="Q2787">
        <v>9.5</v>
      </c>
      <c r="R2787">
        <v>33</v>
      </c>
      <c r="S2787" t="s">
        <v>27</v>
      </c>
    </row>
    <row r="2788" spans="1:19" x14ac:dyDescent="0.3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 t="str">
        <f t="shared" si="43"/>
        <v>31-60 days</v>
      </c>
      <c r="L2788">
        <v>43</v>
      </c>
      <c r="M2788">
        <v>3</v>
      </c>
      <c r="N2788">
        <v>1</v>
      </c>
      <c r="O2788" t="s">
        <v>25</v>
      </c>
      <c r="P2788" t="s">
        <v>50</v>
      </c>
      <c r="Q2788">
        <v>2.2999999999999998</v>
      </c>
      <c r="R2788">
        <v>14</v>
      </c>
      <c r="S2788" t="s">
        <v>27</v>
      </c>
    </row>
    <row r="2789" spans="1:19" x14ac:dyDescent="0.3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 t="str">
        <f t="shared" si="43"/>
        <v>31-60 days</v>
      </c>
      <c r="L2789">
        <v>31</v>
      </c>
      <c r="M2789">
        <v>0</v>
      </c>
      <c r="N2789">
        <v>0</v>
      </c>
      <c r="O2789" t="s">
        <v>25</v>
      </c>
      <c r="P2789" t="s">
        <v>35</v>
      </c>
      <c r="Q2789">
        <v>6.4</v>
      </c>
      <c r="R2789">
        <v>28</v>
      </c>
      <c r="S2789" t="s">
        <v>36</v>
      </c>
    </row>
    <row r="2790" spans="1:19" x14ac:dyDescent="0.3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 t="str">
        <f t="shared" si="43"/>
        <v>31-60 days</v>
      </c>
      <c r="L2790">
        <v>51</v>
      </c>
      <c r="M2790">
        <v>4</v>
      </c>
      <c r="N2790">
        <v>0</v>
      </c>
      <c r="O2790" t="s">
        <v>25</v>
      </c>
      <c r="P2790" t="s">
        <v>35</v>
      </c>
      <c r="Q2790">
        <v>13</v>
      </c>
      <c r="R2790">
        <v>19</v>
      </c>
      <c r="S2790" t="s">
        <v>27</v>
      </c>
    </row>
    <row r="2791" spans="1:19" x14ac:dyDescent="0.3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 t="str">
        <f t="shared" si="43"/>
        <v>31-60 days</v>
      </c>
      <c r="L2791">
        <v>56</v>
      </c>
      <c r="M2791">
        <v>3</v>
      </c>
      <c r="N2791">
        <v>1</v>
      </c>
      <c r="O2791" t="s">
        <v>25</v>
      </c>
      <c r="P2791" t="s">
        <v>35</v>
      </c>
      <c r="Q2791">
        <v>5.7</v>
      </c>
      <c r="R2791">
        <v>39</v>
      </c>
      <c r="S2791" t="s">
        <v>27</v>
      </c>
    </row>
    <row r="2792" spans="1:19" x14ac:dyDescent="0.3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 t="str">
        <f t="shared" si="43"/>
        <v>31-60 days</v>
      </c>
      <c r="L2792">
        <v>57</v>
      </c>
      <c r="M2792">
        <v>2</v>
      </c>
      <c r="N2792">
        <v>0</v>
      </c>
      <c r="O2792" t="s">
        <v>54</v>
      </c>
      <c r="P2792" t="s">
        <v>55</v>
      </c>
      <c r="Q2792">
        <v>10.9</v>
      </c>
      <c r="R2792">
        <v>27</v>
      </c>
      <c r="S2792" t="s">
        <v>36</v>
      </c>
    </row>
    <row r="2793" spans="1:19" x14ac:dyDescent="0.3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 t="str">
        <f t="shared" si="43"/>
        <v>31-60 days</v>
      </c>
      <c r="L2793">
        <v>37</v>
      </c>
      <c r="M2793">
        <v>2</v>
      </c>
      <c r="N2793">
        <v>2</v>
      </c>
      <c r="O2793" t="s">
        <v>25</v>
      </c>
      <c r="P2793" t="s">
        <v>35</v>
      </c>
      <c r="Q2793">
        <v>5.4</v>
      </c>
      <c r="R2793">
        <v>27</v>
      </c>
      <c r="S2793" t="s">
        <v>27</v>
      </c>
    </row>
    <row r="2794" spans="1:19" x14ac:dyDescent="0.3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 t="str">
        <f t="shared" si="43"/>
        <v>31-60 days</v>
      </c>
      <c r="L2794">
        <v>45</v>
      </c>
      <c r="M2794">
        <v>3</v>
      </c>
      <c r="N2794">
        <v>1</v>
      </c>
      <c r="O2794" t="s">
        <v>25</v>
      </c>
      <c r="P2794" t="s">
        <v>26</v>
      </c>
      <c r="Q2794">
        <v>8.9</v>
      </c>
      <c r="R2794">
        <v>21</v>
      </c>
      <c r="S2794" t="s">
        <v>71</v>
      </c>
    </row>
    <row r="2795" spans="1:19" x14ac:dyDescent="0.3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 t="str">
        <f t="shared" si="43"/>
        <v>15-30 days</v>
      </c>
      <c r="L2795">
        <v>18</v>
      </c>
      <c r="M2795">
        <v>5</v>
      </c>
      <c r="N2795">
        <v>1</v>
      </c>
      <c r="O2795" t="s">
        <v>25</v>
      </c>
      <c r="P2795" t="s">
        <v>26</v>
      </c>
      <c r="Q2795">
        <v>1.7</v>
      </c>
      <c r="R2795">
        <v>15</v>
      </c>
      <c r="S2795" t="s">
        <v>27</v>
      </c>
    </row>
    <row r="2796" spans="1:19" x14ac:dyDescent="0.3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 t="str">
        <f t="shared" si="43"/>
        <v>0-7 days</v>
      </c>
      <c r="L2796">
        <v>2</v>
      </c>
      <c r="M2796">
        <v>2</v>
      </c>
      <c r="N2796">
        <v>1</v>
      </c>
      <c r="O2796" t="s">
        <v>25</v>
      </c>
      <c r="P2796" t="s">
        <v>35</v>
      </c>
      <c r="Q2796">
        <v>12.7</v>
      </c>
      <c r="R2796">
        <v>25</v>
      </c>
      <c r="S2796" t="s">
        <v>27</v>
      </c>
    </row>
    <row r="2797" spans="1:19" x14ac:dyDescent="0.3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 t="str">
        <f t="shared" si="43"/>
        <v>15-30 days</v>
      </c>
      <c r="L2797">
        <v>24</v>
      </c>
      <c r="M2797">
        <v>1</v>
      </c>
      <c r="N2797">
        <v>1</v>
      </c>
      <c r="O2797" t="s">
        <v>25</v>
      </c>
      <c r="P2797" t="s">
        <v>35</v>
      </c>
      <c r="Q2797">
        <v>6.6</v>
      </c>
      <c r="R2797">
        <v>37</v>
      </c>
      <c r="S2797" t="s">
        <v>27</v>
      </c>
    </row>
    <row r="2798" spans="1:19" x14ac:dyDescent="0.3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 t="str">
        <f t="shared" si="43"/>
        <v>31-60 days</v>
      </c>
      <c r="L2798">
        <v>53</v>
      </c>
      <c r="M2798">
        <v>1</v>
      </c>
      <c r="N2798">
        <v>0</v>
      </c>
      <c r="O2798" t="s">
        <v>25</v>
      </c>
      <c r="P2798" t="s">
        <v>26</v>
      </c>
      <c r="Q2798">
        <v>16</v>
      </c>
      <c r="R2798">
        <v>16</v>
      </c>
      <c r="S2798" t="s">
        <v>36</v>
      </c>
    </row>
    <row r="2799" spans="1:19" x14ac:dyDescent="0.3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 t="str">
        <f t="shared" si="43"/>
        <v>8-14 days</v>
      </c>
      <c r="L2799">
        <v>8</v>
      </c>
      <c r="M2799">
        <v>2</v>
      </c>
      <c r="N2799">
        <v>0</v>
      </c>
      <c r="O2799" t="s">
        <v>25</v>
      </c>
      <c r="P2799" t="s">
        <v>35</v>
      </c>
      <c r="Q2799">
        <v>8.3000000000000007</v>
      </c>
      <c r="R2799">
        <v>39</v>
      </c>
      <c r="S2799" t="s">
        <v>27</v>
      </c>
    </row>
    <row r="2800" spans="1:19" x14ac:dyDescent="0.3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 t="str">
        <f t="shared" si="43"/>
        <v>31-60 days</v>
      </c>
      <c r="L2800">
        <v>33</v>
      </c>
      <c r="M2800">
        <v>3</v>
      </c>
      <c r="N2800">
        <v>1</v>
      </c>
      <c r="O2800" t="s">
        <v>25</v>
      </c>
      <c r="P2800" t="s">
        <v>26</v>
      </c>
      <c r="Q2800">
        <v>7</v>
      </c>
      <c r="R2800">
        <v>30</v>
      </c>
      <c r="S2800" t="s">
        <v>36</v>
      </c>
    </row>
    <row r="2801" spans="1:19" x14ac:dyDescent="0.3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 t="str">
        <f t="shared" si="43"/>
        <v>8-14 days</v>
      </c>
      <c r="L2801">
        <v>11</v>
      </c>
      <c r="M2801">
        <v>0</v>
      </c>
      <c r="N2801">
        <v>0</v>
      </c>
      <c r="O2801" t="s">
        <v>25</v>
      </c>
      <c r="P2801" t="s">
        <v>26</v>
      </c>
      <c r="Q2801">
        <v>5.9</v>
      </c>
      <c r="R2801">
        <v>2</v>
      </c>
      <c r="S2801" t="s">
        <v>36</v>
      </c>
    </row>
    <row r="2802" spans="1:19" x14ac:dyDescent="0.3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 t="str">
        <f t="shared" si="43"/>
        <v>15-30 days</v>
      </c>
      <c r="L2802">
        <v>26</v>
      </c>
      <c r="M2802">
        <v>3</v>
      </c>
      <c r="N2802">
        <v>0</v>
      </c>
      <c r="O2802" t="s">
        <v>25</v>
      </c>
      <c r="P2802" t="s">
        <v>50</v>
      </c>
      <c r="Q2802">
        <v>6.5</v>
      </c>
      <c r="R2802">
        <v>14</v>
      </c>
      <c r="S2802" t="s">
        <v>27</v>
      </c>
    </row>
    <row r="2803" spans="1:19" x14ac:dyDescent="0.3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 t="str">
        <f t="shared" si="43"/>
        <v>8-14 days</v>
      </c>
      <c r="L2803">
        <v>8</v>
      </c>
      <c r="M2803">
        <v>3</v>
      </c>
      <c r="N2803">
        <v>0</v>
      </c>
      <c r="O2803" t="s">
        <v>25</v>
      </c>
      <c r="P2803" t="s">
        <v>35</v>
      </c>
      <c r="Q2803">
        <v>6.3</v>
      </c>
      <c r="R2803">
        <v>49</v>
      </c>
      <c r="S2803" t="s">
        <v>36</v>
      </c>
    </row>
    <row r="2804" spans="1:19" x14ac:dyDescent="0.3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 t="str">
        <f t="shared" si="43"/>
        <v>31-60 days</v>
      </c>
      <c r="L2804">
        <v>44</v>
      </c>
      <c r="M2804">
        <v>2</v>
      </c>
      <c r="N2804">
        <v>0</v>
      </c>
      <c r="O2804" t="s">
        <v>25</v>
      </c>
      <c r="P2804" t="s">
        <v>35</v>
      </c>
      <c r="Q2804">
        <v>5.3</v>
      </c>
      <c r="R2804">
        <v>23</v>
      </c>
      <c r="S2804" t="s">
        <v>27</v>
      </c>
    </row>
    <row r="2805" spans="1:19" x14ac:dyDescent="0.3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 t="str">
        <f t="shared" si="43"/>
        <v>31-60 days</v>
      </c>
      <c r="L2805">
        <v>49</v>
      </c>
      <c r="M2805">
        <v>5</v>
      </c>
      <c r="N2805">
        <v>1</v>
      </c>
      <c r="O2805" t="s">
        <v>25</v>
      </c>
      <c r="P2805" t="s">
        <v>35</v>
      </c>
      <c r="Q2805">
        <v>5.7</v>
      </c>
      <c r="R2805">
        <v>14</v>
      </c>
      <c r="S2805" t="s">
        <v>36</v>
      </c>
    </row>
    <row r="2806" spans="1:19" x14ac:dyDescent="0.3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 t="str">
        <f t="shared" si="43"/>
        <v>31-60 days</v>
      </c>
      <c r="L2806">
        <v>46</v>
      </c>
      <c r="M2806">
        <v>2</v>
      </c>
      <c r="N2806">
        <v>0</v>
      </c>
      <c r="O2806" t="s">
        <v>54</v>
      </c>
      <c r="P2806" t="s">
        <v>55</v>
      </c>
      <c r="Q2806">
        <v>27.3</v>
      </c>
      <c r="R2806">
        <v>14</v>
      </c>
      <c r="S2806" t="s">
        <v>36</v>
      </c>
    </row>
    <row r="2807" spans="1:19" x14ac:dyDescent="0.3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 t="str">
        <f t="shared" si="43"/>
        <v>31-60 days</v>
      </c>
      <c r="L2807">
        <v>42</v>
      </c>
      <c r="M2807">
        <v>6</v>
      </c>
      <c r="N2807">
        <v>1</v>
      </c>
      <c r="O2807" t="s">
        <v>25</v>
      </c>
      <c r="P2807" t="s">
        <v>26</v>
      </c>
      <c r="Q2807">
        <v>8.5</v>
      </c>
      <c r="R2807">
        <v>23</v>
      </c>
      <c r="S2807" t="s">
        <v>27</v>
      </c>
    </row>
    <row r="2808" spans="1:19" x14ac:dyDescent="0.3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 t="str">
        <f t="shared" si="43"/>
        <v>8-14 days</v>
      </c>
      <c r="L2808">
        <v>14</v>
      </c>
      <c r="M2808">
        <v>3</v>
      </c>
      <c r="N2808">
        <v>0</v>
      </c>
      <c r="O2808" t="s">
        <v>25</v>
      </c>
      <c r="P2808" t="s">
        <v>35</v>
      </c>
      <c r="Q2808">
        <v>2.2999999999999998</v>
      </c>
      <c r="R2808">
        <v>34</v>
      </c>
      <c r="S2808" t="s">
        <v>36</v>
      </c>
    </row>
    <row r="2809" spans="1:19" x14ac:dyDescent="0.3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 t="str">
        <f t="shared" si="43"/>
        <v>31-60 days</v>
      </c>
      <c r="L2809">
        <v>32</v>
      </c>
      <c r="M2809">
        <v>2</v>
      </c>
      <c r="N2809">
        <v>2</v>
      </c>
      <c r="O2809" t="s">
        <v>25</v>
      </c>
      <c r="P2809" t="s">
        <v>50</v>
      </c>
      <c r="Q2809">
        <v>2.2999999999999998</v>
      </c>
      <c r="R2809">
        <v>20</v>
      </c>
      <c r="S2809" t="s">
        <v>36</v>
      </c>
    </row>
    <row r="2810" spans="1:19" x14ac:dyDescent="0.3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 t="str">
        <f t="shared" si="43"/>
        <v>0-7 days</v>
      </c>
      <c r="L2810">
        <v>6</v>
      </c>
      <c r="M2810">
        <v>6</v>
      </c>
      <c r="N2810">
        <v>0</v>
      </c>
      <c r="O2810" t="s">
        <v>54</v>
      </c>
      <c r="P2810" t="s">
        <v>55</v>
      </c>
      <c r="Q2810">
        <v>27.7</v>
      </c>
      <c r="R2810">
        <v>15</v>
      </c>
      <c r="S2810" t="s">
        <v>36</v>
      </c>
    </row>
    <row r="2811" spans="1:19" x14ac:dyDescent="0.3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 t="str">
        <f t="shared" si="43"/>
        <v>15-30 days</v>
      </c>
      <c r="L2811">
        <v>22</v>
      </c>
      <c r="M2811">
        <v>2</v>
      </c>
      <c r="N2811">
        <v>1</v>
      </c>
      <c r="O2811" t="s">
        <v>54</v>
      </c>
      <c r="P2811" t="s">
        <v>55</v>
      </c>
      <c r="Q2811">
        <v>8.1999999999999993</v>
      </c>
      <c r="R2811">
        <v>2</v>
      </c>
      <c r="S2811" t="s">
        <v>27</v>
      </c>
    </row>
    <row r="2812" spans="1:19" x14ac:dyDescent="0.3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 t="str">
        <f t="shared" si="43"/>
        <v>15-30 days</v>
      </c>
      <c r="L2812">
        <v>30</v>
      </c>
      <c r="M2812">
        <v>2</v>
      </c>
      <c r="N2812">
        <v>2</v>
      </c>
      <c r="O2812" t="s">
        <v>54</v>
      </c>
      <c r="P2812" t="s">
        <v>55</v>
      </c>
      <c r="Q2812">
        <v>3.9</v>
      </c>
      <c r="R2812">
        <v>14</v>
      </c>
      <c r="S2812" t="s">
        <v>27</v>
      </c>
    </row>
    <row r="2813" spans="1:19" x14ac:dyDescent="0.3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 t="str">
        <f t="shared" si="43"/>
        <v>31-60 days</v>
      </c>
      <c r="L2813">
        <v>40</v>
      </c>
      <c r="M2813">
        <v>2</v>
      </c>
      <c r="N2813">
        <v>0</v>
      </c>
      <c r="O2813" t="s">
        <v>25</v>
      </c>
      <c r="P2813" t="s">
        <v>26</v>
      </c>
      <c r="Q2813">
        <v>17.2</v>
      </c>
      <c r="R2813">
        <v>16</v>
      </c>
      <c r="S2813" t="s">
        <v>27</v>
      </c>
    </row>
    <row r="2814" spans="1:19" x14ac:dyDescent="0.3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 t="str">
        <f t="shared" si="43"/>
        <v>0-7 days</v>
      </c>
      <c r="L2814">
        <v>5</v>
      </c>
      <c r="M2814">
        <v>6</v>
      </c>
      <c r="N2814">
        <v>1</v>
      </c>
      <c r="O2814" t="s">
        <v>25</v>
      </c>
      <c r="P2814" t="s">
        <v>35</v>
      </c>
      <c r="Q2814">
        <v>5.8</v>
      </c>
      <c r="R2814">
        <v>28</v>
      </c>
      <c r="S2814" t="s">
        <v>27</v>
      </c>
    </row>
    <row r="2815" spans="1:19" x14ac:dyDescent="0.3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 t="str">
        <f t="shared" si="43"/>
        <v>31-60 days</v>
      </c>
      <c r="L2815">
        <v>49</v>
      </c>
      <c r="M2815">
        <v>2</v>
      </c>
      <c r="N2815">
        <v>0</v>
      </c>
      <c r="O2815" t="s">
        <v>54</v>
      </c>
      <c r="P2815" t="s">
        <v>55</v>
      </c>
      <c r="Q2815">
        <v>9.1999999999999993</v>
      </c>
      <c r="R2815">
        <v>28</v>
      </c>
      <c r="S2815" t="s">
        <v>36</v>
      </c>
    </row>
    <row r="2816" spans="1:19" x14ac:dyDescent="0.3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 t="str">
        <f t="shared" si="43"/>
        <v>15-30 days</v>
      </c>
      <c r="L2816">
        <v>27</v>
      </c>
      <c r="M2816">
        <v>5</v>
      </c>
      <c r="N2816">
        <v>0</v>
      </c>
      <c r="O2816" t="s">
        <v>54</v>
      </c>
      <c r="P2816" t="s">
        <v>55</v>
      </c>
      <c r="Q2816">
        <v>10.199999999999999</v>
      </c>
      <c r="R2816">
        <v>40</v>
      </c>
      <c r="S2816" t="s">
        <v>36</v>
      </c>
    </row>
    <row r="2817" spans="1:19" x14ac:dyDescent="0.3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 t="str">
        <f t="shared" si="43"/>
        <v>31-60 days</v>
      </c>
      <c r="L2817">
        <v>53</v>
      </c>
      <c r="M2817">
        <v>3</v>
      </c>
      <c r="N2817">
        <v>0</v>
      </c>
      <c r="O2817" t="s">
        <v>54</v>
      </c>
      <c r="P2817" t="s">
        <v>55</v>
      </c>
      <c r="Q2817">
        <v>4.0999999999999996</v>
      </c>
      <c r="R2817">
        <v>11</v>
      </c>
      <c r="S2817" t="s">
        <v>36</v>
      </c>
    </row>
    <row r="2818" spans="1:19" x14ac:dyDescent="0.3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 t="str">
        <f t="shared" si="43"/>
        <v>31-60 days</v>
      </c>
      <c r="L2818">
        <v>32</v>
      </c>
      <c r="M2818">
        <v>4</v>
      </c>
      <c r="N2818">
        <v>1</v>
      </c>
      <c r="O2818" t="s">
        <v>54</v>
      </c>
      <c r="P2818" t="s">
        <v>55</v>
      </c>
      <c r="Q2818">
        <v>5.9</v>
      </c>
      <c r="R2818">
        <v>25</v>
      </c>
      <c r="S2818" t="s">
        <v>36</v>
      </c>
    </row>
    <row r="2819" spans="1:19" x14ac:dyDescent="0.3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 t="str">
        <f t="shared" ref="K2819:K2882" si="44">IF(L2819&lt;=7,"0-7 days",IF(L2819&lt;=14,"8-14 days",IF(L2819&lt;=30,"15-30 days","31-60 days")))</f>
        <v>31-60 days</v>
      </c>
      <c r="L2819">
        <v>33</v>
      </c>
      <c r="M2819">
        <v>0</v>
      </c>
      <c r="N2819">
        <v>0</v>
      </c>
      <c r="O2819" t="s">
        <v>25</v>
      </c>
      <c r="P2819" t="s">
        <v>26</v>
      </c>
      <c r="Q2819">
        <v>14</v>
      </c>
      <c r="R2819">
        <v>26</v>
      </c>
      <c r="S2819" t="s">
        <v>27</v>
      </c>
    </row>
    <row r="2820" spans="1:19" x14ac:dyDescent="0.3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 t="str">
        <f t="shared" si="44"/>
        <v>31-60 days</v>
      </c>
      <c r="L2820">
        <v>42</v>
      </c>
      <c r="M2820">
        <v>1</v>
      </c>
      <c r="N2820">
        <v>0</v>
      </c>
      <c r="O2820" t="s">
        <v>25</v>
      </c>
      <c r="P2820" t="s">
        <v>35</v>
      </c>
      <c r="Q2820">
        <v>20.7</v>
      </c>
      <c r="R2820">
        <v>13</v>
      </c>
      <c r="S2820" t="s">
        <v>36</v>
      </c>
    </row>
    <row r="2821" spans="1:19" x14ac:dyDescent="0.3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 t="str">
        <f t="shared" si="44"/>
        <v>31-60 days</v>
      </c>
      <c r="L2821">
        <v>50</v>
      </c>
      <c r="M2821">
        <v>6</v>
      </c>
      <c r="N2821">
        <v>1</v>
      </c>
      <c r="O2821" t="s">
        <v>25</v>
      </c>
      <c r="P2821" t="s">
        <v>35</v>
      </c>
      <c r="Q2821">
        <v>14.9</v>
      </c>
      <c r="R2821">
        <v>34</v>
      </c>
      <c r="S2821" t="s">
        <v>36</v>
      </c>
    </row>
    <row r="2822" spans="1:19" x14ac:dyDescent="0.3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 t="str">
        <f t="shared" si="44"/>
        <v>8-14 days</v>
      </c>
      <c r="L2822">
        <v>9</v>
      </c>
      <c r="M2822">
        <v>3</v>
      </c>
      <c r="N2822">
        <v>1</v>
      </c>
      <c r="O2822" t="s">
        <v>25</v>
      </c>
      <c r="P2822" t="s">
        <v>26</v>
      </c>
      <c r="Q2822">
        <v>11.3</v>
      </c>
      <c r="R2822">
        <v>43</v>
      </c>
      <c r="S2822" t="s">
        <v>27</v>
      </c>
    </row>
    <row r="2823" spans="1:19" x14ac:dyDescent="0.3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 t="str">
        <f t="shared" si="44"/>
        <v>31-60 days</v>
      </c>
      <c r="L2823">
        <v>31</v>
      </c>
      <c r="M2823">
        <v>6</v>
      </c>
      <c r="N2823">
        <v>1</v>
      </c>
      <c r="O2823" t="s">
        <v>25</v>
      </c>
      <c r="P2823" t="s">
        <v>50</v>
      </c>
      <c r="Q2823">
        <v>6.9</v>
      </c>
      <c r="R2823">
        <v>24</v>
      </c>
      <c r="S2823" t="s">
        <v>27</v>
      </c>
    </row>
    <row r="2824" spans="1:19" x14ac:dyDescent="0.3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 t="str">
        <f t="shared" si="44"/>
        <v>0-7 days</v>
      </c>
      <c r="L2824">
        <v>1</v>
      </c>
      <c r="M2824">
        <v>5</v>
      </c>
      <c r="N2824">
        <v>1</v>
      </c>
      <c r="O2824" t="s">
        <v>25</v>
      </c>
      <c r="P2824" t="s">
        <v>35</v>
      </c>
      <c r="Q2824">
        <v>12.3</v>
      </c>
      <c r="R2824">
        <v>19</v>
      </c>
      <c r="S2824" t="s">
        <v>27</v>
      </c>
    </row>
    <row r="2825" spans="1:19" x14ac:dyDescent="0.3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 t="str">
        <f t="shared" si="44"/>
        <v>15-30 days</v>
      </c>
      <c r="L2825">
        <v>28</v>
      </c>
      <c r="M2825">
        <v>2</v>
      </c>
      <c r="N2825">
        <v>0</v>
      </c>
      <c r="O2825" t="s">
        <v>54</v>
      </c>
      <c r="P2825" t="s">
        <v>55</v>
      </c>
      <c r="Q2825">
        <v>13.7</v>
      </c>
      <c r="R2825">
        <v>40</v>
      </c>
      <c r="S2825" t="s">
        <v>71</v>
      </c>
    </row>
    <row r="2826" spans="1:19" x14ac:dyDescent="0.3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 t="str">
        <f t="shared" si="44"/>
        <v>31-60 days</v>
      </c>
      <c r="L2826">
        <v>49</v>
      </c>
      <c r="M2826">
        <v>6</v>
      </c>
      <c r="N2826">
        <v>1</v>
      </c>
      <c r="O2826" t="s">
        <v>25</v>
      </c>
      <c r="P2826" t="s">
        <v>35</v>
      </c>
      <c r="Q2826">
        <v>20.3</v>
      </c>
      <c r="R2826">
        <v>29</v>
      </c>
      <c r="S2826" t="s">
        <v>36</v>
      </c>
    </row>
    <row r="2827" spans="1:19" x14ac:dyDescent="0.3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 t="str">
        <f t="shared" si="44"/>
        <v>31-60 days</v>
      </c>
      <c r="L2827">
        <v>52</v>
      </c>
      <c r="M2827">
        <v>3</v>
      </c>
      <c r="N2827">
        <v>0</v>
      </c>
      <c r="O2827" t="s">
        <v>25</v>
      </c>
      <c r="P2827" t="s">
        <v>26</v>
      </c>
      <c r="Q2827">
        <v>8.9</v>
      </c>
      <c r="R2827">
        <v>11</v>
      </c>
      <c r="S2827" t="s">
        <v>27</v>
      </c>
    </row>
    <row r="2828" spans="1:19" x14ac:dyDescent="0.3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 t="str">
        <f t="shared" si="44"/>
        <v>15-30 days</v>
      </c>
      <c r="L2828">
        <v>17</v>
      </c>
      <c r="M2828">
        <v>1</v>
      </c>
      <c r="N2828">
        <v>0</v>
      </c>
      <c r="O2828" t="s">
        <v>25</v>
      </c>
      <c r="P2828" t="s">
        <v>35</v>
      </c>
      <c r="Q2828">
        <v>33.4</v>
      </c>
      <c r="R2828">
        <v>22</v>
      </c>
      <c r="S2828" t="s">
        <v>36</v>
      </c>
    </row>
    <row r="2829" spans="1:19" x14ac:dyDescent="0.3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 t="str">
        <f t="shared" si="44"/>
        <v>15-30 days</v>
      </c>
      <c r="L2829">
        <v>23</v>
      </c>
      <c r="M2829">
        <v>4</v>
      </c>
      <c r="N2829">
        <v>1</v>
      </c>
      <c r="O2829" t="s">
        <v>25</v>
      </c>
      <c r="P2829" t="s">
        <v>35</v>
      </c>
      <c r="Q2829">
        <v>16.3</v>
      </c>
      <c r="S2829" t="s">
        <v>27</v>
      </c>
    </row>
    <row r="2830" spans="1:19" x14ac:dyDescent="0.3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 t="str">
        <f t="shared" si="44"/>
        <v>31-60 days</v>
      </c>
      <c r="L2830">
        <v>33</v>
      </c>
      <c r="M2830">
        <v>3</v>
      </c>
      <c r="N2830">
        <v>0</v>
      </c>
      <c r="O2830" t="s">
        <v>54</v>
      </c>
      <c r="P2830" t="s">
        <v>55</v>
      </c>
      <c r="Q2830">
        <v>8.3000000000000007</v>
      </c>
      <c r="R2830">
        <v>15</v>
      </c>
      <c r="S2830" t="s">
        <v>36</v>
      </c>
    </row>
    <row r="2831" spans="1:19" x14ac:dyDescent="0.3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 t="str">
        <f t="shared" si="44"/>
        <v>15-30 days</v>
      </c>
      <c r="L2831">
        <v>24</v>
      </c>
      <c r="M2831">
        <v>2</v>
      </c>
      <c r="N2831">
        <v>0</v>
      </c>
      <c r="O2831" t="s">
        <v>25</v>
      </c>
      <c r="P2831" t="s">
        <v>35</v>
      </c>
      <c r="Q2831">
        <v>18.3</v>
      </c>
      <c r="R2831">
        <v>15</v>
      </c>
      <c r="S2831" t="s">
        <v>27</v>
      </c>
    </row>
    <row r="2832" spans="1:19" x14ac:dyDescent="0.3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 t="str">
        <f t="shared" si="44"/>
        <v>8-14 days</v>
      </c>
      <c r="L2832">
        <v>10</v>
      </c>
      <c r="M2832">
        <v>3</v>
      </c>
      <c r="N2832">
        <v>0</v>
      </c>
      <c r="O2832" t="s">
        <v>25</v>
      </c>
      <c r="P2832" t="s">
        <v>50</v>
      </c>
      <c r="Q2832">
        <v>7.1</v>
      </c>
      <c r="R2832">
        <v>17</v>
      </c>
      <c r="S2832" t="s">
        <v>27</v>
      </c>
    </row>
    <row r="2833" spans="1:19" x14ac:dyDescent="0.3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 t="str">
        <f t="shared" si="44"/>
        <v>15-30 days</v>
      </c>
      <c r="L2833">
        <v>18</v>
      </c>
      <c r="M2833">
        <v>3</v>
      </c>
      <c r="N2833">
        <v>1</v>
      </c>
      <c r="O2833" t="s">
        <v>54</v>
      </c>
      <c r="P2833" t="s">
        <v>55</v>
      </c>
      <c r="Q2833">
        <v>5.8</v>
      </c>
      <c r="R2833">
        <v>33</v>
      </c>
      <c r="S2833" t="s">
        <v>36</v>
      </c>
    </row>
    <row r="2834" spans="1:19" x14ac:dyDescent="0.3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 t="str">
        <f t="shared" si="44"/>
        <v>15-30 days</v>
      </c>
      <c r="L2834">
        <v>24</v>
      </c>
      <c r="M2834">
        <v>2</v>
      </c>
      <c r="N2834">
        <v>0</v>
      </c>
      <c r="O2834" t="s">
        <v>25</v>
      </c>
      <c r="P2834" t="s">
        <v>50</v>
      </c>
      <c r="Q2834">
        <v>2.4</v>
      </c>
      <c r="R2834">
        <v>21</v>
      </c>
      <c r="S2834" t="s">
        <v>27</v>
      </c>
    </row>
    <row r="2835" spans="1:19" x14ac:dyDescent="0.3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 t="str">
        <f t="shared" si="44"/>
        <v>31-60 days</v>
      </c>
      <c r="L2835">
        <v>31</v>
      </c>
      <c r="M2835">
        <v>2</v>
      </c>
      <c r="N2835">
        <v>0</v>
      </c>
      <c r="O2835" t="s">
        <v>25</v>
      </c>
      <c r="P2835" t="s">
        <v>35</v>
      </c>
      <c r="Q2835">
        <v>26.9</v>
      </c>
      <c r="R2835">
        <v>25</v>
      </c>
      <c r="S2835" t="s">
        <v>71</v>
      </c>
    </row>
    <row r="2836" spans="1:19" x14ac:dyDescent="0.3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 t="str">
        <f t="shared" si="44"/>
        <v>31-60 days</v>
      </c>
      <c r="L2836">
        <v>56</v>
      </c>
      <c r="M2836">
        <v>1</v>
      </c>
      <c r="N2836">
        <v>0</v>
      </c>
      <c r="O2836" t="s">
        <v>25</v>
      </c>
      <c r="P2836" t="s">
        <v>26</v>
      </c>
      <c r="Q2836">
        <v>7</v>
      </c>
      <c r="R2836">
        <v>35</v>
      </c>
      <c r="S2836" t="s">
        <v>27</v>
      </c>
    </row>
    <row r="2837" spans="1:19" x14ac:dyDescent="0.3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 t="str">
        <f t="shared" si="44"/>
        <v>31-60 days</v>
      </c>
      <c r="L2837">
        <v>33</v>
      </c>
      <c r="M2837">
        <v>2</v>
      </c>
      <c r="N2837">
        <v>0</v>
      </c>
      <c r="O2837" t="s">
        <v>54</v>
      </c>
      <c r="P2837" t="s">
        <v>55</v>
      </c>
      <c r="Q2837">
        <v>13.6</v>
      </c>
      <c r="R2837">
        <v>21</v>
      </c>
      <c r="S2837" t="s">
        <v>27</v>
      </c>
    </row>
    <row r="2838" spans="1:19" x14ac:dyDescent="0.3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 t="str">
        <f t="shared" si="44"/>
        <v>15-30 days</v>
      </c>
      <c r="L2838">
        <v>23</v>
      </c>
      <c r="M2838">
        <v>9</v>
      </c>
      <c r="N2838">
        <v>1</v>
      </c>
      <c r="O2838" t="s">
        <v>25</v>
      </c>
      <c r="P2838" t="s">
        <v>50</v>
      </c>
      <c r="Q2838">
        <v>16.5</v>
      </c>
      <c r="R2838">
        <v>11</v>
      </c>
      <c r="S2838" t="s">
        <v>36</v>
      </c>
    </row>
    <row r="2839" spans="1:19" x14ac:dyDescent="0.3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 t="str">
        <f t="shared" si="44"/>
        <v>31-60 days</v>
      </c>
      <c r="L2839">
        <v>40</v>
      </c>
      <c r="M2839">
        <v>5</v>
      </c>
      <c r="N2839">
        <v>1</v>
      </c>
      <c r="O2839" t="s">
        <v>25</v>
      </c>
      <c r="P2839" t="s">
        <v>50</v>
      </c>
      <c r="Q2839">
        <v>7.2</v>
      </c>
      <c r="R2839">
        <v>34</v>
      </c>
      <c r="S2839" t="s">
        <v>36</v>
      </c>
    </row>
    <row r="2840" spans="1:19" x14ac:dyDescent="0.3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 t="str">
        <f t="shared" si="44"/>
        <v>31-60 days</v>
      </c>
      <c r="L2840">
        <v>47</v>
      </c>
      <c r="M2840">
        <v>3</v>
      </c>
      <c r="N2840">
        <v>0</v>
      </c>
      <c r="O2840" t="s">
        <v>25</v>
      </c>
      <c r="P2840" t="s">
        <v>35</v>
      </c>
      <c r="Q2840">
        <v>7.6</v>
      </c>
      <c r="R2840">
        <v>20</v>
      </c>
      <c r="S2840" t="s">
        <v>27</v>
      </c>
    </row>
    <row r="2841" spans="1:19" x14ac:dyDescent="0.3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 t="str">
        <f t="shared" si="44"/>
        <v>15-30 days</v>
      </c>
      <c r="L2841">
        <v>26</v>
      </c>
      <c r="M2841">
        <v>1</v>
      </c>
      <c r="N2841">
        <v>0</v>
      </c>
      <c r="O2841" t="s">
        <v>54</v>
      </c>
      <c r="P2841" t="s">
        <v>55</v>
      </c>
      <c r="Q2841">
        <v>2.2999999999999998</v>
      </c>
      <c r="R2841">
        <v>44</v>
      </c>
      <c r="S2841" t="s">
        <v>27</v>
      </c>
    </row>
    <row r="2842" spans="1:19" x14ac:dyDescent="0.3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 t="str">
        <f t="shared" si="44"/>
        <v>15-30 days</v>
      </c>
      <c r="L2842">
        <v>29</v>
      </c>
      <c r="M2842">
        <v>0</v>
      </c>
      <c r="N2842">
        <v>0</v>
      </c>
      <c r="O2842" t="s">
        <v>54</v>
      </c>
      <c r="P2842" t="s">
        <v>55</v>
      </c>
      <c r="Q2842">
        <v>4.3</v>
      </c>
      <c r="R2842">
        <v>35</v>
      </c>
      <c r="S2842" t="s">
        <v>36</v>
      </c>
    </row>
    <row r="2843" spans="1:19" x14ac:dyDescent="0.3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 t="str">
        <f t="shared" si="44"/>
        <v>8-14 days</v>
      </c>
      <c r="L2843">
        <v>13</v>
      </c>
      <c r="M2843">
        <v>1</v>
      </c>
      <c r="N2843">
        <v>0</v>
      </c>
      <c r="O2843" t="s">
        <v>54</v>
      </c>
      <c r="P2843" t="s">
        <v>55</v>
      </c>
      <c r="Q2843">
        <v>3</v>
      </c>
      <c r="R2843">
        <v>30</v>
      </c>
      <c r="S2843" t="s">
        <v>27</v>
      </c>
    </row>
    <row r="2844" spans="1:19" x14ac:dyDescent="0.3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 t="str">
        <f t="shared" si="44"/>
        <v>31-60 days</v>
      </c>
      <c r="L2844">
        <v>52</v>
      </c>
      <c r="M2844">
        <v>3</v>
      </c>
      <c r="N2844">
        <v>0</v>
      </c>
      <c r="O2844" t="s">
        <v>25</v>
      </c>
      <c r="P2844" t="s">
        <v>35</v>
      </c>
      <c r="Q2844">
        <v>31.1</v>
      </c>
      <c r="R2844">
        <v>26</v>
      </c>
      <c r="S2844" t="s">
        <v>36</v>
      </c>
    </row>
    <row r="2845" spans="1:19" x14ac:dyDescent="0.3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 t="str">
        <f t="shared" si="44"/>
        <v>31-60 days</v>
      </c>
      <c r="L2845">
        <v>52</v>
      </c>
      <c r="M2845">
        <v>4</v>
      </c>
      <c r="N2845">
        <v>0</v>
      </c>
      <c r="O2845" t="s">
        <v>25</v>
      </c>
      <c r="P2845" t="s">
        <v>35</v>
      </c>
      <c r="Q2845">
        <v>8</v>
      </c>
      <c r="R2845">
        <v>36</v>
      </c>
      <c r="S2845" t="s">
        <v>36</v>
      </c>
    </row>
    <row r="2846" spans="1:19" x14ac:dyDescent="0.3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 t="str">
        <f t="shared" si="44"/>
        <v>8-14 days</v>
      </c>
      <c r="L2846">
        <v>10</v>
      </c>
      <c r="M2846">
        <v>1</v>
      </c>
      <c r="N2846">
        <v>0</v>
      </c>
      <c r="O2846" t="s">
        <v>25</v>
      </c>
      <c r="P2846" t="s">
        <v>35</v>
      </c>
      <c r="Q2846">
        <v>5.6</v>
      </c>
      <c r="R2846">
        <v>27</v>
      </c>
      <c r="S2846" t="s">
        <v>36</v>
      </c>
    </row>
    <row r="2847" spans="1:19" x14ac:dyDescent="0.3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 t="str">
        <f t="shared" si="44"/>
        <v>15-30 days</v>
      </c>
      <c r="L2847">
        <v>21</v>
      </c>
      <c r="M2847">
        <v>3</v>
      </c>
      <c r="N2847">
        <v>2</v>
      </c>
      <c r="O2847" t="s">
        <v>25</v>
      </c>
      <c r="P2847" t="s">
        <v>26</v>
      </c>
      <c r="R2847">
        <v>2</v>
      </c>
      <c r="S2847" t="s">
        <v>36</v>
      </c>
    </row>
    <row r="2848" spans="1:19" x14ac:dyDescent="0.3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 t="str">
        <f t="shared" si="44"/>
        <v>15-30 days</v>
      </c>
      <c r="L2848">
        <v>16</v>
      </c>
      <c r="M2848">
        <v>2</v>
      </c>
      <c r="N2848">
        <v>0</v>
      </c>
      <c r="O2848" t="s">
        <v>54</v>
      </c>
      <c r="P2848" t="s">
        <v>55</v>
      </c>
      <c r="Q2848">
        <v>9.1</v>
      </c>
      <c r="R2848">
        <v>23</v>
      </c>
      <c r="S2848" t="s">
        <v>36</v>
      </c>
    </row>
    <row r="2849" spans="1:19" x14ac:dyDescent="0.3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 t="str">
        <f t="shared" si="44"/>
        <v>31-60 days</v>
      </c>
      <c r="L2849">
        <v>56</v>
      </c>
      <c r="M2849">
        <v>2</v>
      </c>
      <c r="N2849">
        <v>0</v>
      </c>
      <c r="O2849" t="s">
        <v>25</v>
      </c>
      <c r="P2849" t="s">
        <v>35</v>
      </c>
      <c r="Q2849">
        <v>5.0999999999999996</v>
      </c>
      <c r="R2849">
        <v>30</v>
      </c>
      <c r="S2849" t="s">
        <v>36</v>
      </c>
    </row>
    <row r="2850" spans="1:19" x14ac:dyDescent="0.3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 t="str">
        <f t="shared" si="44"/>
        <v>0-7 days</v>
      </c>
      <c r="L2850">
        <v>3</v>
      </c>
      <c r="M2850">
        <v>2</v>
      </c>
      <c r="N2850">
        <v>0</v>
      </c>
      <c r="O2850" t="s">
        <v>25</v>
      </c>
      <c r="P2850" t="s">
        <v>26</v>
      </c>
      <c r="Q2850">
        <v>13.3</v>
      </c>
      <c r="R2850">
        <v>13</v>
      </c>
      <c r="S2850" t="s">
        <v>36</v>
      </c>
    </row>
    <row r="2851" spans="1:19" x14ac:dyDescent="0.3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 t="str">
        <f t="shared" si="44"/>
        <v>8-14 days</v>
      </c>
      <c r="L2851">
        <v>12</v>
      </c>
      <c r="M2851">
        <v>2</v>
      </c>
      <c r="N2851">
        <v>0</v>
      </c>
      <c r="O2851" t="s">
        <v>25</v>
      </c>
      <c r="P2851" t="s">
        <v>35</v>
      </c>
      <c r="Q2851">
        <v>16.5</v>
      </c>
      <c r="R2851">
        <v>53</v>
      </c>
      <c r="S2851" t="s">
        <v>36</v>
      </c>
    </row>
    <row r="2852" spans="1:19" x14ac:dyDescent="0.3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 t="str">
        <f t="shared" si="44"/>
        <v>15-30 days</v>
      </c>
      <c r="L2852">
        <v>19</v>
      </c>
      <c r="M2852">
        <v>3</v>
      </c>
      <c r="N2852">
        <v>0</v>
      </c>
      <c r="O2852" t="s">
        <v>25</v>
      </c>
      <c r="P2852" t="s">
        <v>26</v>
      </c>
      <c r="Q2852">
        <v>8.1</v>
      </c>
      <c r="R2852">
        <v>22</v>
      </c>
      <c r="S2852" t="s">
        <v>27</v>
      </c>
    </row>
    <row r="2853" spans="1:19" x14ac:dyDescent="0.3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 t="str">
        <f t="shared" si="44"/>
        <v>31-60 days</v>
      </c>
      <c r="L2853">
        <v>34</v>
      </c>
      <c r="M2853">
        <v>2</v>
      </c>
      <c r="N2853">
        <v>1</v>
      </c>
      <c r="O2853" t="s">
        <v>25</v>
      </c>
      <c r="P2853" t="s">
        <v>26</v>
      </c>
      <c r="Q2853">
        <v>6</v>
      </c>
      <c r="R2853">
        <v>30</v>
      </c>
      <c r="S2853" t="s">
        <v>36</v>
      </c>
    </row>
    <row r="2854" spans="1:19" x14ac:dyDescent="0.3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 t="str">
        <f t="shared" si="44"/>
        <v>15-30 days</v>
      </c>
      <c r="L2854">
        <v>15</v>
      </c>
      <c r="M2854">
        <v>1</v>
      </c>
      <c r="N2854">
        <v>0</v>
      </c>
      <c r="O2854" t="s">
        <v>54</v>
      </c>
      <c r="P2854" t="s">
        <v>55</v>
      </c>
      <c r="Q2854">
        <v>7.1</v>
      </c>
      <c r="R2854">
        <v>37</v>
      </c>
      <c r="S2854" t="s">
        <v>27</v>
      </c>
    </row>
    <row r="2855" spans="1:19" x14ac:dyDescent="0.3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 t="str">
        <f t="shared" si="44"/>
        <v>31-60 days</v>
      </c>
      <c r="L2855">
        <v>32</v>
      </c>
      <c r="M2855">
        <v>2</v>
      </c>
      <c r="N2855">
        <v>2</v>
      </c>
      <c r="O2855" t="s">
        <v>54</v>
      </c>
      <c r="P2855" t="s">
        <v>55</v>
      </c>
      <c r="Q2855">
        <v>4.5</v>
      </c>
      <c r="R2855">
        <v>31</v>
      </c>
      <c r="S2855" t="s">
        <v>27</v>
      </c>
    </row>
    <row r="2856" spans="1:19" x14ac:dyDescent="0.3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 t="str">
        <f t="shared" si="44"/>
        <v>31-60 days</v>
      </c>
      <c r="L2856">
        <v>45</v>
      </c>
      <c r="M2856">
        <v>2</v>
      </c>
      <c r="N2856">
        <v>0</v>
      </c>
      <c r="O2856" t="s">
        <v>25</v>
      </c>
      <c r="P2856" t="s">
        <v>26</v>
      </c>
      <c r="Q2856">
        <v>7.7</v>
      </c>
      <c r="R2856">
        <v>23</v>
      </c>
      <c r="S2856" t="s">
        <v>36</v>
      </c>
    </row>
    <row r="2857" spans="1:19" x14ac:dyDescent="0.3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 t="str">
        <f t="shared" si="44"/>
        <v>31-60 days</v>
      </c>
      <c r="L2857">
        <v>50</v>
      </c>
      <c r="M2857">
        <v>6</v>
      </c>
      <c r="N2857">
        <v>0</v>
      </c>
      <c r="O2857" t="s">
        <v>25</v>
      </c>
      <c r="P2857" t="s">
        <v>50</v>
      </c>
      <c r="Q2857">
        <v>14.2</v>
      </c>
      <c r="R2857">
        <v>28</v>
      </c>
      <c r="S2857" t="s">
        <v>27</v>
      </c>
    </row>
    <row r="2858" spans="1:19" x14ac:dyDescent="0.3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 t="str">
        <f t="shared" si="44"/>
        <v>0-7 days</v>
      </c>
      <c r="L2858">
        <v>6</v>
      </c>
      <c r="M2858">
        <v>1</v>
      </c>
      <c r="N2858">
        <v>0</v>
      </c>
      <c r="O2858" t="s">
        <v>25</v>
      </c>
      <c r="P2858" t="s">
        <v>35</v>
      </c>
      <c r="Q2858">
        <v>23.4</v>
      </c>
      <c r="R2858">
        <v>22</v>
      </c>
      <c r="S2858" t="s">
        <v>27</v>
      </c>
    </row>
    <row r="2859" spans="1:19" x14ac:dyDescent="0.3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 t="str">
        <f t="shared" si="44"/>
        <v>8-14 days</v>
      </c>
      <c r="L2859">
        <v>8</v>
      </c>
      <c r="M2859">
        <v>0</v>
      </c>
      <c r="N2859">
        <v>0</v>
      </c>
      <c r="O2859" t="s">
        <v>25</v>
      </c>
      <c r="P2859" t="s">
        <v>26</v>
      </c>
      <c r="Q2859">
        <v>11.3</v>
      </c>
      <c r="R2859">
        <v>23</v>
      </c>
      <c r="S2859" t="s">
        <v>27</v>
      </c>
    </row>
    <row r="2860" spans="1:19" x14ac:dyDescent="0.3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 t="str">
        <f t="shared" si="44"/>
        <v>0-7 days</v>
      </c>
      <c r="L2860">
        <v>5</v>
      </c>
      <c r="M2860">
        <v>5</v>
      </c>
      <c r="N2860">
        <v>0</v>
      </c>
      <c r="O2860" t="s">
        <v>25</v>
      </c>
      <c r="P2860" t="s">
        <v>35</v>
      </c>
      <c r="Q2860">
        <v>14</v>
      </c>
      <c r="R2860">
        <v>11</v>
      </c>
      <c r="S2860" t="s">
        <v>27</v>
      </c>
    </row>
    <row r="2861" spans="1:19" x14ac:dyDescent="0.3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 t="str">
        <f t="shared" si="44"/>
        <v>31-60 days</v>
      </c>
      <c r="L2861">
        <v>55</v>
      </c>
      <c r="M2861">
        <v>3</v>
      </c>
      <c r="N2861">
        <v>0</v>
      </c>
      <c r="O2861" t="s">
        <v>25</v>
      </c>
      <c r="P2861" t="s">
        <v>35</v>
      </c>
      <c r="Q2861">
        <v>8.1999999999999993</v>
      </c>
      <c r="R2861">
        <v>21</v>
      </c>
      <c r="S2861" t="s">
        <v>36</v>
      </c>
    </row>
    <row r="2862" spans="1:19" x14ac:dyDescent="0.3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 t="str">
        <f t="shared" si="44"/>
        <v>31-60 days</v>
      </c>
      <c r="L2862">
        <v>39</v>
      </c>
      <c r="M2862">
        <v>0</v>
      </c>
      <c r="N2862">
        <v>0</v>
      </c>
      <c r="O2862" t="s">
        <v>54</v>
      </c>
      <c r="P2862" t="s">
        <v>55</v>
      </c>
      <c r="Q2862">
        <v>17.600000000000001</v>
      </c>
      <c r="R2862">
        <v>11</v>
      </c>
      <c r="S2862" t="s">
        <v>27</v>
      </c>
    </row>
    <row r="2863" spans="1:19" x14ac:dyDescent="0.3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 t="str">
        <f t="shared" si="44"/>
        <v>31-60 days</v>
      </c>
      <c r="L2863">
        <v>32</v>
      </c>
      <c r="M2863">
        <v>2</v>
      </c>
      <c r="N2863">
        <v>0</v>
      </c>
      <c r="O2863" t="s">
        <v>54</v>
      </c>
      <c r="P2863" t="s">
        <v>55</v>
      </c>
      <c r="Q2863">
        <v>5.2</v>
      </c>
      <c r="R2863">
        <v>24</v>
      </c>
      <c r="S2863" t="s">
        <v>27</v>
      </c>
    </row>
    <row r="2864" spans="1:19" x14ac:dyDescent="0.3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 t="str">
        <f t="shared" si="44"/>
        <v>31-60 days</v>
      </c>
      <c r="L2864">
        <v>48</v>
      </c>
      <c r="M2864">
        <v>4</v>
      </c>
      <c r="N2864">
        <v>3</v>
      </c>
      <c r="O2864" t="s">
        <v>25</v>
      </c>
      <c r="P2864" t="s">
        <v>35</v>
      </c>
      <c r="Q2864">
        <v>3.5</v>
      </c>
      <c r="R2864">
        <v>20</v>
      </c>
      <c r="S2864" t="s">
        <v>27</v>
      </c>
    </row>
    <row r="2865" spans="1:19" x14ac:dyDescent="0.3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 t="str">
        <f t="shared" si="44"/>
        <v>31-60 days</v>
      </c>
      <c r="L2865">
        <v>35</v>
      </c>
      <c r="M2865">
        <v>2</v>
      </c>
      <c r="N2865">
        <v>1</v>
      </c>
      <c r="O2865" t="s">
        <v>25</v>
      </c>
      <c r="P2865" t="s">
        <v>50</v>
      </c>
      <c r="Q2865">
        <v>8</v>
      </c>
      <c r="R2865">
        <v>30</v>
      </c>
      <c r="S2865" t="s">
        <v>27</v>
      </c>
    </row>
    <row r="2866" spans="1:19" x14ac:dyDescent="0.3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 t="str">
        <f t="shared" si="44"/>
        <v>8-14 days</v>
      </c>
      <c r="L2866">
        <v>14</v>
      </c>
      <c r="M2866">
        <v>6</v>
      </c>
      <c r="N2866">
        <v>2</v>
      </c>
      <c r="O2866" t="s">
        <v>25</v>
      </c>
      <c r="P2866" t="s">
        <v>26</v>
      </c>
      <c r="Q2866">
        <v>12.1</v>
      </c>
      <c r="R2866">
        <v>8</v>
      </c>
      <c r="S2866" t="s">
        <v>36</v>
      </c>
    </row>
    <row r="2867" spans="1:19" x14ac:dyDescent="0.3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 t="str">
        <f t="shared" si="44"/>
        <v>31-60 days</v>
      </c>
      <c r="L2867">
        <v>31</v>
      </c>
      <c r="M2867">
        <v>2</v>
      </c>
      <c r="N2867">
        <v>0</v>
      </c>
      <c r="O2867" t="s">
        <v>54</v>
      </c>
      <c r="P2867" t="s">
        <v>55</v>
      </c>
      <c r="Q2867">
        <v>3.3</v>
      </c>
      <c r="S2867" t="s">
        <v>27</v>
      </c>
    </row>
    <row r="2868" spans="1:19" x14ac:dyDescent="0.3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 t="str">
        <f t="shared" si="44"/>
        <v>31-60 days</v>
      </c>
      <c r="L2868">
        <v>42</v>
      </c>
      <c r="M2868">
        <v>3</v>
      </c>
      <c r="N2868">
        <v>0</v>
      </c>
      <c r="O2868" t="s">
        <v>54</v>
      </c>
      <c r="P2868" t="s">
        <v>55</v>
      </c>
      <c r="Q2868">
        <v>26</v>
      </c>
      <c r="R2868">
        <v>14</v>
      </c>
      <c r="S2868" t="s">
        <v>27</v>
      </c>
    </row>
    <row r="2869" spans="1:19" x14ac:dyDescent="0.3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 t="str">
        <f t="shared" si="44"/>
        <v>0-7 days</v>
      </c>
      <c r="L2869">
        <v>2</v>
      </c>
      <c r="M2869">
        <v>2</v>
      </c>
      <c r="N2869">
        <v>0</v>
      </c>
      <c r="O2869" t="s">
        <v>54</v>
      </c>
      <c r="P2869" t="s">
        <v>55</v>
      </c>
      <c r="Q2869">
        <v>4.5999999999999996</v>
      </c>
      <c r="R2869">
        <v>24</v>
      </c>
      <c r="S2869" t="s">
        <v>36</v>
      </c>
    </row>
    <row r="2870" spans="1:19" x14ac:dyDescent="0.3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 t="str">
        <f t="shared" si="44"/>
        <v>31-60 days</v>
      </c>
      <c r="L2870">
        <v>36</v>
      </c>
      <c r="M2870">
        <v>3</v>
      </c>
      <c r="N2870">
        <v>0</v>
      </c>
      <c r="O2870" t="s">
        <v>25</v>
      </c>
      <c r="P2870" t="s">
        <v>26</v>
      </c>
      <c r="Q2870">
        <v>6.6</v>
      </c>
      <c r="R2870">
        <v>21</v>
      </c>
      <c r="S2870" t="s">
        <v>36</v>
      </c>
    </row>
    <row r="2871" spans="1:19" x14ac:dyDescent="0.3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 t="str">
        <f t="shared" si="44"/>
        <v>15-30 days</v>
      </c>
      <c r="L2871">
        <v>30</v>
      </c>
      <c r="M2871">
        <v>1</v>
      </c>
      <c r="N2871">
        <v>0</v>
      </c>
      <c r="O2871" t="s">
        <v>54</v>
      </c>
      <c r="P2871" t="s">
        <v>55</v>
      </c>
      <c r="Q2871">
        <v>12.2</v>
      </c>
      <c r="R2871">
        <v>36</v>
      </c>
      <c r="S2871" t="s">
        <v>27</v>
      </c>
    </row>
    <row r="2872" spans="1:19" x14ac:dyDescent="0.3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 t="str">
        <f t="shared" si="44"/>
        <v>0-7 days</v>
      </c>
      <c r="L2872">
        <v>4</v>
      </c>
      <c r="M2872">
        <v>5</v>
      </c>
      <c r="N2872">
        <v>0</v>
      </c>
      <c r="O2872" t="s">
        <v>25</v>
      </c>
      <c r="P2872" t="s">
        <v>35</v>
      </c>
      <c r="Q2872">
        <v>11.1</v>
      </c>
      <c r="R2872">
        <v>24</v>
      </c>
      <c r="S2872" t="s">
        <v>36</v>
      </c>
    </row>
    <row r="2873" spans="1:19" x14ac:dyDescent="0.3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 t="str">
        <f t="shared" si="44"/>
        <v>15-30 days</v>
      </c>
      <c r="L2873">
        <v>16</v>
      </c>
      <c r="M2873">
        <v>5</v>
      </c>
      <c r="N2873">
        <v>1</v>
      </c>
      <c r="O2873" t="s">
        <v>25</v>
      </c>
      <c r="P2873" t="s">
        <v>26</v>
      </c>
      <c r="Q2873">
        <v>17.899999999999999</v>
      </c>
      <c r="R2873">
        <v>24</v>
      </c>
      <c r="S2873" t="s">
        <v>27</v>
      </c>
    </row>
    <row r="2874" spans="1:19" x14ac:dyDescent="0.3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 t="str">
        <f t="shared" si="44"/>
        <v>15-30 days</v>
      </c>
      <c r="L2874">
        <v>27</v>
      </c>
      <c r="M2874">
        <v>2</v>
      </c>
      <c r="N2874">
        <v>0</v>
      </c>
      <c r="O2874" t="s">
        <v>25</v>
      </c>
      <c r="P2874" t="s">
        <v>50</v>
      </c>
      <c r="Q2874">
        <v>14.5</v>
      </c>
      <c r="R2874">
        <v>12</v>
      </c>
      <c r="S2874" t="s">
        <v>27</v>
      </c>
    </row>
    <row r="2875" spans="1:19" x14ac:dyDescent="0.3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 t="str">
        <f t="shared" si="44"/>
        <v>15-30 days</v>
      </c>
      <c r="L2875">
        <v>20</v>
      </c>
      <c r="M2875">
        <v>3</v>
      </c>
      <c r="N2875">
        <v>0</v>
      </c>
      <c r="O2875" t="s">
        <v>25</v>
      </c>
      <c r="P2875" t="s">
        <v>35</v>
      </c>
      <c r="Q2875">
        <v>4.7</v>
      </c>
      <c r="R2875">
        <v>21</v>
      </c>
      <c r="S2875" t="s">
        <v>36</v>
      </c>
    </row>
    <row r="2876" spans="1:19" x14ac:dyDescent="0.3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 t="str">
        <f t="shared" si="44"/>
        <v>15-30 days</v>
      </c>
      <c r="L2876">
        <v>17</v>
      </c>
      <c r="M2876">
        <v>5</v>
      </c>
      <c r="N2876">
        <v>1</v>
      </c>
      <c r="O2876" t="s">
        <v>25</v>
      </c>
      <c r="P2876" t="s">
        <v>26</v>
      </c>
      <c r="Q2876">
        <v>6.8</v>
      </c>
      <c r="R2876">
        <v>9</v>
      </c>
      <c r="S2876" t="s">
        <v>36</v>
      </c>
    </row>
    <row r="2877" spans="1:19" x14ac:dyDescent="0.3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 t="str">
        <f t="shared" si="44"/>
        <v>31-60 days</v>
      </c>
      <c r="L2877">
        <v>39</v>
      </c>
      <c r="M2877">
        <v>3</v>
      </c>
      <c r="N2877">
        <v>0</v>
      </c>
      <c r="O2877" t="s">
        <v>25</v>
      </c>
      <c r="P2877" t="s">
        <v>35</v>
      </c>
      <c r="Q2877">
        <v>12.9</v>
      </c>
      <c r="R2877">
        <v>29</v>
      </c>
      <c r="S2877" t="s">
        <v>27</v>
      </c>
    </row>
    <row r="2878" spans="1:19" x14ac:dyDescent="0.3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 t="str">
        <f t="shared" si="44"/>
        <v>15-30 days</v>
      </c>
      <c r="L2878">
        <v>24</v>
      </c>
      <c r="M2878">
        <v>1</v>
      </c>
      <c r="N2878">
        <v>0</v>
      </c>
      <c r="O2878" t="s">
        <v>25</v>
      </c>
      <c r="P2878" t="s">
        <v>35</v>
      </c>
      <c r="Q2878">
        <v>8.1999999999999993</v>
      </c>
      <c r="R2878">
        <v>33</v>
      </c>
      <c r="S2878" t="s">
        <v>36</v>
      </c>
    </row>
    <row r="2879" spans="1:19" x14ac:dyDescent="0.3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 t="str">
        <f t="shared" si="44"/>
        <v>15-30 days</v>
      </c>
      <c r="L2879">
        <v>30</v>
      </c>
      <c r="M2879">
        <v>4</v>
      </c>
      <c r="N2879">
        <v>0</v>
      </c>
      <c r="O2879" t="s">
        <v>25</v>
      </c>
      <c r="P2879" t="s">
        <v>35</v>
      </c>
      <c r="Q2879">
        <v>4.5999999999999996</v>
      </c>
      <c r="R2879">
        <v>7</v>
      </c>
      <c r="S2879" t="s">
        <v>36</v>
      </c>
    </row>
    <row r="2880" spans="1:19" x14ac:dyDescent="0.3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 t="str">
        <f t="shared" si="44"/>
        <v>31-60 days</v>
      </c>
      <c r="L2880">
        <v>48</v>
      </c>
      <c r="M2880">
        <v>2</v>
      </c>
      <c r="N2880">
        <v>1</v>
      </c>
      <c r="O2880" t="s">
        <v>25</v>
      </c>
      <c r="P2880" t="s">
        <v>50</v>
      </c>
      <c r="Q2880">
        <v>1.7</v>
      </c>
      <c r="R2880">
        <v>24</v>
      </c>
      <c r="S2880" t="s">
        <v>27</v>
      </c>
    </row>
    <row r="2881" spans="1:19" x14ac:dyDescent="0.3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 t="str">
        <f t="shared" si="44"/>
        <v>0-7 days</v>
      </c>
      <c r="L2881">
        <v>5</v>
      </c>
      <c r="M2881">
        <v>5</v>
      </c>
      <c r="N2881">
        <v>0</v>
      </c>
      <c r="O2881" t="s">
        <v>25</v>
      </c>
      <c r="P2881" t="s">
        <v>35</v>
      </c>
      <c r="Q2881">
        <v>20.6</v>
      </c>
      <c r="R2881">
        <v>23</v>
      </c>
      <c r="S2881" t="s">
        <v>36</v>
      </c>
    </row>
    <row r="2882" spans="1:19" x14ac:dyDescent="0.3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 t="str">
        <f t="shared" si="44"/>
        <v>15-30 days</v>
      </c>
      <c r="L2882">
        <v>21</v>
      </c>
      <c r="M2882">
        <v>5</v>
      </c>
      <c r="N2882">
        <v>2</v>
      </c>
      <c r="O2882" t="s">
        <v>25</v>
      </c>
      <c r="P2882" t="s">
        <v>26</v>
      </c>
      <c r="Q2882">
        <v>6.5</v>
      </c>
      <c r="R2882">
        <v>37</v>
      </c>
      <c r="S2882" t="s">
        <v>27</v>
      </c>
    </row>
    <row r="2883" spans="1:19" x14ac:dyDescent="0.3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 t="str">
        <f t="shared" ref="K2883:K2946" si="45">IF(L2883&lt;=7,"0-7 days",IF(L2883&lt;=14,"8-14 days",IF(L2883&lt;=30,"15-30 days","31-60 days")))</f>
        <v>0-7 days</v>
      </c>
      <c r="L2883">
        <v>4</v>
      </c>
      <c r="M2883">
        <v>2</v>
      </c>
      <c r="N2883">
        <v>0</v>
      </c>
      <c r="O2883" t="s">
        <v>25</v>
      </c>
      <c r="P2883" t="s">
        <v>50</v>
      </c>
      <c r="Q2883">
        <v>12.8</v>
      </c>
      <c r="R2883">
        <v>13</v>
      </c>
      <c r="S2883" t="s">
        <v>36</v>
      </c>
    </row>
    <row r="2884" spans="1:19" x14ac:dyDescent="0.3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 t="str">
        <f t="shared" si="45"/>
        <v>31-60 days</v>
      </c>
      <c r="L2884">
        <v>56</v>
      </c>
      <c r="M2884">
        <v>4</v>
      </c>
      <c r="N2884">
        <v>0</v>
      </c>
      <c r="O2884" t="s">
        <v>25</v>
      </c>
      <c r="P2884" t="s">
        <v>35</v>
      </c>
      <c r="Q2884">
        <v>4.8</v>
      </c>
      <c r="R2884">
        <v>16</v>
      </c>
      <c r="S2884" t="s">
        <v>36</v>
      </c>
    </row>
    <row r="2885" spans="1:19" x14ac:dyDescent="0.3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 t="str">
        <f t="shared" si="45"/>
        <v>8-14 days</v>
      </c>
      <c r="L2885">
        <v>11</v>
      </c>
      <c r="M2885">
        <v>4</v>
      </c>
      <c r="N2885">
        <v>1</v>
      </c>
      <c r="O2885" t="s">
        <v>54</v>
      </c>
      <c r="P2885" t="s">
        <v>55</v>
      </c>
      <c r="Q2885">
        <v>11.4</v>
      </c>
      <c r="R2885">
        <v>27</v>
      </c>
      <c r="S2885" t="s">
        <v>27</v>
      </c>
    </row>
    <row r="2886" spans="1:19" x14ac:dyDescent="0.3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 t="str">
        <f t="shared" si="45"/>
        <v>31-60 days</v>
      </c>
      <c r="L2886">
        <v>50</v>
      </c>
      <c r="M2886">
        <v>4</v>
      </c>
      <c r="N2886">
        <v>0</v>
      </c>
      <c r="O2886" t="s">
        <v>25</v>
      </c>
      <c r="P2886" t="s">
        <v>26</v>
      </c>
      <c r="Q2886">
        <v>2</v>
      </c>
      <c r="R2886">
        <v>19</v>
      </c>
      <c r="S2886" t="s">
        <v>71</v>
      </c>
    </row>
    <row r="2887" spans="1:19" x14ac:dyDescent="0.3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 t="str">
        <f t="shared" si="45"/>
        <v>8-14 days</v>
      </c>
      <c r="L2887">
        <v>11</v>
      </c>
      <c r="M2887">
        <v>1</v>
      </c>
      <c r="N2887">
        <v>0</v>
      </c>
      <c r="O2887" t="s">
        <v>25</v>
      </c>
      <c r="P2887" t="s">
        <v>35</v>
      </c>
      <c r="Q2887">
        <v>4.8</v>
      </c>
      <c r="R2887">
        <v>19</v>
      </c>
      <c r="S2887" t="s">
        <v>36</v>
      </c>
    </row>
    <row r="2888" spans="1:19" x14ac:dyDescent="0.3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 t="str">
        <f t="shared" si="45"/>
        <v>15-30 days</v>
      </c>
      <c r="L2888">
        <v>19</v>
      </c>
      <c r="M2888">
        <v>2</v>
      </c>
      <c r="N2888">
        <v>0</v>
      </c>
      <c r="O2888" t="s">
        <v>25</v>
      </c>
      <c r="P2888" t="s">
        <v>35</v>
      </c>
      <c r="Q2888">
        <v>7.3</v>
      </c>
      <c r="R2888">
        <v>19</v>
      </c>
      <c r="S2888" t="s">
        <v>27</v>
      </c>
    </row>
    <row r="2889" spans="1:19" x14ac:dyDescent="0.3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 t="str">
        <f t="shared" si="45"/>
        <v>31-60 days</v>
      </c>
      <c r="L2889">
        <v>37</v>
      </c>
      <c r="M2889">
        <v>2</v>
      </c>
      <c r="N2889">
        <v>0</v>
      </c>
      <c r="O2889" t="s">
        <v>25</v>
      </c>
      <c r="P2889" t="s">
        <v>35</v>
      </c>
      <c r="Q2889">
        <v>5.3</v>
      </c>
      <c r="R2889">
        <v>30</v>
      </c>
      <c r="S2889" t="s">
        <v>27</v>
      </c>
    </row>
    <row r="2890" spans="1:19" x14ac:dyDescent="0.3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 t="str">
        <f t="shared" si="45"/>
        <v>31-60 days</v>
      </c>
      <c r="L2890">
        <v>50</v>
      </c>
      <c r="M2890">
        <v>0</v>
      </c>
      <c r="N2890">
        <v>0</v>
      </c>
      <c r="O2890" t="s">
        <v>25</v>
      </c>
      <c r="P2890" t="s">
        <v>35</v>
      </c>
      <c r="Q2890">
        <v>5.8</v>
      </c>
      <c r="R2890">
        <v>36</v>
      </c>
      <c r="S2890" t="s">
        <v>36</v>
      </c>
    </row>
    <row r="2891" spans="1:19" x14ac:dyDescent="0.3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 t="str">
        <f t="shared" si="45"/>
        <v>8-14 days</v>
      </c>
      <c r="L2891">
        <v>10</v>
      </c>
      <c r="M2891">
        <v>3</v>
      </c>
      <c r="N2891">
        <v>0</v>
      </c>
      <c r="O2891" t="s">
        <v>54</v>
      </c>
      <c r="P2891" t="s">
        <v>55</v>
      </c>
      <c r="Q2891">
        <v>14.8</v>
      </c>
      <c r="R2891">
        <v>23</v>
      </c>
      <c r="S2891" t="s">
        <v>27</v>
      </c>
    </row>
    <row r="2892" spans="1:19" x14ac:dyDescent="0.3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 t="str">
        <f t="shared" si="45"/>
        <v>8-14 days</v>
      </c>
      <c r="L2892">
        <v>13</v>
      </c>
      <c r="M2892">
        <v>4</v>
      </c>
      <c r="N2892">
        <v>0</v>
      </c>
      <c r="O2892" t="s">
        <v>54</v>
      </c>
      <c r="P2892" t="s">
        <v>55</v>
      </c>
      <c r="Q2892">
        <v>6.5</v>
      </c>
      <c r="R2892">
        <v>21</v>
      </c>
      <c r="S2892" t="s">
        <v>36</v>
      </c>
    </row>
    <row r="2893" spans="1:19" x14ac:dyDescent="0.3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 t="str">
        <f t="shared" si="45"/>
        <v>31-60 days</v>
      </c>
      <c r="L2893">
        <v>53</v>
      </c>
      <c r="M2893">
        <v>2</v>
      </c>
      <c r="N2893">
        <v>1</v>
      </c>
      <c r="O2893" t="s">
        <v>25</v>
      </c>
      <c r="P2893" t="s">
        <v>35</v>
      </c>
      <c r="Q2893">
        <v>4.0999999999999996</v>
      </c>
      <c r="R2893">
        <v>31</v>
      </c>
      <c r="S2893" t="s">
        <v>27</v>
      </c>
    </row>
    <row r="2894" spans="1:19" x14ac:dyDescent="0.3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 t="str">
        <f t="shared" si="45"/>
        <v>15-30 days</v>
      </c>
      <c r="L2894">
        <v>19</v>
      </c>
      <c r="M2894">
        <v>3</v>
      </c>
      <c r="N2894">
        <v>1</v>
      </c>
      <c r="O2894" t="s">
        <v>25</v>
      </c>
      <c r="P2894" t="s">
        <v>26</v>
      </c>
      <c r="Q2894">
        <v>6.6</v>
      </c>
      <c r="R2894">
        <v>26</v>
      </c>
      <c r="S2894" t="s">
        <v>27</v>
      </c>
    </row>
    <row r="2895" spans="1:19" x14ac:dyDescent="0.3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 t="str">
        <f t="shared" si="45"/>
        <v>8-14 days</v>
      </c>
      <c r="L2895">
        <v>12</v>
      </c>
      <c r="M2895">
        <v>1</v>
      </c>
      <c r="N2895">
        <v>0</v>
      </c>
      <c r="O2895" t="s">
        <v>25</v>
      </c>
      <c r="P2895" t="s">
        <v>26</v>
      </c>
      <c r="Q2895">
        <v>1.6</v>
      </c>
      <c r="R2895">
        <v>26</v>
      </c>
      <c r="S2895" t="s">
        <v>71</v>
      </c>
    </row>
    <row r="2896" spans="1:19" x14ac:dyDescent="0.3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 t="str">
        <f t="shared" si="45"/>
        <v>31-60 days</v>
      </c>
      <c r="L2896">
        <v>45</v>
      </c>
      <c r="M2896">
        <v>1</v>
      </c>
      <c r="N2896">
        <v>1</v>
      </c>
      <c r="O2896" t="s">
        <v>25</v>
      </c>
      <c r="P2896" t="s">
        <v>35</v>
      </c>
      <c r="Q2896">
        <v>7.5</v>
      </c>
      <c r="R2896">
        <v>36</v>
      </c>
      <c r="S2896" t="s">
        <v>36</v>
      </c>
    </row>
    <row r="2897" spans="1:19" x14ac:dyDescent="0.3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 t="str">
        <f t="shared" si="45"/>
        <v>0-7 days</v>
      </c>
      <c r="L2897">
        <v>5</v>
      </c>
      <c r="M2897">
        <v>3</v>
      </c>
      <c r="N2897">
        <v>0</v>
      </c>
      <c r="O2897" t="s">
        <v>54</v>
      </c>
      <c r="P2897" t="s">
        <v>55</v>
      </c>
      <c r="Q2897">
        <v>7.1</v>
      </c>
      <c r="R2897">
        <v>12</v>
      </c>
      <c r="S2897" t="s">
        <v>27</v>
      </c>
    </row>
    <row r="2898" spans="1:19" x14ac:dyDescent="0.3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 t="str">
        <f t="shared" si="45"/>
        <v>31-60 days</v>
      </c>
      <c r="L2898">
        <v>52</v>
      </c>
      <c r="M2898">
        <v>2</v>
      </c>
      <c r="N2898">
        <v>1</v>
      </c>
      <c r="O2898" t="s">
        <v>25</v>
      </c>
      <c r="P2898" t="s">
        <v>26</v>
      </c>
      <c r="Q2898">
        <v>7.5</v>
      </c>
      <c r="R2898">
        <v>21</v>
      </c>
      <c r="S2898" t="s">
        <v>27</v>
      </c>
    </row>
    <row r="2899" spans="1:19" x14ac:dyDescent="0.3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 t="str">
        <f t="shared" si="45"/>
        <v>31-60 days</v>
      </c>
      <c r="L2899">
        <v>53</v>
      </c>
      <c r="M2899">
        <v>4</v>
      </c>
      <c r="N2899">
        <v>2</v>
      </c>
      <c r="O2899" t="s">
        <v>54</v>
      </c>
      <c r="P2899" t="s">
        <v>55</v>
      </c>
      <c r="Q2899">
        <v>3</v>
      </c>
      <c r="R2899">
        <v>13</v>
      </c>
      <c r="S2899" t="s">
        <v>27</v>
      </c>
    </row>
    <row r="2900" spans="1:19" x14ac:dyDescent="0.3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 t="str">
        <f t="shared" si="45"/>
        <v>31-60 days</v>
      </c>
      <c r="L2900">
        <v>52</v>
      </c>
      <c r="M2900">
        <v>0</v>
      </c>
      <c r="N2900">
        <v>0</v>
      </c>
      <c r="O2900" t="s">
        <v>25</v>
      </c>
      <c r="P2900" t="s">
        <v>26</v>
      </c>
      <c r="Q2900">
        <v>10.3</v>
      </c>
      <c r="R2900">
        <v>18</v>
      </c>
      <c r="S2900" t="s">
        <v>27</v>
      </c>
    </row>
    <row r="2901" spans="1:19" x14ac:dyDescent="0.3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 t="str">
        <f t="shared" si="45"/>
        <v>15-30 days</v>
      </c>
      <c r="L2901">
        <v>18</v>
      </c>
      <c r="M2901">
        <v>2</v>
      </c>
      <c r="N2901">
        <v>0</v>
      </c>
      <c r="O2901" t="s">
        <v>25</v>
      </c>
      <c r="P2901" t="s">
        <v>50</v>
      </c>
      <c r="Q2901">
        <v>7.9</v>
      </c>
      <c r="R2901">
        <v>10</v>
      </c>
      <c r="S2901" t="s">
        <v>27</v>
      </c>
    </row>
    <row r="2902" spans="1:19" x14ac:dyDescent="0.3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 t="str">
        <f t="shared" si="45"/>
        <v>0-7 days</v>
      </c>
      <c r="L2902">
        <v>6</v>
      </c>
      <c r="M2902">
        <v>4</v>
      </c>
      <c r="N2902">
        <v>2</v>
      </c>
      <c r="O2902" t="s">
        <v>25</v>
      </c>
      <c r="P2902" t="s">
        <v>35</v>
      </c>
      <c r="Q2902">
        <v>20.2</v>
      </c>
      <c r="R2902">
        <v>20</v>
      </c>
      <c r="S2902" t="s">
        <v>27</v>
      </c>
    </row>
    <row r="2903" spans="1:19" x14ac:dyDescent="0.3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 t="str">
        <f t="shared" si="45"/>
        <v>15-30 days</v>
      </c>
      <c r="L2903">
        <v>25</v>
      </c>
      <c r="M2903">
        <v>4</v>
      </c>
      <c r="N2903">
        <v>0</v>
      </c>
      <c r="O2903" t="s">
        <v>25</v>
      </c>
      <c r="P2903" t="s">
        <v>26</v>
      </c>
      <c r="Q2903">
        <v>15.6</v>
      </c>
      <c r="R2903">
        <v>28</v>
      </c>
      <c r="S2903" t="s">
        <v>36</v>
      </c>
    </row>
    <row r="2904" spans="1:19" x14ac:dyDescent="0.3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 t="str">
        <f t="shared" si="45"/>
        <v>15-30 days</v>
      </c>
      <c r="L2904">
        <v>20</v>
      </c>
      <c r="M2904">
        <v>3</v>
      </c>
      <c r="N2904">
        <v>0</v>
      </c>
      <c r="O2904" t="s">
        <v>25</v>
      </c>
      <c r="P2904" t="s">
        <v>26</v>
      </c>
      <c r="Q2904">
        <v>4.9000000000000004</v>
      </c>
      <c r="R2904">
        <v>2</v>
      </c>
      <c r="S2904" t="s">
        <v>36</v>
      </c>
    </row>
    <row r="2905" spans="1:19" x14ac:dyDescent="0.3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 t="str">
        <f t="shared" si="45"/>
        <v>31-60 days</v>
      </c>
      <c r="L2905">
        <v>58</v>
      </c>
      <c r="M2905">
        <v>1</v>
      </c>
      <c r="N2905">
        <v>1</v>
      </c>
      <c r="O2905" t="s">
        <v>25</v>
      </c>
      <c r="P2905" t="s">
        <v>50</v>
      </c>
      <c r="Q2905">
        <v>4.8</v>
      </c>
      <c r="R2905">
        <v>20</v>
      </c>
      <c r="S2905" t="s">
        <v>27</v>
      </c>
    </row>
    <row r="2906" spans="1:19" x14ac:dyDescent="0.3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 t="str">
        <f t="shared" si="45"/>
        <v>31-60 days</v>
      </c>
      <c r="L2906">
        <v>38</v>
      </c>
      <c r="M2906">
        <v>5</v>
      </c>
      <c r="N2906">
        <v>1</v>
      </c>
      <c r="O2906" t="s">
        <v>54</v>
      </c>
      <c r="P2906" t="s">
        <v>55</v>
      </c>
      <c r="Q2906">
        <v>15.9</v>
      </c>
      <c r="R2906">
        <v>23</v>
      </c>
      <c r="S2906" t="s">
        <v>27</v>
      </c>
    </row>
    <row r="2907" spans="1:19" x14ac:dyDescent="0.3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 t="str">
        <f t="shared" si="45"/>
        <v>31-60 days</v>
      </c>
      <c r="L2907">
        <v>57</v>
      </c>
      <c r="M2907">
        <v>4</v>
      </c>
      <c r="N2907">
        <v>1</v>
      </c>
      <c r="O2907" t="s">
        <v>25</v>
      </c>
      <c r="P2907" t="s">
        <v>26</v>
      </c>
      <c r="Q2907">
        <v>4.3</v>
      </c>
      <c r="R2907">
        <v>21</v>
      </c>
      <c r="S2907" t="s">
        <v>27</v>
      </c>
    </row>
    <row r="2908" spans="1:19" x14ac:dyDescent="0.3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 t="str">
        <f t="shared" si="45"/>
        <v>31-60 days</v>
      </c>
      <c r="L2908">
        <v>45</v>
      </c>
      <c r="M2908">
        <v>2</v>
      </c>
      <c r="N2908">
        <v>0</v>
      </c>
      <c r="O2908" t="s">
        <v>25</v>
      </c>
      <c r="P2908" t="s">
        <v>35</v>
      </c>
      <c r="Q2908">
        <v>4.5</v>
      </c>
      <c r="R2908">
        <v>6</v>
      </c>
      <c r="S2908" t="s">
        <v>27</v>
      </c>
    </row>
    <row r="2909" spans="1:19" x14ac:dyDescent="0.3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 t="str">
        <f t="shared" si="45"/>
        <v>31-60 days</v>
      </c>
      <c r="L2909">
        <v>43</v>
      </c>
      <c r="M2909">
        <v>2</v>
      </c>
      <c r="N2909">
        <v>1</v>
      </c>
      <c r="O2909" t="s">
        <v>25</v>
      </c>
      <c r="P2909" t="s">
        <v>35</v>
      </c>
      <c r="Q2909">
        <v>10.8</v>
      </c>
      <c r="R2909">
        <v>35</v>
      </c>
      <c r="S2909" t="s">
        <v>27</v>
      </c>
    </row>
    <row r="2910" spans="1:19" x14ac:dyDescent="0.3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 t="str">
        <f t="shared" si="45"/>
        <v>0-7 days</v>
      </c>
      <c r="L2910">
        <v>6</v>
      </c>
      <c r="M2910">
        <v>1</v>
      </c>
      <c r="N2910">
        <v>0</v>
      </c>
      <c r="O2910" t="s">
        <v>25</v>
      </c>
      <c r="P2910" t="s">
        <v>35</v>
      </c>
      <c r="Q2910">
        <v>5.8</v>
      </c>
      <c r="R2910">
        <v>34</v>
      </c>
      <c r="S2910" t="s">
        <v>27</v>
      </c>
    </row>
    <row r="2911" spans="1:19" x14ac:dyDescent="0.3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 t="str">
        <f t="shared" si="45"/>
        <v>0-7 days</v>
      </c>
      <c r="L2911">
        <v>4</v>
      </c>
      <c r="M2911">
        <v>4</v>
      </c>
      <c r="N2911">
        <v>2</v>
      </c>
      <c r="O2911" t="s">
        <v>54</v>
      </c>
      <c r="P2911" t="s">
        <v>55</v>
      </c>
      <c r="Q2911">
        <v>10.9</v>
      </c>
      <c r="R2911">
        <v>37</v>
      </c>
      <c r="S2911" t="s">
        <v>36</v>
      </c>
    </row>
    <row r="2912" spans="1:19" x14ac:dyDescent="0.3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 t="str">
        <f t="shared" si="45"/>
        <v>0-7 days</v>
      </c>
      <c r="L2912">
        <v>2</v>
      </c>
      <c r="M2912">
        <v>5</v>
      </c>
      <c r="N2912">
        <v>0</v>
      </c>
      <c r="O2912" t="s">
        <v>54</v>
      </c>
      <c r="P2912" t="s">
        <v>55</v>
      </c>
      <c r="Q2912">
        <v>2.2000000000000002</v>
      </c>
      <c r="R2912">
        <v>18</v>
      </c>
      <c r="S2912" t="s">
        <v>27</v>
      </c>
    </row>
    <row r="2913" spans="1:19" x14ac:dyDescent="0.3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 t="str">
        <f t="shared" si="45"/>
        <v>31-60 days</v>
      </c>
      <c r="L2913">
        <v>36</v>
      </c>
      <c r="M2913">
        <v>2</v>
      </c>
      <c r="N2913">
        <v>0</v>
      </c>
      <c r="O2913" t="s">
        <v>25</v>
      </c>
      <c r="P2913" t="s">
        <v>50</v>
      </c>
      <c r="Q2913">
        <v>6.6</v>
      </c>
      <c r="R2913">
        <v>26</v>
      </c>
      <c r="S2913" t="s">
        <v>27</v>
      </c>
    </row>
    <row r="2914" spans="1:19" x14ac:dyDescent="0.3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 t="str">
        <f t="shared" si="45"/>
        <v>8-14 days</v>
      </c>
      <c r="L2914">
        <v>12</v>
      </c>
      <c r="M2914">
        <v>2</v>
      </c>
      <c r="N2914">
        <v>0</v>
      </c>
      <c r="O2914" t="s">
        <v>25</v>
      </c>
      <c r="P2914" t="s">
        <v>35</v>
      </c>
      <c r="Q2914">
        <v>16.899999999999999</v>
      </c>
      <c r="R2914">
        <v>16</v>
      </c>
      <c r="S2914" t="s">
        <v>36</v>
      </c>
    </row>
    <row r="2915" spans="1:19" x14ac:dyDescent="0.3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 t="str">
        <f t="shared" si="45"/>
        <v>31-60 days</v>
      </c>
      <c r="L2915">
        <v>60</v>
      </c>
      <c r="M2915">
        <v>3</v>
      </c>
      <c r="N2915">
        <v>0</v>
      </c>
      <c r="O2915" t="s">
        <v>25</v>
      </c>
      <c r="P2915" t="s">
        <v>35</v>
      </c>
      <c r="Q2915">
        <v>4.7</v>
      </c>
      <c r="R2915">
        <v>12</v>
      </c>
      <c r="S2915" t="s">
        <v>27</v>
      </c>
    </row>
    <row r="2916" spans="1:19" x14ac:dyDescent="0.3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 t="str">
        <f t="shared" si="45"/>
        <v>8-14 days</v>
      </c>
      <c r="L2916">
        <v>8</v>
      </c>
      <c r="M2916">
        <v>0</v>
      </c>
      <c r="N2916">
        <v>0</v>
      </c>
      <c r="O2916" t="s">
        <v>25</v>
      </c>
      <c r="P2916" t="s">
        <v>35</v>
      </c>
      <c r="Q2916">
        <v>6</v>
      </c>
      <c r="R2916">
        <v>12</v>
      </c>
      <c r="S2916" t="s">
        <v>36</v>
      </c>
    </row>
    <row r="2917" spans="1:19" x14ac:dyDescent="0.3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 t="str">
        <f t="shared" si="45"/>
        <v>31-60 days</v>
      </c>
      <c r="L2917">
        <v>57</v>
      </c>
      <c r="M2917">
        <v>1</v>
      </c>
      <c r="N2917">
        <v>0</v>
      </c>
      <c r="O2917" t="s">
        <v>25</v>
      </c>
      <c r="P2917" t="s">
        <v>26</v>
      </c>
      <c r="Q2917">
        <v>7.4</v>
      </c>
      <c r="R2917">
        <v>26</v>
      </c>
      <c r="S2917" t="s">
        <v>27</v>
      </c>
    </row>
    <row r="2918" spans="1:19" x14ac:dyDescent="0.3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 t="str">
        <f t="shared" si="45"/>
        <v>31-60 days</v>
      </c>
      <c r="L2918">
        <v>40</v>
      </c>
      <c r="M2918">
        <v>1</v>
      </c>
      <c r="N2918">
        <v>0</v>
      </c>
      <c r="O2918" t="s">
        <v>25</v>
      </c>
      <c r="P2918" t="s">
        <v>35</v>
      </c>
      <c r="Q2918">
        <v>6.2</v>
      </c>
      <c r="R2918">
        <v>33</v>
      </c>
      <c r="S2918" t="s">
        <v>36</v>
      </c>
    </row>
    <row r="2919" spans="1:19" x14ac:dyDescent="0.3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 t="str">
        <f t="shared" si="45"/>
        <v>0-7 days</v>
      </c>
      <c r="L2919">
        <v>6</v>
      </c>
      <c r="M2919">
        <v>4</v>
      </c>
      <c r="N2919">
        <v>1</v>
      </c>
      <c r="O2919" t="s">
        <v>25</v>
      </c>
      <c r="P2919" t="s">
        <v>26</v>
      </c>
      <c r="Q2919">
        <v>2.2000000000000002</v>
      </c>
      <c r="R2919">
        <v>38</v>
      </c>
      <c r="S2919" t="s">
        <v>36</v>
      </c>
    </row>
    <row r="2920" spans="1:19" x14ac:dyDescent="0.3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 t="str">
        <f t="shared" si="45"/>
        <v>0-7 days</v>
      </c>
      <c r="L2920">
        <v>3</v>
      </c>
      <c r="M2920">
        <v>1</v>
      </c>
      <c r="N2920">
        <v>0</v>
      </c>
      <c r="O2920" t="s">
        <v>54</v>
      </c>
      <c r="P2920" t="s">
        <v>55</v>
      </c>
      <c r="Q2920">
        <v>16.100000000000001</v>
      </c>
      <c r="R2920">
        <v>23</v>
      </c>
      <c r="S2920" t="s">
        <v>36</v>
      </c>
    </row>
    <row r="2921" spans="1:19" x14ac:dyDescent="0.3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 t="str">
        <f t="shared" si="45"/>
        <v>15-30 days</v>
      </c>
      <c r="L2921">
        <v>24</v>
      </c>
      <c r="M2921">
        <v>0</v>
      </c>
      <c r="N2921">
        <v>0</v>
      </c>
      <c r="O2921" t="s">
        <v>25</v>
      </c>
      <c r="P2921" t="s">
        <v>35</v>
      </c>
      <c r="Q2921">
        <v>7.8</v>
      </c>
      <c r="R2921">
        <v>16</v>
      </c>
      <c r="S2921" t="s">
        <v>36</v>
      </c>
    </row>
    <row r="2922" spans="1:19" x14ac:dyDescent="0.3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 t="str">
        <f t="shared" si="45"/>
        <v>15-30 days</v>
      </c>
      <c r="L2922">
        <v>20</v>
      </c>
      <c r="M2922">
        <v>2</v>
      </c>
      <c r="N2922">
        <v>1</v>
      </c>
      <c r="O2922" t="s">
        <v>54</v>
      </c>
      <c r="P2922" t="s">
        <v>55</v>
      </c>
      <c r="Q2922">
        <v>11.4</v>
      </c>
      <c r="R2922">
        <v>23</v>
      </c>
      <c r="S2922" t="s">
        <v>36</v>
      </c>
    </row>
    <row r="2923" spans="1:19" x14ac:dyDescent="0.3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 t="str">
        <f t="shared" si="45"/>
        <v>15-30 days</v>
      </c>
      <c r="L2923">
        <v>19</v>
      </c>
      <c r="M2923">
        <v>1</v>
      </c>
      <c r="N2923">
        <v>0</v>
      </c>
      <c r="O2923" t="s">
        <v>54</v>
      </c>
      <c r="P2923" t="s">
        <v>55</v>
      </c>
      <c r="Q2923">
        <v>17.600000000000001</v>
      </c>
      <c r="R2923">
        <v>35</v>
      </c>
      <c r="S2923" t="s">
        <v>27</v>
      </c>
    </row>
    <row r="2924" spans="1:19" x14ac:dyDescent="0.3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 t="str">
        <f t="shared" si="45"/>
        <v>31-60 days</v>
      </c>
      <c r="L2924">
        <v>32</v>
      </c>
      <c r="M2924">
        <v>4</v>
      </c>
      <c r="N2924">
        <v>1</v>
      </c>
      <c r="O2924" t="s">
        <v>54</v>
      </c>
      <c r="P2924" t="s">
        <v>55</v>
      </c>
      <c r="Q2924">
        <v>6</v>
      </c>
      <c r="R2924">
        <v>42</v>
      </c>
      <c r="S2924" t="s">
        <v>27</v>
      </c>
    </row>
    <row r="2925" spans="1:19" x14ac:dyDescent="0.3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 t="str">
        <f t="shared" si="45"/>
        <v>0-7 days</v>
      </c>
      <c r="L2925">
        <v>7</v>
      </c>
      <c r="M2925">
        <v>1</v>
      </c>
      <c r="N2925">
        <v>0</v>
      </c>
      <c r="O2925" t="s">
        <v>54</v>
      </c>
      <c r="P2925" t="s">
        <v>55</v>
      </c>
      <c r="Q2925">
        <v>10.4</v>
      </c>
      <c r="R2925">
        <v>37</v>
      </c>
      <c r="S2925" t="s">
        <v>36</v>
      </c>
    </row>
    <row r="2926" spans="1:19" x14ac:dyDescent="0.3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 t="str">
        <f t="shared" si="45"/>
        <v>0-7 days</v>
      </c>
      <c r="L2926">
        <v>7</v>
      </c>
      <c r="M2926">
        <v>4</v>
      </c>
      <c r="N2926">
        <v>2</v>
      </c>
      <c r="O2926" t="s">
        <v>25</v>
      </c>
      <c r="P2926" t="s">
        <v>35</v>
      </c>
      <c r="Q2926">
        <v>0.6</v>
      </c>
      <c r="R2926">
        <v>36</v>
      </c>
      <c r="S2926" t="s">
        <v>27</v>
      </c>
    </row>
    <row r="2927" spans="1:19" x14ac:dyDescent="0.3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 t="str">
        <f t="shared" si="45"/>
        <v>31-60 days</v>
      </c>
      <c r="L2927">
        <v>42</v>
      </c>
      <c r="M2927">
        <v>2</v>
      </c>
      <c r="N2927">
        <v>1</v>
      </c>
      <c r="O2927" t="s">
        <v>25</v>
      </c>
      <c r="P2927" t="s">
        <v>35</v>
      </c>
      <c r="Q2927">
        <v>1.1000000000000001</v>
      </c>
      <c r="R2927">
        <v>39</v>
      </c>
      <c r="S2927" t="s">
        <v>27</v>
      </c>
    </row>
    <row r="2928" spans="1:19" x14ac:dyDescent="0.3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 t="str">
        <f t="shared" si="45"/>
        <v>31-60 days</v>
      </c>
      <c r="L2928">
        <v>60</v>
      </c>
      <c r="M2928">
        <v>1</v>
      </c>
      <c r="N2928">
        <v>0</v>
      </c>
      <c r="O2928" t="s">
        <v>25</v>
      </c>
      <c r="P2928" t="s">
        <v>26</v>
      </c>
      <c r="Q2928">
        <v>8.5</v>
      </c>
      <c r="R2928">
        <v>25</v>
      </c>
      <c r="S2928" t="s">
        <v>27</v>
      </c>
    </row>
    <row r="2929" spans="1:19" x14ac:dyDescent="0.3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 t="str">
        <f t="shared" si="45"/>
        <v>15-30 days</v>
      </c>
      <c r="L2929">
        <v>16</v>
      </c>
      <c r="M2929">
        <v>4</v>
      </c>
      <c r="N2929">
        <v>1</v>
      </c>
      <c r="O2929" t="s">
        <v>25</v>
      </c>
      <c r="P2929" t="s">
        <v>35</v>
      </c>
      <c r="Q2929">
        <v>2.7</v>
      </c>
      <c r="R2929">
        <v>27</v>
      </c>
      <c r="S2929" t="s">
        <v>27</v>
      </c>
    </row>
    <row r="2930" spans="1:19" x14ac:dyDescent="0.3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 t="str">
        <f t="shared" si="45"/>
        <v>31-60 days</v>
      </c>
      <c r="L2930">
        <v>56</v>
      </c>
      <c r="M2930">
        <v>4</v>
      </c>
      <c r="N2930">
        <v>1</v>
      </c>
      <c r="O2930" t="s">
        <v>25</v>
      </c>
      <c r="P2930" t="s">
        <v>26</v>
      </c>
      <c r="Q2930">
        <v>11.6</v>
      </c>
      <c r="R2930">
        <v>36</v>
      </c>
      <c r="S2930" t="s">
        <v>71</v>
      </c>
    </row>
    <row r="2931" spans="1:19" x14ac:dyDescent="0.3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 t="str">
        <f t="shared" si="45"/>
        <v>15-30 days</v>
      </c>
      <c r="L2931">
        <v>21</v>
      </c>
      <c r="M2931">
        <v>4</v>
      </c>
      <c r="N2931">
        <v>1</v>
      </c>
      <c r="O2931" t="s">
        <v>54</v>
      </c>
      <c r="P2931" t="s">
        <v>55</v>
      </c>
      <c r="Q2931">
        <v>13</v>
      </c>
      <c r="R2931">
        <v>30</v>
      </c>
      <c r="S2931" t="s">
        <v>36</v>
      </c>
    </row>
    <row r="2932" spans="1:19" x14ac:dyDescent="0.3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 t="str">
        <f t="shared" si="45"/>
        <v>15-30 days</v>
      </c>
      <c r="L2932">
        <v>20</v>
      </c>
      <c r="M2932">
        <v>4</v>
      </c>
      <c r="N2932">
        <v>0</v>
      </c>
      <c r="O2932" t="s">
        <v>25</v>
      </c>
      <c r="P2932" t="s">
        <v>26</v>
      </c>
      <c r="Q2932">
        <v>5.2</v>
      </c>
      <c r="R2932">
        <v>34</v>
      </c>
      <c r="S2932" t="s">
        <v>36</v>
      </c>
    </row>
    <row r="2933" spans="1:19" x14ac:dyDescent="0.3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 t="str">
        <f t="shared" si="45"/>
        <v>0-7 days</v>
      </c>
      <c r="L2933">
        <v>5</v>
      </c>
      <c r="M2933">
        <v>5</v>
      </c>
      <c r="N2933">
        <v>1</v>
      </c>
      <c r="O2933" t="s">
        <v>25</v>
      </c>
      <c r="P2933" t="s">
        <v>50</v>
      </c>
      <c r="Q2933">
        <v>12.5</v>
      </c>
      <c r="R2933">
        <v>17</v>
      </c>
      <c r="S2933" t="s">
        <v>36</v>
      </c>
    </row>
    <row r="2934" spans="1:19" x14ac:dyDescent="0.3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 t="str">
        <f t="shared" si="45"/>
        <v>15-30 days</v>
      </c>
      <c r="L2934">
        <v>25</v>
      </c>
      <c r="M2934">
        <v>1</v>
      </c>
      <c r="N2934">
        <v>1</v>
      </c>
      <c r="O2934" t="s">
        <v>54</v>
      </c>
      <c r="P2934" t="s">
        <v>55</v>
      </c>
      <c r="Q2934">
        <v>6.9</v>
      </c>
      <c r="R2934">
        <v>39</v>
      </c>
      <c r="S2934" t="s">
        <v>27</v>
      </c>
    </row>
    <row r="2935" spans="1:19" x14ac:dyDescent="0.3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 t="str">
        <f t="shared" si="45"/>
        <v>15-30 days</v>
      </c>
      <c r="L2935">
        <v>30</v>
      </c>
      <c r="M2935">
        <v>3</v>
      </c>
      <c r="N2935">
        <v>2</v>
      </c>
      <c r="O2935" t="s">
        <v>54</v>
      </c>
      <c r="P2935" t="s">
        <v>55</v>
      </c>
      <c r="Q2935">
        <v>19.399999999999999</v>
      </c>
      <c r="R2935">
        <v>19</v>
      </c>
      <c r="S2935" t="s">
        <v>27</v>
      </c>
    </row>
    <row r="2936" spans="1:19" x14ac:dyDescent="0.3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 t="str">
        <f t="shared" si="45"/>
        <v>31-60 days</v>
      </c>
      <c r="L2936">
        <v>40</v>
      </c>
      <c r="M2936">
        <v>2</v>
      </c>
      <c r="N2936">
        <v>0</v>
      </c>
      <c r="O2936" t="s">
        <v>54</v>
      </c>
      <c r="P2936" t="s">
        <v>55</v>
      </c>
      <c r="Q2936">
        <v>3.3</v>
      </c>
      <c r="R2936">
        <v>36</v>
      </c>
      <c r="S2936" t="s">
        <v>71</v>
      </c>
    </row>
    <row r="2937" spans="1:19" x14ac:dyDescent="0.3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 t="str">
        <f t="shared" si="45"/>
        <v>8-14 days</v>
      </c>
      <c r="L2937">
        <v>9</v>
      </c>
      <c r="M2937">
        <v>5</v>
      </c>
      <c r="N2937">
        <v>1</v>
      </c>
      <c r="O2937" t="s">
        <v>25</v>
      </c>
      <c r="P2937" t="s">
        <v>26</v>
      </c>
      <c r="Q2937">
        <v>7.7</v>
      </c>
      <c r="R2937">
        <v>23</v>
      </c>
      <c r="S2937" t="s">
        <v>36</v>
      </c>
    </row>
    <row r="2938" spans="1:19" x14ac:dyDescent="0.3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 t="str">
        <f t="shared" si="45"/>
        <v>8-14 days</v>
      </c>
      <c r="L2938">
        <v>11</v>
      </c>
      <c r="M2938">
        <v>5</v>
      </c>
      <c r="N2938">
        <v>0</v>
      </c>
      <c r="O2938" t="s">
        <v>25</v>
      </c>
      <c r="P2938" t="s">
        <v>35</v>
      </c>
      <c r="Q2938">
        <v>10</v>
      </c>
      <c r="R2938">
        <v>18</v>
      </c>
      <c r="S2938" t="s">
        <v>36</v>
      </c>
    </row>
    <row r="2939" spans="1:19" x14ac:dyDescent="0.3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 t="str">
        <f t="shared" si="45"/>
        <v>15-30 days</v>
      </c>
      <c r="L2939">
        <v>26</v>
      </c>
      <c r="M2939">
        <v>6</v>
      </c>
      <c r="N2939">
        <v>2</v>
      </c>
      <c r="O2939" t="s">
        <v>54</v>
      </c>
      <c r="P2939" t="s">
        <v>55</v>
      </c>
      <c r="Q2939">
        <v>14.3</v>
      </c>
      <c r="R2939">
        <v>2</v>
      </c>
      <c r="S2939" t="s">
        <v>71</v>
      </c>
    </row>
    <row r="2940" spans="1:19" x14ac:dyDescent="0.3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 t="str">
        <f t="shared" si="45"/>
        <v>0-7 days</v>
      </c>
      <c r="L2940">
        <v>4</v>
      </c>
      <c r="M2940">
        <v>2</v>
      </c>
      <c r="N2940">
        <v>0</v>
      </c>
      <c r="O2940" t="s">
        <v>25</v>
      </c>
      <c r="P2940" t="s">
        <v>26</v>
      </c>
      <c r="Q2940">
        <v>13.6</v>
      </c>
      <c r="R2940">
        <v>22</v>
      </c>
      <c r="S2940" t="s">
        <v>36</v>
      </c>
    </row>
    <row r="2941" spans="1:19" x14ac:dyDescent="0.3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 t="str">
        <f t="shared" si="45"/>
        <v>8-14 days</v>
      </c>
      <c r="L2941">
        <v>8</v>
      </c>
      <c r="M2941">
        <v>2</v>
      </c>
      <c r="N2941">
        <v>1</v>
      </c>
      <c r="O2941" t="s">
        <v>25</v>
      </c>
      <c r="P2941" t="s">
        <v>35</v>
      </c>
      <c r="Q2941">
        <v>6.3</v>
      </c>
      <c r="R2941">
        <v>10</v>
      </c>
      <c r="S2941" t="s">
        <v>36</v>
      </c>
    </row>
    <row r="2942" spans="1:19" x14ac:dyDescent="0.3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 t="str">
        <f t="shared" si="45"/>
        <v>31-60 days</v>
      </c>
      <c r="L2942">
        <v>38</v>
      </c>
      <c r="M2942">
        <v>3</v>
      </c>
      <c r="N2942">
        <v>0</v>
      </c>
      <c r="O2942" t="s">
        <v>54</v>
      </c>
      <c r="P2942" t="s">
        <v>55</v>
      </c>
      <c r="Q2942">
        <v>7.1</v>
      </c>
      <c r="R2942">
        <v>14</v>
      </c>
      <c r="S2942" t="s">
        <v>36</v>
      </c>
    </row>
    <row r="2943" spans="1:19" x14ac:dyDescent="0.3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 t="str">
        <f t="shared" si="45"/>
        <v>31-60 days</v>
      </c>
      <c r="L2943">
        <v>58</v>
      </c>
      <c r="M2943">
        <v>3</v>
      </c>
      <c r="N2943">
        <v>0</v>
      </c>
      <c r="O2943" t="s">
        <v>25</v>
      </c>
      <c r="P2943" t="s">
        <v>35</v>
      </c>
      <c r="Q2943">
        <v>4.5</v>
      </c>
      <c r="R2943">
        <v>30</v>
      </c>
      <c r="S2943" t="s">
        <v>27</v>
      </c>
    </row>
    <row r="2944" spans="1:19" x14ac:dyDescent="0.3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 t="str">
        <f t="shared" si="45"/>
        <v>31-60 days</v>
      </c>
      <c r="L2944">
        <v>34</v>
      </c>
      <c r="M2944">
        <v>2</v>
      </c>
      <c r="N2944">
        <v>0</v>
      </c>
      <c r="O2944" t="s">
        <v>54</v>
      </c>
      <c r="P2944" t="s">
        <v>55</v>
      </c>
      <c r="Q2944">
        <v>18.100000000000001</v>
      </c>
      <c r="R2944">
        <v>7</v>
      </c>
      <c r="S2944" t="s">
        <v>27</v>
      </c>
    </row>
    <row r="2945" spans="1:19" x14ac:dyDescent="0.3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 t="str">
        <f t="shared" si="45"/>
        <v>8-14 days</v>
      </c>
      <c r="L2945">
        <v>8</v>
      </c>
      <c r="M2945">
        <v>3</v>
      </c>
      <c r="N2945">
        <v>1</v>
      </c>
      <c r="O2945" t="s">
        <v>54</v>
      </c>
      <c r="P2945" t="s">
        <v>55</v>
      </c>
      <c r="Q2945">
        <v>23</v>
      </c>
      <c r="R2945">
        <v>38</v>
      </c>
      <c r="S2945" t="s">
        <v>36</v>
      </c>
    </row>
    <row r="2946" spans="1:19" x14ac:dyDescent="0.3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 t="str">
        <f t="shared" si="45"/>
        <v>31-60 days</v>
      </c>
      <c r="L2946">
        <v>60</v>
      </c>
      <c r="M2946">
        <v>3</v>
      </c>
      <c r="N2946">
        <v>1</v>
      </c>
      <c r="O2946" t="s">
        <v>25</v>
      </c>
      <c r="P2946" t="s">
        <v>35</v>
      </c>
      <c r="Q2946">
        <v>1.9</v>
      </c>
      <c r="R2946">
        <v>52</v>
      </c>
      <c r="S2946" t="s">
        <v>71</v>
      </c>
    </row>
    <row r="2947" spans="1:19" x14ac:dyDescent="0.3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 t="str">
        <f t="shared" ref="K2947:K3010" si="46">IF(L2947&lt;=7,"0-7 days",IF(L2947&lt;=14,"8-14 days",IF(L2947&lt;=30,"15-30 days","31-60 days")))</f>
        <v>31-60 days</v>
      </c>
      <c r="L2947">
        <v>31</v>
      </c>
      <c r="M2947">
        <v>5</v>
      </c>
      <c r="N2947">
        <v>1</v>
      </c>
      <c r="O2947" t="s">
        <v>25</v>
      </c>
      <c r="P2947" t="s">
        <v>35</v>
      </c>
      <c r="Q2947">
        <v>15.7</v>
      </c>
      <c r="R2947">
        <v>19</v>
      </c>
      <c r="S2947" t="s">
        <v>27</v>
      </c>
    </row>
    <row r="2948" spans="1:19" x14ac:dyDescent="0.3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 t="str">
        <f t="shared" si="46"/>
        <v>31-60 days</v>
      </c>
      <c r="L2948">
        <v>43</v>
      </c>
      <c r="M2948">
        <v>1</v>
      </c>
      <c r="N2948">
        <v>0</v>
      </c>
      <c r="O2948" t="s">
        <v>25</v>
      </c>
      <c r="P2948" t="s">
        <v>26</v>
      </c>
      <c r="Q2948">
        <v>13</v>
      </c>
      <c r="R2948">
        <v>37</v>
      </c>
      <c r="S2948" t="s">
        <v>27</v>
      </c>
    </row>
    <row r="2949" spans="1:19" x14ac:dyDescent="0.3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 t="str">
        <f t="shared" si="46"/>
        <v>8-14 days</v>
      </c>
      <c r="L2949">
        <v>12</v>
      </c>
      <c r="M2949">
        <v>5</v>
      </c>
      <c r="N2949">
        <v>1</v>
      </c>
      <c r="O2949" t="s">
        <v>25</v>
      </c>
      <c r="P2949" t="s">
        <v>35</v>
      </c>
      <c r="Q2949">
        <v>1</v>
      </c>
      <c r="R2949">
        <v>9</v>
      </c>
      <c r="S2949" t="s">
        <v>27</v>
      </c>
    </row>
    <row r="2950" spans="1:19" x14ac:dyDescent="0.3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 t="str">
        <f t="shared" si="46"/>
        <v>31-60 days</v>
      </c>
      <c r="L2950">
        <v>35</v>
      </c>
      <c r="M2950">
        <v>3</v>
      </c>
      <c r="N2950">
        <v>0</v>
      </c>
      <c r="O2950" t="s">
        <v>25</v>
      </c>
      <c r="P2950" t="s">
        <v>35</v>
      </c>
      <c r="Q2950">
        <v>14.9</v>
      </c>
      <c r="R2950">
        <v>28</v>
      </c>
      <c r="S2950" t="s">
        <v>36</v>
      </c>
    </row>
    <row r="2951" spans="1:19" x14ac:dyDescent="0.3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 t="str">
        <f t="shared" si="46"/>
        <v>0-7 days</v>
      </c>
      <c r="L2951">
        <v>4</v>
      </c>
      <c r="M2951">
        <v>4</v>
      </c>
      <c r="N2951">
        <v>0</v>
      </c>
      <c r="O2951" t="s">
        <v>25</v>
      </c>
      <c r="P2951" t="s">
        <v>35</v>
      </c>
      <c r="Q2951">
        <v>20</v>
      </c>
      <c r="R2951">
        <v>28</v>
      </c>
      <c r="S2951" t="s">
        <v>36</v>
      </c>
    </row>
    <row r="2952" spans="1:19" x14ac:dyDescent="0.3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 t="str">
        <f t="shared" si="46"/>
        <v>31-60 days</v>
      </c>
      <c r="L2952">
        <v>38</v>
      </c>
      <c r="M2952">
        <v>3</v>
      </c>
      <c r="N2952">
        <v>0</v>
      </c>
      <c r="O2952" t="s">
        <v>25</v>
      </c>
      <c r="P2952" t="s">
        <v>26</v>
      </c>
      <c r="Q2952">
        <v>14</v>
      </c>
      <c r="R2952">
        <v>58</v>
      </c>
      <c r="S2952" t="s">
        <v>36</v>
      </c>
    </row>
    <row r="2953" spans="1:19" x14ac:dyDescent="0.3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 t="str">
        <f t="shared" si="46"/>
        <v>8-14 days</v>
      </c>
      <c r="L2953">
        <v>12</v>
      </c>
      <c r="M2953">
        <v>2</v>
      </c>
      <c r="N2953">
        <v>0</v>
      </c>
      <c r="O2953" t="s">
        <v>54</v>
      </c>
      <c r="P2953" t="s">
        <v>55</v>
      </c>
      <c r="Q2953">
        <v>4.3</v>
      </c>
      <c r="R2953">
        <v>20</v>
      </c>
      <c r="S2953" t="s">
        <v>36</v>
      </c>
    </row>
    <row r="2954" spans="1:19" x14ac:dyDescent="0.3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 t="str">
        <f t="shared" si="46"/>
        <v>31-60 days</v>
      </c>
      <c r="L2954">
        <v>55</v>
      </c>
      <c r="M2954">
        <v>2</v>
      </c>
      <c r="N2954">
        <v>1</v>
      </c>
      <c r="O2954" t="s">
        <v>25</v>
      </c>
      <c r="P2954" t="s">
        <v>26</v>
      </c>
      <c r="Q2954">
        <v>25.5</v>
      </c>
      <c r="R2954">
        <v>29</v>
      </c>
      <c r="S2954" t="s">
        <v>27</v>
      </c>
    </row>
    <row r="2955" spans="1:19" x14ac:dyDescent="0.3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 t="str">
        <f t="shared" si="46"/>
        <v>0-7 days</v>
      </c>
      <c r="L2955">
        <v>3</v>
      </c>
      <c r="M2955">
        <v>1</v>
      </c>
      <c r="N2955">
        <v>0</v>
      </c>
      <c r="O2955" t="s">
        <v>25</v>
      </c>
      <c r="P2955" t="s">
        <v>35</v>
      </c>
      <c r="Q2955">
        <v>16.3</v>
      </c>
      <c r="R2955">
        <v>22</v>
      </c>
      <c r="S2955" t="s">
        <v>27</v>
      </c>
    </row>
    <row r="2956" spans="1:19" x14ac:dyDescent="0.3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 t="str">
        <f t="shared" si="46"/>
        <v>31-60 days</v>
      </c>
      <c r="L2956">
        <v>39</v>
      </c>
      <c r="M2956">
        <v>2</v>
      </c>
      <c r="N2956">
        <v>0</v>
      </c>
      <c r="O2956" t="s">
        <v>25</v>
      </c>
      <c r="P2956" t="s">
        <v>35</v>
      </c>
      <c r="Q2956">
        <v>4.5</v>
      </c>
      <c r="R2956">
        <v>20</v>
      </c>
      <c r="S2956" t="s">
        <v>27</v>
      </c>
    </row>
    <row r="2957" spans="1:19" x14ac:dyDescent="0.3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 t="str">
        <f t="shared" si="46"/>
        <v>8-14 days</v>
      </c>
      <c r="L2957">
        <v>8</v>
      </c>
      <c r="M2957">
        <v>6</v>
      </c>
      <c r="N2957">
        <v>0</v>
      </c>
      <c r="O2957" t="s">
        <v>25</v>
      </c>
      <c r="P2957" t="s">
        <v>35</v>
      </c>
      <c r="Q2957">
        <v>11.8</v>
      </c>
      <c r="R2957">
        <v>22</v>
      </c>
      <c r="S2957" t="s">
        <v>36</v>
      </c>
    </row>
    <row r="2958" spans="1:19" x14ac:dyDescent="0.3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 t="str">
        <f t="shared" si="46"/>
        <v>31-60 days</v>
      </c>
      <c r="L2958">
        <v>41</v>
      </c>
      <c r="M2958">
        <v>3</v>
      </c>
      <c r="N2958">
        <v>0</v>
      </c>
      <c r="O2958" t="s">
        <v>25</v>
      </c>
      <c r="P2958" t="s">
        <v>35</v>
      </c>
      <c r="Q2958">
        <v>11.4</v>
      </c>
      <c r="R2958">
        <v>22</v>
      </c>
      <c r="S2958" t="s">
        <v>36</v>
      </c>
    </row>
    <row r="2959" spans="1:19" x14ac:dyDescent="0.3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 t="str">
        <f t="shared" si="46"/>
        <v>15-30 days</v>
      </c>
      <c r="L2959">
        <v>30</v>
      </c>
      <c r="M2959">
        <v>6</v>
      </c>
      <c r="N2959">
        <v>0</v>
      </c>
      <c r="O2959" t="s">
        <v>54</v>
      </c>
      <c r="P2959" t="s">
        <v>55</v>
      </c>
      <c r="R2959">
        <v>17</v>
      </c>
      <c r="S2959" t="s">
        <v>36</v>
      </c>
    </row>
    <row r="2960" spans="1:19" x14ac:dyDescent="0.3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 t="str">
        <f t="shared" si="46"/>
        <v>31-60 days</v>
      </c>
      <c r="L2960">
        <v>59</v>
      </c>
      <c r="M2960">
        <v>5</v>
      </c>
      <c r="N2960">
        <v>0</v>
      </c>
      <c r="O2960" t="s">
        <v>25</v>
      </c>
      <c r="P2960" t="s">
        <v>50</v>
      </c>
      <c r="Q2960">
        <v>9.3000000000000007</v>
      </c>
      <c r="R2960">
        <v>27</v>
      </c>
      <c r="S2960" t="s">
        <v>71</v>
      </c>
    </row>
    <row r="2961" spans="1:19" x14ac:dyDescent="0.3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 t="str">
        <f t="shared" si="46"/>
        <v>31-60 days</v>
      </c>
      <c r="L2961">
        <v>39</v>
      </c>
      <c r="M2961">
        <v>3</v>
      </c>
      <c r="N2961">
        <v>0</v>
      </c>
      <c r="O2961" t="s">
        <v>54</v>
      </c>
      <c r="P2961" t="s">
        <v>55</v>
      </c>
      <c r="Q2961">
        <v>11</v>
      </c>
      <c r="R2961">
        <v>14</v>
      </c>
      <c r="S2961" t="s">
        <v>27</v>
      </c>
    </row>
    <row r="2962" spans="1:19" x14ac:dyDescent="0.3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 t="str">
        <f t="shared" si="46"/>
        <v>15-30 days</v>
      </c>
      <c r="L2962">
        <v>22</v>
      </c>
      <c r="M2962">
        <v>5</v>
      </c>
      <c r="N2962">
        <v>2</v>
      </c>
      <c r="O2962" t="s">
        <v>25</v>
      </c>
      <c r="P2962" t="s">
        <v>35</v>
      </c>
      <c r="Q2962">
        <v>6.1</v>
      </c>
      <c r="R2962">
        <v>20</v>
      </c>
      <c r="S2962" t="s">
        <v>27</v>
      </c>
    </row>
    <row r="2963" spans="1:19" x14ac:dyDescent="0.3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 t="str">
        <f t="shared" si="46"/>
        <v>0-7 days</v>
      </c>
      <c r="L2963">
        <v>5</v>
      </c>
      <c r="M2963">
        <v>1</v>
      </c>
      <c r="N2963">
        <v>0</v>
      </c>
      <c r="O2963" t="s">
        <v>25</v>
      </c>
      <c r="P2963" t="s">
        <v>35</v>
      </c>
      <c r="Q2963">
        <v>21.4</v>
      </c>
      <c r="R2963">
        <v>45</v>
      </c>
      <c r="S2963" t="s">
        <v>36</v>
      </c>
    </row>
    <row r="2964" spans="1:19" x14ac:dyDescent="0.3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 t="str">
        <f t="shared" si="46"/>
        <v>31-60 days</v>
      </c>
      <c r="L2964">
        <v>36</v>
      </c>
      <c r="M2964">
        <v>4</v>
      </c>
      <c r="N2964">
        <v>1</v>
      </c>
      <c r="O2964" t="s">
        <v>54</v>
      </c>
      <c r="P2964" t="s">
        <v>55</v>
      </c>
      <c r="Q2964">
        <v>7.4</v>
      </c>
      <c r="R2964">
        <v>23</v>
      </c>
      <c r="S2964" t="s">
        <v>36</v>
      </c>
    </row>
    <row r="2965" spans="1:19" x14ac:dyDescent="0.3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 t="str">
        <f t="shared" si="46"/>
        <v>15-30 days</v>
      </c>
      <c r="L2965">
        <v>26</v>
      </c>
      <c r="M2965">
        <v>0</v>
      </c>
      <c r="N2965">
        <v>0</v>
      </c>
      <c r="O2965" t="s">
        <v>25</v>
      </c>
      <c r="P2965" t="s">
        <v>26</v>
      </c>
      <c r="Q2965">
        <v>12.5</v>
      </c>
      <c r="R2965">
        <v>34</v>
      </c>
      <c r="S2965" t="s">
        <v>36</v>
      </c>
    </row>
    <row r="2966" spans="1:19" x14ac:dyDescent="0.3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 t="str">
        <f t="shared" si="46"/>
        <v>0-7 days</v>
      </c>
      <c r="L2966">
        <v>3</v>
      </c>
      <c r="M2966">
        <v>3</v>
      </c>
      <c r="N2966">
        <v>0</v>
      </c>
      <c r="O2966" t="s">
        <v>25</v>
      </c>
      <c r="P2966" t="s">
        <v>50</v>
      </c>
      <c r="Q2966">
        <v>9</v>
      </c>
      <c r="R2966">
        <v>23</v>
      </c>
      <c r="S2966" t="s">
        <v>36</v>
      </c>
    </row>
    <row r="2967" spans="1:19" x14ac:dyDescent="0.3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 t="str">
        <f t="shared" si="46"/>
        <v>31-60 days</v>
      </c>
      <c r="L2967">
        <v>35</v>
      </c>
      <c r="M2967">
        <v>3</v>
      </c>
      <c r="N2967">
        <v>1</v>
      </c>
      <c r="O2967" t="s">
        <v>25</v>
      </c>
      <c r="P2967" t="s">
        <v>26</v>
      </c>
      <c r="Q2967">
        <v>5.0999999999999996</v>
      </c>
      <c r="R2967">
        <v>32</v>
      </c>
      <c r="S2967" t="s">
        <v>36</v>
      </c>
    </row>
    <row r="2968" spans="1:19" x14ac:dyDescent="0.3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 t="str">
        <f t="shared" si="46"/>
        <v>8-14 days</v>
      </c>
      <c r="L2968">
        <v>12</v>
      </c>
      <c r="M2968">
        <v>3</v>
      </c>
      <c r="N2968">
        <v>1</v>
      </c>
      <c r="O2968" t="s">
        <v>54</v>
      </c>
      <c r="P2968" t="s">
        <v>55</v>
      </c>
      <c r="Q2968">
        <v>10.5</v>
      </c>
      <c r="R2968">
        <v>22</v>
      </c>
      <c r="S2968" t="s">
        <v>71</v>
      </c>
    </row>
    <row r="2969" spans="1:19" x14ac:dyDescent="0.3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 t="str">
        <f t="shared" si="46"/>
        <v>8-14 days</v>
      </c>
      <c r="L2969">
        <v>14</v>
      </c>
      <c r="M2969">
        <v>2</v>
      </c>
      <c r="N2969">
        <v>0</v>
      </c>
      <c r="O2969" t="s">
        <v>25</v>
      </c>
      <c r="P2969" t="s">
        <v>35</v>
      </c>
      <c r="Q2969">
        <v>8.3000000000000007</v>
      </c>
      <c r="R2969">
        <v>2</v>
      </c>
      <c r="S2969" t="s">
        <v>36</v>
      </c>
    </row>
    <row r="2970" spans="1:19" x14ac:dyDescent="0.3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 t="str">
        <f t="shared" si="46"/>
        <v>0-7 days</v>
      </c>
      <c r="L2970">
        <v>0</v>
      </c>
      <c r="M2970">
        <v>0</v>
      </c>
      <c r="N2970">
        <v>0</v>
      </c>
      <c r="O2970" t="s">
        <v>25</v>
      </c>
      <c r="P2970" t="s">
        <v>35</v>
      </c>
      <c r="Q2970">
        <v>25.2</v>
      </c>
      <c r="R2970">
        <v>24</v>
      </c>
      <c r="S2970" t="s">
        <v>36</v>
      </c>
    </row>
    <row r="2971" spans="1:19" x14ac:dyDescent="0.3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 t="str">
        <f t="shared" si="46"/>
        <v>15-30 days</v>
      </c>
      <c r="L2971">
        <v>22</v>
      </c>
      <c r="M2971">
        <v>2</v>
      </c>
      <c r="N2971">
        <v>1</v>
      </c>
      <c r="O2971" t="s">
        <v>54</v>
      </c>
      <c r="P2971" t="s">
        <v>55</v>
      </c>
      <c r="Q2971">
        <v>15.8</v>
      </c>
      <c r="R2971">
        <v>13</v>
      </c>
      <c r="S2971" t="s">
        <v>36</v>
      </c>
    </row>
    <row r="2972" spans="1:19" x14ac:dyDescent="0.3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 t="str">
        <f t="shared" si="46"/>
        <v>8-14 days</v>
      </c>
      <c r="L2972">
        <v>13</v>
      </c>
      <c r="M2972">
        <v>3</v>
      </c>
      <c r="N2972">
        <v>0</v>
      </c>
      <c r="O2972" t="s">
        <v>25</v>
      </c>
      <c r="P2972" t="s">
        <v>35</v>
      </c>
      <c r="Q2972">
        <v>2.5</v>
      </c>
      <c r="R2972">
        <v>21</v>
      </c>
      <c r="S2972" t="s">
        <v>36</v>
      </c>
    </row>
    <row r="2973" spans="1:19" x14ac:dyDescent="0.3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 t="str">
        <f t="shared" si="46"/>
        <v>0-7 days</v>
      </c>
      <c r="L2973">
        <v>4</v>
      </c>
      <c r="M2973">
        <v>5</v>
      </c>
      <c r="N2973">
        <v>0</v>
      </c>
      <c r="O2973" t="s">
        <v>54</v>
      </c>
      <c r="P2973" t="s">
        <v>55</v>
      </c>
      <c r="Q2973">
        <v>5</v>
      </c>
      <c r="R2973">
        <v>32</v>
      </c>
      <c r="S2973" t="s">
        <v>36</v>
      </c>
    </row>
    <row r="2974" spans="1:19" x14ac:dyDescent="0.3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 t="str">
        <f t="shared" si="46"/>
        <v>15-30 days</v>
      </c>
      <c r="L2974">
        <v>26</v>
      </c>
      <c r="M2974">
        <v>8</v>
      </c>
      <c r="N2974">
        <v>1</v>
      </c>
      <c r="O2974" t="s">
        <v>25</v>
      </c>
      <c r="P2974" t="s">
        <v>26</v>
      </c>
      <c r="Q2974">
        <v>4.4000000000000004</v>
      </c>
      <c r="R2974">
        <v>44</v>
      </c>
      <c r="S2974" t="s">
        <v>27</v>
      </c>
    </row>
    <row r="2975" spans="1:19" x14ac:dyDescent="0.3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 t="str">
        <f t="shared" si="46"/>
        <v>8-14 days</v>
      </c>
      <c r="L2975">
        <v>13</v>
      </c>
      <c r="M2975">
        <v>2</v>
      </c>
      <c r="N2975">
        <v>0</v>
      </c>
      <c r="O2975" t="s">
        <v>25</v>
      </c>
      <c r="P2975" t="s">
        <v>35</v>
      </c>
      <c r="R2975">
        <v>9</v>
      </c>
      <c r="S2975" t="s">
        <v>36</v>
      </c>
    </row>
    <row r="2976" spans="1:19" x14ac:dyDescent="0.3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 t="str">
        <f t="shared" si="46"/>
        <v>8-14 days</v>
      </c>
      <c r="L2976">
        <v>8</v>
      </c>
      <c r="M2976">
        <v>3</v>
      </c>
      <c r="N2976">
        <v>1</v>
      </c>
      <c r="O2976" t="s">
        <v>25</v>
      </c>
      <c r="P2976" t="s">
        <v>35</v>
      </c>
      <c r="Q2976">
        <v>13.2</v>
      </c>
      <c r="R2976">
        <v>21</v>
      </c>
      <c r="S2976" t="s">
        <v>36</v>
      </c>
    </row>
    <row r="2977" spans="1:19" x14ac:dyDescent="0.3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 t="str">
        <f t="shared" si="46"/>
        <v>15-30 days</v>
      </c>
      <c r="L2977">
        <v>28</v>
      </c>
      <c r="M2977">
        <v>3</v>
      </c>
      <c r="N2977">
        <v>1</v>
      </c>
      <c r="O2977" t="s">
        <v>25</v>
      </c>
      <c r="P2977" t="s">
        <v>26</v>
      </c>
      <c r="Q2977">
        <v>11.6</v>
      </c>
      <c r="R2977">
        <v>24</v>
      </c>
      <c r="S2977" t="s">
        <v>36</v>
      </c>
    </row>
    <row r="2978" spans="1:19" x14ac:dyDescent="0.3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 t="str">
        <f t="shared" si="46"/>
        <v>0-7 days</v>
      </c>
      <c r="L2978">
        <v>3</v>
      </c>
      <c r="M2978">
        <v>4</v>
      </c>
      <c r="N2978">
        <v>2</v>
      </c>
      <c r="O2978" t="s">
        <v>25</v>
      </c>
      <c r="P2978" t="s">
        <v>35</v>
      </c>
      <c r="Q2978">
        <v>3.8</v>
      </c>
      <c r="R2978">
        <v>25</v>
      </c>
      <c r="S2978" t="s">
        <v>27</v>
      </c>
    </row>
    <row r="2979" spans="1:19" x14ac:dyDescent="0.3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 t="str">
        <f t="shared" si="46"/>
        <v>31-60 days</v>
      </c>
      <c r="L2979">
        <v>60</v>
      </c>
      <c r="M2979">
        <v>2</v>
      </c>
      <c r="N2979">
        <v>0</v>
      </c>
      <c r="O2979" t="s">
        <v>54</v>
      </c>
      <c r="P2979" t="s">
        <v>55</v>
      </c>
      <c r="Q2979">
        <v>3.9</v>
      </c>
      <c r="R2979">
        <v>25</v>
      </c>
      <c r="S2979" t="s">
        <v>27</v>
      </c>
    </row>
    <row r="2980" spans="1:19" x14ac:dyDescent="0.3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 t="str">
        <f t="shared" si="46"/>
        <v>15-30 days</v>
      </c>
      <c r="L2980">
        <v>28</v>
      </c>
      <c r="M2980">
        <v>4</v>
      </c>
      <c r="N2980">
        <v>2</v>
      </c>
      <c r="O2980" t="s">
        <v>25</v>
      </c>
      <c r="P2980" t="s">
        <v>35</v>
      </c>
      <c r="Q2980">
        <v>1.5</v>
      </c>
      <c r="R2980">
        <v>30</v>
      </c>
      <c r="S2980" t="s">
        <v>36</v>
      </c>
    </row>
    <row r="2981" spans="1:19" x14ac:dyDescent="0.3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 t="str">
        <f t="shared" si="46"/>
        <v>31-60 days</v>
      </c>
      <c r="L2981">
        <v>60</v>
      </c>
      <c r="M2981">
        <v>5</v>
      </c>
      <c r="N2981">
        <v>1</v>
      </c>
      <c r="O2981" t="s">
        <v>25</v>
      </c>
      <c r="P2981" t="s">
        <v>26</v>
      </c>
      <c r="Q2981">
        <v>4.7</v>
      </c>
      <c r="R2981">
        <v>19</v>
      </c>
      <c r="S2981" t="s">
        <v>36</v>
      </c>
    </row>
    <row r="2982" spans="1:19" x14ac:dyDescent="0.3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 t="str">
        <f t="shared" si="46"/>
        <v>31-60 days</v>
      </c>
      <c r="L2982">
        <v>53</v>
      </c>
      <c r="M2982">
        <v>4</v>
      </c>
      <c r="N2982">
        <v>1</v>
      </c>
      <c r="O2982" t="s">
        <v>25</v>
      </c>
      <c r="P2982" t="s">
        <v>26</v>
      </c>
      <c r="Q2982">
        <v>11.3</v>
      </c>
      <c r="R2982">
        <v>22</v>
      </c>
      <c r="S2982" t="s">
        <v>27</v>
      </c>
    </row>
    <row r="2983" spans="1:19" x14ac:dyDescent="0.3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 t="str">
        <f t="shared" si="46"/>
        <v>31-60 days</v>
      </c>
      <c r="L2983">
        <v>59</v>
      </c>
      <c r="M2983">
        <v>4</v>
      </c>
      <c r="N2983">
        <v>1</v>
      </c>
      <c r="O2983" t="s">
        <v>25</v>
      </c>
      <c r="P2983" t="s">
        <v>35</v>
      </c>
      <c r="Q2983">
        <v>27.1</v>
      </c>
      <c r="R2983">
        <v>28</v>
      </c>
      <c r="S2983" t="s">
        <v>27</v>
      </c>
    </row>
    <row r="2984" spans="1:19" x14ac:dyDescent="0.3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 t="str">
        <f t="shared" si="46"/>
        <v>31-60 days</v>
      </c>
      <c r="L2984">
        <v>33</v>
      </c>
      <c r="M2984">
        <v>1</v>
      </c>
      <c r="N2984">
        <v>0</v>
      </c>
      <c r="O2984" t="s">
        <v>25</v>
      </c>
      <c r="P2984" t="s">
        <v>26</v>
      </c>
      <c r="Q2984">
        <v>2.6</v>
      </c>
      <c r="R2984">
        <v>16</v>
      </c>
      <c r="S2984" t="s">
        <v>27</v>
      </c>
    </row>
    <row r="2985" spans="1:19" x14ac:dyDescent="0.3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 t="str">
        <f t="shared" si="46"/>
        <v>15-30 days</v>
      </c>
      <c r="L2985">
        <v>25</v>
      </c>
      <c r="M2985">
        <v>2</v>
      </c>
      <c r="N2985">
        <v>0</v>
      </c>
      <c r="O2985" t="s">
        <v>25</v>
      </c>
      <c r="P2985" t="s">
        <v>50</v>
      </c>
      <c r="Q2985">
        <v>10.6</v>
      </c>
      <c r="R2985">
        <v>17</v>
      </c>
      <c r="S2985" t="s">
        <v>36</v>
      </c>
    </row>
    <row r="2986" spans="1:19" x14ac:dyDescent="0.3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 t="str">
        <f t="shared" si="46"/>
        <v>31-60 days</v>
      </c>
      <c r="L2986">
        <v>43</v>
      </c>
      <c r="M2986">
        <v>3</v>
      </c>
      <c r="N2986">
        <v>1</v>
      </c>
      <c r="O2986" t="s">
        <v>25</v>
      </c>
      <c r="P2986" t="s">
        <v>26</v>
      </c>
      <c r="Q2986">
        <v>29.5</v>
      </c>
      <c r="R2986">
        <v>23</v>
      </c>
      <c r="S2986" t="s">
        <v>27</v>
      </c>
    </row>
    <row r="2987" spans="1:19" x14ac:dyDescent="0.3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 t="str">
        <f t="shared" si="46"/>
        <v>0-7 days</v>
      </c>
      <c r="L2987">
        <v>4</v>
      </c>
      <c r="M2987">
        <v>3</v>
      </c>
      <c r="N2987">
        <v>1</v>
      </c>
      <c r="O2987" t="s">
        <v>25</v>
      </c>
      <c r="P2987" t="s">
        <v>35</v>
      </c>
      <c r="Q2987">
        <v>7.8</v>
      </c>
      <c r="R2987">
        <v>17</v>
      </c>
      <c r="S2987" t="s">
        <v>36</v>
      </c>
    </row>
    <row r="2988" spans="1:19" x14ac:dyDescent="0.3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 t="str">
        <f t="shared" si="46"/>
        <v>31-60 days</v>
      </c>
      <c r="L2988">
        <v>51</v>
      </c>
      <c r="M2988">
        <v>0</v>
      </c>
      <c r="N2988">
        <v>0</v>
      </c>
      <c r="O2988" t="s">
        <v>25</v>
      </c>
      <c r="P2988" t="s">
        <v>26</v>
      </c>
      <c r="Q2988">
        <v>7.7</v>
      </c>
      <c r="R2988">
        <v>13</v>
      </c>
      <c r="S2988" t="s">
        <v>27</v>
      </c>
    </row>
    <row r="2989" spans="1:19" x14ac:dyDescent="0.3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 t="str">
        <f t="shared" si="46"/>
        <v>15-30 days</v>
      </c>
      <c r="L2989">
        <v>19</v>
      </c>
      <c r="M2989">
        <v>5</v>
      </c>
      <c r="N2989">
        <v>0</v>
      </c>
      <c r="O2989" t="s">
        <v>54</v>
      </c>
      <c r="P2989" t="s">
        <v>55</v>
      </c>
      <c r="Q2989">
        <v>8.8000000000000007</v>
      </c>
      <c r="R2989">
        <v>12</v>
      </c>
      <c r="S2989" t="s">
        <v>27</v>
      </c>
    </row>
    <row r="2990" spans="1:19" x14ac:dyDescent="0.3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 t="str">
        <f t="shared" si="46"/>
        <v>0-7 days</v>
      </c>
      <c r="L2990">
        <v>0</v>
      </c>
      <c r="M2990">
        <v>2</v>
      </c>
      <c r="N2990">
        <v>0</v>
      </c>
      <c r="O2990" t="s">
        <v>25</v>
      </c>
      <c r="P2990" t="s">
        <v>26</v>
      </c>
      <c r="Q2990">
        <v>8.1</v>
      </c>
      <c r="R2990">
        <v>24</v>
      </c>
      <c r="S2990" t="s">
        <v>36</v>
      </c>
    </row>
    <row r="2991" spans="1:19" x14ac:dyDescent="0.3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 t="str">
        <f t="shared" si="46"/>
        <v>8-14 days</v>
      </c>
      <c r="L2991">
        <v>14</v>
      </c>
      <c r="M2991">
        <v>1</v>
      </c>
      <c r="N2991">
        <v>0</v>
      </c>
      <c r="O2991" t="s">
        <v>25</v>
      </c>
      <c r="P2991" t="s">
        <v>26</v>
      </c>
      <c r="Q2991">
        <v>13.7</v>
      </c>
      <c r="R2991">
        <v>39</v>
      </c>
      <c r="S2991" t="s">
        <v>71</v>
      </c>
    </row>
    <row r="2992" spans="1:19" x14ac:dyDescent="0.3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 t="str">
        <f t="shared" si="46"/>
        <v>8-14 days</v>
      </c>
      <c r="L2992">
        <v>14</v>
      </c>
      <c r="M2992">
        <v>6</v>
      </c>
      <c r="N2992">
        <v>2</v>
      </c>
      <c r="O2992" t="s">
        <v>25</v>
      </c>
      <c r="P2992" t="s">
        <v>35</v>
      </c>
      <c r="Q2992">
        <v>35.299999999999997</v>
      </c>
      <c r="R2992">
        <v>28</v>
      </c>
      <c r="S2992" t="s">
        <v>27</v>
      </c>
    </row>
    <row r="2993" spans="1:19" x14ac:dyDescent="0.3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 t="str">
        <f t="shared" si="46"/>
        <v>0-7 days</v>
      </c>
      <c r="L2993">
        <v>0</v>
      </c>
      <c r="M2993">
        <v>6</v>
      </c>
      <c r="N2993">
        <v>2</v>
      </c>
      <c r="O2993" t="s">
        <v>25</v>
      </c>
      <c r="P2993" t="s">
        <v>26</v>
      </c>
      <c r="Q2993">
        <v>5.0999999999999996</v>
      </c>
      <c r="S2993" t="s">
        <v>27</v>
      </c>
    </row>
    <row r="2994" spans="1:19" x14ac:dyDescent="0.3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 t="str">
        <f t="shared" si="46"/>
        <v>31-60 days</v>
      </c>
      <c r="L2994">
        <v>40</v>
      </c>
      <c r="M2994">
        <v>3</v>
      </c>
      <c r="N2994">
        <v>1</v>
      </c>
      <c r="O2994" t="s">
        <v>25</v>
      </c>
      <c r="P2994" t="s">
        <v>50</v>
      </c>
      <c r="Q2994">
        <v>3</v>
      </c>
      <c r="R2994">
        <v>41</v>
      </c>
      <c r="S2994" t="s">
        <v>36</v>
      </c>
    </row>
    <row r="2995" spans="1:19" x14ac:dyDescent="0.3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 t="str">
        <f t="shared" si="46"/>
        <v>0-7 days</v>
      </c>
      <c r="L2995">
        <v>5</v>
      </c>
      <c r="M2995">
        <v>1</v>
      </c>
      <c r="N2995">
        <v>0</v>
      </c>
      <c r="O2995" t="s">
        <v>25</v>
      </c>
      <c r="P2995" t="s">
        <v>35</v>
      </c>
      <c r="Q2995">
        <v>4</v>
      </c>
      <c r="R2995">
        <v>18</v>
      </c>
      <c r="S2995" t="s">
        <v>36</v>
      </c>
    </row>
    <row r="2996" spans="1:19" x14ac:dyDescent="0.3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 t="str">
        <f t="shared" si="46"/>
        <v>31-60 days</v>
      </c>
      <c r="L2996">
        <v>51</v>
      </c>
      <c r="M2996">
        <v>3</v>
      </c>
      <c r="N2996">
        <v>1</v>
      </c>
      <c r="O2996" t="s">
        <v>54</v>
      </c>
      <c r="P2996" t="s">
        <v>55</v>
      </c>
      <c r="Q2996">
        <v>14.4</v>
      </c>
      <c r="R2996">
        <v>41</v>
      </c>
      <c r="S2996" t="s">
        <v>27</v>
      </c>
    </row>
    <row r="2997" spans="1:19" x14ac:dyDescent="0.3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 t="str">
        <f t="shared" si="46"/>
        <v>15-30 days</v>
      </c>
      <c r="L2997">
        <v>27</v>
      </c>
      <c r="M2997">
        <v>4</v>
      </c>
      <c r="N2997">
        <v>0</v>
      </c>
      <c r="O2997" t="s">
        <v>25</v>
      </c>
      <c r="P2997" t="s">
        <v>35</v>
      </c>
      <c r="Q2997">
        <v>9.9</v>
      </c>
      <c r="R2997">
        <v>23</v>
      </c>
      <c r="S2997" t="s">
        <v>36</v>
      </c>
    </row>
    <row r="2998" spans="1:19" x14ac:dyDescent="0.3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 t="str">
        <f t="shared" si="46"/>
        <v>31-60 days</v>
      </c>
      <c r="L2998">
        <v>43</v>
      </c>
      <c r="M2998">
        <v>4</v>
      </c>
      <c r="N2998">
        <v>1</v>
      </c>
      <c r="O2998" t="s">
        <v>54</v>
      </c>
      <c r="P2998" t="s">
        <v>55</v>
      </c>
      <c r="Q2998">
        <v>16</v>
      </c>
      <c r="R2998">
        <v>27</v>
      </c>
      <c r="S2998" t="s">
        <v>36</v>
      </c>
    </row>
    <row r="2999" spans="1:19" x14ac:dyDescent="0.3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 t="str">
        <f t="shared" si="46"/>
        <v>15-30 days</v>
      </c>
      <c r="L2999">
        <v>20</v>
      </c>
      <c r="M2999">
        <v>2</v>
      </c>
      <c r="N2999">
        <v>0</v>
      </c>
      <c r="O2999" t="s">
        <v>25</v>
      </c>
      <c r="P2999" t="s">
        <v>26</v>
      </c>
      <c r="Q2999">
        <v>1.9</v>
      </c>
      <c r="R2999">
        <v>20</v>
      </c>
      <c r="S2999" t="s">
        <v>36</v>
      </c>
    </row>
    <row r="3000" spans="1:19" x14ac:dyDescent="0.3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 t="str">
        <f t="shared" si="46"/>
        <v>8-14 days</v>
      </c>
      <c r="L3000">
        <v>8</v>
      </c>
      <c r="M3000">
        <v>4</v>
      </c>
      <c r="N3000">
        <v>2</v>
      </c>
      <c r="O3000" t="s">
        <v>25</v>
      </c>
      <c r="P3000" t="s">
        <v>26</v>
      </c>
      <c r="Q3000">
        <v>7.4</v>
      </c>
      <c r="R3000">
        <v>21</v>
      </c>
      <c r="S3000" t="s">
        <v>36</v>
      </c>
    </row>
    <row r="3001" spans="1:19" x14ac:dyDescent="0.3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 t="str">
        <f t="shared" si="46"/>
        <v>8-14 days</v>
      </c>
      <c r="L3001">
        <v>11</v>
      </c>
      <c r="M3001">
        <v>4</v>
      </c>
      <c r="N3001">
        <v>0</v>
      </c>
      <c r="O3001" t="s">
        <v>25</v>
      </c>
      <c r="P3001" t="s">
        <v>50</v>
      </c>
      <c r="Q3001">
        <v>13.4</v>
      </c>
      <c r="R3001">
        <v>39</v>
      </c>
      <c r="S3001" t="s">
        <v>36</v>
      </c>
    </row>
    <row r="3002" spans="1:19" x14ac:dyDescent="0.3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 t="str">
        <f t="shared" si="46"/>
        <v>31-60 days</v>
      </c>
      <c r="L3002">
        <v>39</v>
      </c>
      <c r="M3002">
        <v>2</v>
      </c>
      <c r="N3002">
        <v>1</v>
      </c>
      <c r="O3002" t="s">
        <v>25</v>
      </c>
      <c r="P3002" t="s">
        <v>26</v>
      </c>
      <c r="Q3002">
        <v>1.8</v>
      </c>
      <c r="R3002">
        <v>22</v>
      </c>
      <c r="S3002" t="s">
        <v>27</v>
      </c>
    </row>
    <row r="3003" spans="1:19" x14ac:dyDescent="0.3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 t="str">
        <f t="shared" si="46"/>
        <v>31-60 days</v>
      </c>
      <c r="L3003">
        <v>43</v>
      </c>
      <c r="M3003">
        <v>1</v>
      </c>
      <c r="N3003">
        <v>0</v>
      </c>
      <c r="O3003" t="s">
        <v>25</v>
      </c>
      <c r="P3003" t="s">
        <v>35</v>
      </c>
      <c r="Q3003">
        <v>10.5</v>
      </c>
      <c r="R3003">
        <v>34</v>
      </c>
      <c r="S3003" t="s">
        <v>36</v>
      </c>
    </row>
    <row r="3004" spans="1:19" x14ac:dyDescent="0.3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 t="str">
        <f t="shared" si="46"/>
        <v>15-30 days</v>
      </c>
      <c r="L3004">
        <v>16</v>
      </c>
      <c r="M3004">
        <v>1</v>
      </c>
      <c r="N3004">
        <v>0</v>
      </c>
      <c r="O3004" t="s">
        <v>25</v>
      </c>
      <c r="P3004" t="s">
        <v>50</v>
      </c>
      <c r="Q3004">
        <v>7.6</v>
      </c>
      <c r="R3004">
        <v>25</v>
      </c>
      <c r="S3004" t="s">
        <v>36</v>
      </c>
    </row>
    <row r="3005" spans="1:19" x14ac:dyDescent="0.3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 t="str">
        <f t="shared" si="46"/>
        <v>15-30 days</v>
      </c>
      <c r="L3005">
        <v>21</v>
      </c>
      <c r="M3005">
        <v>1</v>
      </c>
      <c r="N3005">
        <v>0</v>
      </c>
      <c r="O3005" t="s">
        <v>25</v>
      </c>
      <c r="P3005" t="s">
        <v>35</v>
      </c>
      <c r="Q3005">
        <v>23.1</v>
      </c>
      <c r="R3005">
        <v>23</v>
      </c>
      <c r="S3005" t="s">
        <v>27</v>
      </c>
    </row>
    <row r="3006" spans="1:19" x14ac:dyDescent="0.3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 t="str">
        <f t="shared" si="46"/>
        <v>31-60 days</v>
      </c>
      <c r="L3006">
        <v>57</v>
      </c>
      <c r="M3006">
        <v>7</v>
      </c>
      <c r="N3006">
        <v>0</v>
      </c>
      <c r="O3006" t="s">
        <v>25</v>
      </c>
      <c r="P3006" t="s">
        <v>50</v>
      </c>
      <c r="Q3006">
        <v>2.8</v>
      </c>
      <c r="R3006">
        <v>31</v>
      </c>
      <c r="S3006" t="s">
        <v>36</v>
      </c>
    </row>
    <row r="3007" spans="1:19" x14ac:dyDescent="0.3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 t="str">
        <f t="shared" si="46"/>
        <v>31-60 days</v>
      </c>
      <c r="L3007">
        <v>51</v>
      </c>
      <c r="M3007">
        <v>4</v>
      </c>
      <c r="N3007">
        <v>0</v>
      </c>
      <c r="O3007" t="s">
        <v>54</v>
      </c>
      <c r="P3007" t="s">
        <v>55</v>
      </c>
      <c r="Q3007">
        <v>16.8</v>
      </c>
      <c r="R3007">
        <v>23</v>
      </c>
      <c r="S3007" t="s">
        <v>36</v>
      </c>
    </row>
    <row r="3008" spans="1:19" x14ac:dyDescent="0.3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 t="str">
        <f t="shared" si="46"/>
        <v>15-30 days</v>
      </c>
      <c r="L3008">
        <v>25</v>
      </c>
      <c r="M3008">
        <v>2</v>
      </c>
      <c r="N3008">
        <v>0</v>
      </c>
      <c r="O3008" t="s">
        <v>25</v>
      </c>
      <c r="P3008" t="s">
        <v>26</v>
      </c>
      <c r="Q3008">
        <v>6.3</v>
      </c>
      <c r="R3008">
        <v>15</v>
      </c>
      <c r="S3008" t="s">
        <v>36</v>
      </c>
    </row>
    <row r="3009" spans="1:19" x14ac:dyDescent="0.3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 t="str">
        <f t="shared" si="46"/>
        <v>8-14 days</v>
      </c>
      <c r="L3009">
        <v>14</v>
      </c>
      <c r="M3009">
        <v>5</v>
      </c>
      <c r="N3009">
        <v>0</v>
      </c>
      <c r="O3009" t="s">
        <v>25</v>
      </c>
      <c r="P3009" t="s">
        <v>35</v>
      </c>
      <c r="Q3009">
        <v>1.8</v>
      </c>
      <c r="R3009">
        <v>16</v>
      </c>
      <c r="S3009" t="s">
        <v>36</v>
      </c>
    </row>
    <row r="3010" spans="1:19" x14ac:dyDescent="0.3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 t="str">
        <f t="shared" si="46"/>
        <v>15-30 days</v>
      </c>
      <c r="L3010">
        <v>18</v>
      </c>
      <c r="M3010">
        <v>4</v>
      </c>
      <c r="N3010">
        <v>0</v>
      </c>
      <c r="O3010" t="s">
        <v>25</v>
      </c>
      <c r="P3010" t="s">
        <v>26</v>
      </c>
      <c r="Q3010">
        <v>5.4</v>
      </c>
      <c r="R3010">
        <v>30</v>
      </c>
      <c r="S3010" t="s">
        <v>36</v>
      </c>
    </row>
    <row r="3011" spans="1:19" x14ac:dyDescent="0.3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 t="str">
        <f t="shared" ref="K3011:K3074" si="47">IF(L3011&lt;=7,"0-7 days",IF(L3011&lt;=14,"8-14 days",IF(L3011&lt;=30,"15-30 days","31-60 days")))</f>
        <v>31-60 days</v>
      </c>
      <c r="L3011">
        <v>32</v>
      </c>
      <c r="M3011">
        <v>3</v>
      </c>
      <c r="N3011">
        <v>0</v>
      </c>
      <c r="O3011" t="s">
        <v>54</v>
      </c>
      <c r="P3011" t="s">
        <v>55</v>
      </c>
      <c r="Q3011">
        <v>15.5</v>
      </c>
      <c r="R3011">
        <v>2</v>
      </c>
      <c r="S3011" t="s">
        <v>36</v>
      </c>
    </row>
    <row r="3012" spans="1:19" x14ac:dyDescent="0.3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 t="str">
        <f t="shared" si="47"/>
        <v>31-60 days</v>
      </c>
      <c r="L3012">
        <v>34</v>
      </c>
      <c r="M3012">
        <v>3</v>
      </c>
      <c r="N3012">
        <v>0</v>
      </c>
      <c r="O3012" t="s">
        <v>25</v>
      </c>
      <c r="P3012" t="s">
        <v>50</v>
      </c>
      <c r="Q3012">
        <v>14.7</v>
      </c>
      <c r="R3012">
        <v>28</v>
      </c>
      <c r="S3012" t="s">
        <v>27</v>
      </c>
    </row>
    <row r="3013" spans="1:19" x14ac:dyDescent="0.3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 t="str">
        <f t="shared" si="47"/>
        <v>8-14 days</v>
      </c>
      <c r="L3013">
        <v>11</v>
      </c>
      <c r="M3013">
        <v>3</v>
      </c>
      <c r="N3013">
        <v>0</v>
      </c>
      <c r="O3013" t="s">
        <v>25</v>
      </c>
      <c r="P3013" t="s">
        <v>35</v>
      </c>
      <c r="Q3013">
        <v>12.4</v>
      </c>
      <c r="R3013">
        <v>8</v>
      </c>
      <c r="S3013" t="s">
        <v>27</v>
      </c>
    </row>
    <row r="3014" spans="1:19" x14ac:dyDescent="0.3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 t="str">
        <f t="shared" si="47"/>
        <v>0-7 days</v>
      </c>
      <c r="L3014">
        <v>4</v>
      </c>
      <c r="M3014">
        <v>1</v>
      </c>
      <c r="N3014">
        <v>0</v>
      </c>
      <c r="O3014" t="s">
        <v>54</v>
      </c>
      <c r="P3014" t="s">
        <v>55</v>
      </c>
      <c r="Q3014">
        <v>4</v>
      </c>
      <c r="R3014">
        <v>26</v>
      </c>
      <c r="S3014" t="s">
        <v>36</v>
      </c>
    </row>
    <row r="3015" spans="1:19" x14ac:dyDescent="0.3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 t="str">
        <f t="shared" si="47"/>
        <v>15-30 days</v>
      </c>
      <c r="L3015">
        <v>30</v>
      </c>
      <c r="M3015">
        <v>3</v>
      </c>
      <c r="N3015">
        <v>1</v>
      </c>
      <c r="O3015" t="s">
        <v>25</v>
      </c>
      <c r="P3015" t="s">
        <v>26</v>
      </c>
      <c r="Q3015">
        <v>23.4</v>
      </c>
      <c r="R3015">
        <v>39</v>
      </c>
      <c r="S3015" t="s">
        <v>36</v>
      </c>
    </row>
    <row r="3016" spans="1:19" x14ac:dyDescent="0.3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 t="str">
        <f t="shared" si="47"/>
        <v>31-60 days</v>
      </c>
      <c r="L3016">
        <v>48</v>
      </c>
      <c r="M3016">
        <v>4</v>
      </c>
      <c r="N3016">
        <v>1</v>
      </c>
      <c r="O3016" t="s">
        <v>54</v>
      </c>
      <c r="P3016" t="s">
        <v>55</v>
      </c>
      <c r="Q3016">
        <v>8.8000000000000007</v>
      </c>
      <c r="R3016">
        <v>14</v>
      </c>
      <c r="S3016" t="s">
        <v>27</v>
      </c>
    </row>
    <row r="3017" spans="1:19" x14ac:dyDescent="0.3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 t="str">
        <f t="shared" si="47"/>
        <v>8-14 days</v>
      </c>
      <c r="L3017">
        <v>9</v>
      </c>
      <c r="M3017">
        <v>3</v>
      </c>
      <c r="N3017">
        <v>0</v>
      </c>
      <c r="O3017" t="s">
        <v>25</v>
      </c>
      <c r="P3017" t="s">
        <v>50</v>
      </c>
      <c r="Q3017">
        <v>7.4</v>
      </c>
      <c r="R3017">
        <v>30</v>
      </c>
      <c r="S3017" t="s">
        <v>36</v>
      </c>
    </row>
    <row r="3018" spans="1:19" x14ac:dyDescent="0.3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 t="str">
        <f t="shared" si="47"/>
        <v>15-30 days</v>
      </c>
      <c r="L3018">
        <v>24</v>
      </c>
      <c r="M3018">
        <v>4</v>
      </c>
      <c r="N3018">
        <v>1</v>
      </c>
      <c r="O3018" t="s">
        <v>25</v>
      </c>
      <c r="P3018" t="s">
        <v>26</v>
      </c>
      <c r="Q3018">
        <v>8.6999999999999993</v>
      </c>
      <c r="R3018">
        <v>36</v>
      </c>
      <c r="S3018" t="s">
        <v>27</v>
      </c>
    </row>
    <row r="3019" spans="1:19" x14ac:dyDescent="0.3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 t="str">
        <f t="shared" si="47"/>
        <v>8-14 days</v>
      </c>
      <c r="L3019">
        <v>9</v>
      </c>
      <c r="M3019">
        <v>1</v>
      </c>
      <c r="N3019">
        <v>0</v>
      </c>
      <c r="O3019" t="s">
        <v>54</v>
      </c>
      <c r="P3019" t="s">
        <v>55</v>
      </c>
      <c r="Q3019">
        <v>3.1</v>
      </c>
      <c r="R3019">
        <v>18</v>
      </c>
      <c r="S3019" t="s">
        <v>36</v>
      </c>
    </row>
    <row r="3020" spans="1:19" x14ac:dyDescent="0.3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 t="str">
        <f t="shared" si="47"/>
        <v>8-14 days</v>
      </c>
      <c r="L3020">
        <v>14</v>
      </c>
      <c r="M3020">
        <v>2</v>
      </c>
      <c r="N3020">
        <v>0</v>
      </c>
      <c r="O3020" t="s">
        <v>25</v>
      </c>
      <c r="P3020" t="s">
        <v>35</v>
      </c>
      <c r="Q3020">
        <v>1.9</v>
      </c>
      <c r="R3020">
        <v>17</v>
      </c>
      <c r="S3020" t="s">
        <v>27</v>
      </c>
    </row>
    <row r="3021" spans="1:19" x14ac:dyDescent="0.3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 t="str">
        <f t="shared" si="47"/>
        <v>31-60 days</v>
      </c>
      <c r="L3021">
        <v>37</v>
      </c>
      <c r="M3021">
        <v>7</v>
      </c>
      <c r="N3021">
        <v>1</v>
      </c>
      <c r="O3021" t="s">
        <v>54</v>
      </c>
      <c r="P3021" t="s">
        <v>55</v>
      </c>
      <c r="Q3021">
        <v>7.8</v>
      </c>
      <c r="R3021">
        <v>28</v>
      </c>
      <c r="S3021" t="s">
        <v>36</v>
      </c>
    </row>
    <row r="3022" spans="1:19" x14ac:dyDescent="0.3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 t="str">
        <f t="shared" si="47"/>
        <v>15-30 days</v>
      </c>
      <c r="L3022">
        <v>17</v>
      </c>
      <c r="M3022">
        <v>1</v>
      </c>
      <c r="N3022">
        <v>0</v>
      </c>
      <c r="O3022" t="s">
        <v>25</v>
      </c>
      <c r="P3022" t="s">
        <v>35</v>
      </c>
      <c r="Q3022">
        <v>1.4</v>
      </c>
      <c r="R3022">
        <v>38</v>
      </c>
      <c r="S3022" t="s">
        <v>36</v>
      </c>
    </row>
    <row r="3023" spans="1:19" x14ac:dyDescent="0.3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 t="str">
        <f t="shared" si="47"/>
        <v>15-30 days</v>
      </c>
      <c r="L3023">
        <v>16</v>
      </c>
      <c r="M3023">
        <v>3</v>
      </c>
      <c r="N3023">
        <v>0</v>
      </c>
      <c r="O3023" t="s">
        <v>25</v>
      </c>
      <c r="P3023" t="s">
        <v>26</v>
      </c>
      <c r="Q3023">
        <v>15.1</v>
      </c>
      <c r="R3023">
        <v>49</v>
      </c>
      <c r="S3023" t="s">
        <v>36</v>
      </c>
    </row>
    <row r="3024" spans="1:19" x14ac:dyDescent="0.3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 t="str">
        <f t="shared" si="47"/>
        <v>31-60 days</v>
      </c>
      <c r="L3024">
        <v>60</v>
      </c>
      <c r="M3024">
        <v>2</v>
      </c>
      <c r="N3024">
        <v>0</v>
      </c>
      <c r="O3024" t="s">
        <v>25</v>
      </c>
      <c r="P3024" t="s">
        <v>50</v>
      </c>
      <c r="Q3024">
        <v>20.7</v>
      </c>
      <c r="R3024">
        <v>16</v>
      </c>
      <c r="S3024" t="s">
        <v>27</v>
      </c>
    </row>
    <row r="3025" spans="1:19" x14ac:dyDescent="0.3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 t="str">
        <f t="shared" si="47"/>
        <v>8-14 days</v>
      </c>
      <c r="L3025">
        <v>10</v>
      </c>
      <c r="M3025">
        <v>0</v>
      </c>
      <c r="N3025">
        <v>0</v>
      </c>
      <c r="O3025" t="s">
        <v>25</v>
      </c>
      <c r="P3025" t="s">
        <v>35</v>
      </c>
      <c r="Q3025">
        <v>33.9</v>
      </c>
      <c r="R3025">
        <v>31</v>
      </c>
      <c r="S3025" t="s">
        <v>27</v>
      </c>
    </row>
    <row r="3026" spans="1:19" x14ac:dyDescent="0.3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 t="str">
        <f t="shared" si="47"/>
        <v>8-14 days</v>
      </c>
      <c r="L3026">
        <v>11</v>
      </c>
      <c r="M3026">
        <v>3</v>
      </c>
      <c r="N3026">
        <v>0</v>
      </c>
      <c r="O3026" t="s">
        <v>25</v>
      </c>
      <c r="P3026" t="s">
        <v>26</v>
      </c>
      <c r="Q3026">
        <v>5</v>
      </c>
      <c r="R3026">
        <v>19</v>
      </c>
      <c r="S3026" t="s">
        <v>36</v>
      </c>
    </row>
    <row r="3027" spans="1:19" x14ac:dyDescent="0.3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 t="str">
        <f t="shared" si="47"/>
        <v>31-60 days</v>
      </c>
      <c r="L3027">
        <v>56</v>
      </c>
      <c r="M3027">
        <v>8</v>
      </c>
      <c r="N3027">
        <v>2</v>
      </c>
      <c r="O3027" t="s">
        <v>25</v>
      </c>
      <c r="P3027" t="s">
        <v>35</v>
      </c>
      <c r="Q3027">
        <v>14.7</v>
      </c>
      <c r="R3027">
        <v>12</v>
      </c>
      <c r="S3027" t="s">
        <v>27</v>
      </c>
    </row>
    <row r="3028" spans="1:19" x14ac:dyDescent="0.3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 t="str">
        <f t="shared" si="47"/>
        <v>31-60 days</v>
      </c>
      <c r="L3028">
        <v>33</v>
      </c>
      <c r="M3028">
        <v>1</v>
      </c>
      <c r="N3028">
        <v>0</v>
      </c>
      <c r="O3028" t="s">
        <v>25</v>
      </c>
      <c r="P3028" t="s">
        <v>35</v>
      </c>
      <c r="Q3028">
        <v>0.8</v>
      </c>
      <c r="R3028">
        <v>21</v>
      </c>
      <c r="S3028" t="s">
        <v>27</v>
      </c>
    </row>
    <row r="3029" spans="1:19" x14ac:dyDescent="0.3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 t="str">
        <f t="shared" si="47"/>
        <v>0-7 days</v>
      </c>
      <c r="L3029">
        <v>2</v>
      </c>
      <c r="M3029">
        <v>1</v>
      </c>
      <c r="N3029">
        <v>0</v>
      </c>
      <c r="O3029" t="s">
        <v>25</v>
      </c>
      <c r="P3029" t="s">
        <v>35</v>
      </c>
      <c r="Q3029">
        <v>14.2</v>
      </c>
      <c r="R3029">
        <v>21</v>
      </c>
      <c r="S3029" t="s">
        <v>36</v>
      </c>
    </row>
    <row r="3030" spans="1:19" x14ac:dyDescent="0.3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 t="str">
        <f t="shared" si="47"/>
        <v>15-30 days</v>
      </c>
      <c r="L3030">
        <v>25</v>
      </c>
      <c r="M3030">
        <v>5</v>
      </c>
      <c r="N3030">
        <v>1</v>
      </c>
      <c r="O3030" t="s">
        <v>25</v>
      </c>
      <c r="P3030" t="s">
        <v>26</v>
      </c>
      <c r="Q3030">
        <v>7.9</v>
      </c>
      <c r="R3030">
        <v>25</v>
      </c>
      <c r="S3030" t="s">
        <v>27</v>
      </c>
    </row>
    <row r="3031" spans="1:19" x14ac:dyDescent="0.3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 t="str">
        <f t="shared" si="47"/>
        <v>31-60 days</v>
      </c>
      <c r="L3031">
        <v>34</v>
      </c>
      <c r="M3031">
        <v>4</v>
      </c>
      <c r="N3031">
        <v>2</v>
      </c>
      <c r="O3031" t="s">
        <v>54</v>
      </c>
      <c r="P3031" t="s">
        <v>55</v>
      </c>
      <c r="Q3031">
        <v>11.9</v>
      </c>
      <c r="R3031">
        <v>29</v>
      </c>
      <c r="S3031" t="s">
        <v>27</v>
      </c>
    </row>
    <row r="3032" spans="1:19" x14ac:dyDescent="0.3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 t="str">
        <f t="shared" si="47"/>
        <v>15-30 days</v>
      </c>
      <c r="L3032">
        <v>15</v>
      </c>
      <c r="M3032">
        <v>2</v>
      </c>
      <c r="N3032">
        <v>1</v>
      </c>
      <c r="O3032" t="s">
        <v>25</v>
      </c>
      <c r="P3032" t="s">
        <v>35</v>
      </c>
      <c r="Q3032">
        <v>18.8</v>
      </c>
      <c r="R3032">
        <v>27</v>
      </c>
      <c r="S3032" t="s">
        <v>36</v>
      </c>
    </row>
    <row r="3033" spans="1:19" x14ac:dyDescent="0.3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 t="str">
        <f t="shared" si="47"/>
        <v>31-60 days</v>
      </c>
      <c r="L3033">
        <v>33</v>
      </c>
      <c r="M3033">
        <v>0</v>
      </c>
      <c r="N3033">
        <v>0</v>
      </c>
      <c r="O3033" t="s">
        <v>54</v>
      </c>
      <c r="P3033" t="s">
        <v>55</v>
      </c>
      <c r="Q3033">
        <v>6.6</v>
      </c>
      <c r="R3033">
        <v>37</v>
      </c>
      <c r="S3033" t="s">
        <v>36</v>
      </c>
    </row>
    <row r="3034" spans="1:19" x14ac:dyDescent="0.3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 t="str">
        <f t="shared" si="47"/>
        <v>31-60 days</v>
      </c>
      <c r="L3034">
        <v>39</v>
      </c>
      <c r="M3034">
        <v>3</v>
      </c>
      <c r="N3034">
        <v>1</v>
      </c>
      <c r="O3034" t="s">
        <v>25</v>
      </c>
      <c r="P3034" t="s">
        <v>50</v>
      </c>
      <c r="Q3034">
        <v>12.7</v>
      </c>
      <c r="R3034">
        <v>45</v>
      </c>
      <c r="S3034" t="s">
        <v>27</v>
      </c>
    </row>
    <row r="3035" spans="1:19" x14ac:dyDescent="0.3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 t="str">
        <f t="shared" si="47"/>
        <v>15-30 days</v>
      </c>
      <c r="L3035">
        <v>15</v>
      </c>
      <c r="M3035">
        <v>3</v>
      </c>
      <c r="N3035">
        <v>0</v>
      </c>
      <c r="O3035" t="s">
        <v>54</v>
      </c>
      <c r="P3035" t="s">
        <v>55</v>
      </c>
      <c r="Q3035">
        <v>11.7</v>
      </c>
      <c r="R3035">
        <v>24</v>
      </c>
      <c r="S3035" t="s">
        <v>36</v>
      </c>
    </row>
    <row r="3036" spans="1:19" x14ac:dyDescent="0.3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 t="str">
        <f t="shared" si="47"/>
        <v>31-60 days</v>
      </c>
      <c r="L3036">
        <v>49</v>
      </c>
      <c r="M3036">
        <v>4</v>
      </c>
      <c r="N3036">
        <v>0</v>
      </c>
      <c r="O3036" t="s">
        <v>54</v>
      </c>
      <c r="P3036" t="s">
        <v>55</v>
      </c>
      <c r="Q3036">
        <v>10.199999999999999</v>
      </c>
      <c r="R3036">
        <v>19</v>
      </c>
      <c r="S3036" t="s">
        <v>27</v>
      </c>
    </row>
    <row r="3037" spans="1:19" x14ac:dyDescent="0.3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 t="str">
        <f t="shared" si="47"/>
        <v>15-30 days</v>
      </c>
      <c r="L3037">
        <v>27</v>
      </c>
      <c r="M3037">
        <v>2</v>
      </c>
      <c r="N3037">
        <v>0</v>
      </c>
      <c r="O3037" t="s">
        <v>25</v>
      </c>
      <c r="P3037" t="s">
        <v>35</v>
      </c>
      <c r="Q3037">
        <v>4.5</v>
      </c>
      <c r="R3037">
        <v>22</v>
      </c>
      <c r="S3037" t="s">
        <v>27</v>
      </c>
    </row>
    <row r="3038" spans="1:19" x14ac:dyDescent="0.3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 t="str">
        <f t="shared" si="47"/>
        <v>31-60 days</v>
      </c>
      <c r="L3038">
        <v>58</v>
      </c>
      <c r="M3038">
        <v>3</v>
      </c>
      <c r="N3038">
        <v>0</v>
      </c>
      <c r="O3038" t="s">
        <v>25</v>
      </c>
      <c r="P3038" t="s">
        <v>50</v>
      </c>
      <c r="Q3038">
        <v>3.8</v>
      </c>
      <c r="R3038">
        <v>21</v>
      </c>
      <c r="S3038" t="s">
        <v>27</v>
      </c>
    </row>
    <row r="3039" spans="1:19" x14ac:dyDescent="0.3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 t="str">
        <f t="shared" si="47"/>
        <v>0-7 days</v>
      </c>
      <c r="L3039">
        <v>5</v>
      </c>
      <c r="M3039">
        <v>4</v>
      </c>
      <c r="N3039">
        <v>0</v>
      </c>
      <c r="O3039" t="s">
        <v>25</v>
      </c>
      <c r="P3039" t="s">
        <v>50</v>
      </c>
      <c r="Q3039">
        <v>6.7</v>
      </c>
      <c r="R3039">
        <v>17</v>
      </c>
      <c r="S3039" t="s">
        <v>71</v>
      </c>
    </row>
    <row r="3040" spans="1:19" x14ac:dyDescent="0.3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 t="str">
        <f t="shared" si="47"/>
        <v>15-30 days</v>
      </c>
      <c r="L3040">
        <v>19</v>
      </c>
      <c r="M3040">
        <v>1</v>
      </c>
      <c r="N3040">
        <v>0</v>
      </c>
      <c r="O3040" t="s">
        <v>25</v>
      </c>
      <c r="P3040" t="s">
        <v>50</v>
      </c>
      <c r="Q3040">
        <v>15.2</v>
      </c>
      <c r="R3040">
        <v>8</v>
      </c>
      <c r="S3040" t="s">
        <v>71</v>
      </c>
    </row>
    <row r="3041" spans="1:19" x14ac:dyDescent="0.3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 t="str">
        <f t="shared" si="47"/>
        <v>31-60 days</v>
      </c>
      <c r="L3041">
        <v>43</v>
      </c>
      <c r="M3041">
        <v>2</v>
      </c>
      <c r="N3041">
        <v>0</v>
      </c>
      <c r="O3041" t="s">
        <v>25</v>
      </c>
      <c r="P3041" t="s">
        <v>50</v>
      </c>
      <c r="Q3041">
        <v>10.199999999999999</v>
      </c>
      <c r="R3041">
        <v>9</v>
      </c>
      <c r="S3041" t="s">
        <v>36</v>
      </c>
    </row>
    <row r="3042" spans="1:19" x14ac:dyDescent="0.3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 t="str">
        <f t="shared" si="47"/>
        <v>31-60 days</v>
      </c>
      <c r="L3042">
        <v>54</v>
      </c>
      <c r="M3042">
        <v>1</v>
      </c>
      <c r="N3042">
        <v>0</v>
      </c>
      <c r="O3042" t="s">
        <v>25</v>
      </c>
      <c r="P3042" t="s">
        <v>26</v>
      </c>
      <c r="Q3042">
        <v>12.5</v>
      </c>
      <c r="R3042">
        <v>32</v>
      </c>
      <c r="S3042" t="s">
        <v>27</v>
      </c>
    </row>
    <row r="3043" spans="1:19" x14ac:dyDescent="0.3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 t="str">
        <f t="shared" si="47"/>
        <v>8-14 days</v>
      </c>
      <c r="L3043">
        <v>13</v>
      </c>
      <c r="M3043">
        <v>2</v>
      </c>
      <c r="N3043">
        <v>0</v>
      </c>
      <c r="O3043" t="s">
        <v>54</v>
      </c>
      <c r="P3043" t="s">
        <v>55</v>
      </c>
      <c r="Q3043">
        <v>11.9</v>
      </c>
      <c r="R3043">
        <v>32</v>
      </c>
      <c r="S3043" t="s">
        <v>36</v>
      </c>
    </row>
    <row r="3044" spans="1:19" x14ac:dyDescent="0.3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 t="str">
        <f t="shared" si="47"/>
        <v>31-60 days</v>
      </c>
      <c r="L3044">
        <v>59</v>
      </c>
      <c r="M3044">
        <v>1</v>
      </c>
      <c r="N3044">
        <v>0</v>
      </c>
      <c r="O3044" t="s">
        <v>25</v>
      </c>
      <c r="P3044" t="s">
        <v>26</v>
      </c>
      <c r="Q3044">
        <v>32.299999999999997</v>
      </c>
      <c r="R3044">
        <v>28</v>
      </c>
      <c r="S3044" t="s">
        <v>36</v>
      </c>
    </row>
    <row r="3045" spans="1:19" x14ac:dyDescent="0.3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 t="str">
        <f t="shared" si="47"/>
        <v>8-14 days</v>
      </c>
      <c r="L3045">
        <v>11</v>
      </c>
      <c r="M3045">
        <v>4</v>
      </c>
      <c r="N3045">
        <v>0</v>
      </c>
      <c r="O3045" t="s">
        <v>54</v>
      </c>
      <c r="P3045" t="s">
        <v>55</v>
      </c>
      <c r="Q3045">
        <v>14.2</v>
      </c>
      <c r="R3045">
        <v>21</v>
      </c>
      <c r="S3045" t="s">
        <v>27</v>
      </c>
    </row>
    <row r="3046" spans="1:19" x14ac:dyDescent="0.3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 t="str">
        <f t="shared" si="47"/>
        <v>15-30 days</v>
      </c>
      <c r="L3046">
        <v>25</v>
      </c>
      <c r="M3046">
        <v>2</v>
      </c>
      <c r="N3046">
        <v>0</v>
      </c>
      <c r="O3046" t="s">
        <v>25</v>
      </c>
      <c r="P3046" t="s">
        <v>26</v>
      </c>
      <c r="Q3046">
        <v>4.5</v>
      </c>
      <c r="R3046">
        <v>18</v>
      </c>
      <c r="S3046" t="s">
        <v>71</v>
      </c>
    </row>
    <row r="3047" spans="1:19" x14ac:dyDescent="0.3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 t="str">
        <f t="shared" si="47"/>
        <v>15-30 days</v>
      </c>
      <c r="L3047">
        <v>19</v>
      </c>
      <c r="M3047">
        <v>1</v>
      </c>
      <c r="N3047">
        <v>0</v>
      </c>
      <c r="O3047" t="s">
        <v>25</v>
      </c>
      <c r="P3047" t="s">
        <v>26</v>
      </c>
      <c r="Q3047">
        <v>7.8</v>
      </c>
      <c r="R3047">
        <v>9</v>
      </c>
      <c r="S3047" t="s">
        <v>36</v>
      </c>
    </row>
    <row r="3048" spans="1:19" x14ac:dyDescent="0.3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 t="str">
        <f t="shared" si="47"/>
        <v>15-30 days</v>
      </c>
      <c r="L3048">
        <v>25</v>
      </c>
      <c r="M3048">
        <v>3</v>
      </c>
      <c r="N3048">
        <v>0</v>
      </c>
      <c r="O3048" t="s">
        <v>25</v>
      </c>
      <c r="P3048" t="s">
        <v>50</v>
      </c>
      <c r="Q3048">
        <v>16.100000000000001</v>
      </c>
      <c r="R3048">
        <v>17</v>
      </c>
      <c r="S3048" t="s">
        <v>27</v>
      </c>
    </row>
    <row r="3049" spans="1:19" x14ac:dyDescent="0.3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 t="str">
        <f t="shared" si="47"/>
        <v>31-60 days</v>
      </c>
      <c r="L3049">
        <v>55</v>
      </c>
      <c r="M3049">
        <v>4</v>
      </c>
      <c r="N3049">
        <v>3</v>
      </c>
      <c r="O3049" t="s">
        <v>25</v>
      </c>
      <c r="P3049" t="s">
        <v>35</v>
      </c>
      <c r="Q3049">
        <v>1.6</v>
      </c>
      <c r="R3049">
        <v>16</v>
      </c>
      <c r="S3049" t="s">
        <v>27</v>
      </c>
    </row>
    <row r="3050" spans="1:19" x14ac:dyDescent="0.3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 t="str">
        <f t="shared" si="47"/>
        <v>31-60 days</v>
      </c>
      <c r="L3050">
        <v>44</v>
      </c>
      <c r="M3050">
        <v>2</v>
      </c>
      <c r="N3050">
        <v>0</v>
      </c>
      <c r="O3050" t="s">
        <v>25</v>
      </c>
      <c r="P3050" t="s">
        <v>35</v>
      </c>
      <c r="Q3050">
        <v>8.5</v>
      </c>
      <c r="S3050" t="s">
        <v>27</v>
      </c>
    </row>
    <row r="3051" spans="1:19" x14ac:dyDescent="0.3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 t="str">
        <f t="shared" si="47"/>
        <v>31-60 days</v>
      </c>
      <c r="L3051">
        <v>48</v>
      </c>
      <c r="M3051">
        <v>4</v>
      </c>
      <c r="N3051">
        <v>1</v>
      </c>
      <c r="O3051" t="s">
        <v>25</v>
      </c>
      <c r="P3051" t="s">
        <v>26</v>
      </c>
      <c r="Q3051">
        <v>6.4</v>
      </c>
      <c r="R3051">
        <v>26</v>
      </c>
      <c r="S3051" t="s">
        <v>27</v>
      </c>
    </row>
    <row r="3052" spans="1:19" x14ac:dyDescent="0.3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 t="str">
        <f t="shared" si="47"/>
        <v>15-30 days</v>
      </c>
      <c r="L3052">
        <v>15</v>
      </c>
      <c r="M3052">
        <v>0</v>
      </c>
      <c r="N3052">
        <v>0</v>
      </c>
      <c r="O3052" t="s">
        <v>25</v>
      </c>
      <c r="P3052" t="s">
        <v>35</v>
      </c>
      <c r="Q3052">
        <v>4</v>
      </c>
      <c r="R3052">
        <v>16</v>
      </c>
      <c r="S3052" t="s">
        <v>36</v>
      </c>
    </row>
    <row r="3053" spans="1:19" x14ac:dyDescent="0.3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 t="str">
        <f t="shared" si="47"/>
        <v>31-60 days</v>
      </c>
      <c r="L3053">
        <v>57</v>
      </c>
      <c r="M3053">
        <v>4</v>
      </c>
      <c r="N3053">
        <v>1</v>
      </c>
      <c r="O3053" t="s">
        <v>54</v>
      </c>
      <c r="P3053" t="s">
        <v>55</v>
      </c>
      <c r="R3053">
        <v>24</v>
      </c>
      <c r="S3053" t="s">
        <v>27</v>
      </c>
    </row>
    <row r="3054" spans="1:19" x14ac:dyDescent="0.3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 t="str">
        <f t="shared" si="47"/>
        <v>15-30 days</v>
      </c>
      <c r="L3054">
        <v>26</v>
      </c>
      <c r="M3054">
        <v>6</v>
      </c>
      <c r="N3054">
        <v>1</v>
      </c>
      <c r="O3054" t="s">
        <v>25</v>
      </c>
      <c r="P3054" t="s">
        <v>35</v>
      </c>
      <c r="Q3054">
        <v>13.9</v>
      </c>
      <c r="R3054">
        <v>8</v>
      </c>
      <c r="S3054" t="s">
        <v>27</v>
      </c>
    </row>
    <row r="3055" spans="1:19" x14ac:dyDescent="0.3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 t="str">
        <f t="shared" si="47"/>
        <v>31-60 days</v>
      </c>
      <c r="L3055">
        <v>39</v>
      </c>
      <c r="M3055">
        <v>2</v>
      </c>
      <c r="N3055">
        <v>1</v>
      </c>
      <c r="O3055" t="s">
        <v>54</v>
      </c>
      <c r="P3055" t="s">
        <v>55</v>
      </c>
      <c r="Q3055">
        <v>15.2</v>
      </c>
      <c r="R3055">
        <v>30</v>
      </c>
      <c r="S3055" t="s">
        <v>27</v>
      </c>
    </row>
    <row r="3056" spans="1:19" x14ac:dyDescent="0.3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 t="str">
        <f t="shared" si="47"/>
        <v>31-60 days</v>
      </c>
      <c r="L3056">
        <v>42</v>
      </c>
      <c r="M3056">
        <v>2</v>
      </c>
      <c r="N3056">
        <v>0</v>
      </c>
      <c r="O3056" t="s">
        <v>25</v>
      </c>
      <c r="P3056" t="s">
        <v>35</v>
      </c>
      <c r="Q3056">
        <v>6.6</v>
      </c>
      <c r="R3056">
        <v>29</v>
      </c>
      <c r="S3056" t="s">
        <v>27</v>
      </c>
    </row>
    <row r="3057" spans="1:19" x14ac:dyDescent="0.3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 t="str">
        <f t="shared" si="47"/>
        <v>31-60 days</v>
      </c>
      <c r="L3057">
        <v>40</v>
      </c>
      <c r="M3057">
        <v>2</v>
      </c>
      <c r="N3057">
        <v>0</v>
      </c>
      <c r="O3057" t="s">
        <v>54</v>
      </c>
      <c r="P3057" t="s">
        <v>55</v>
      </c>
      <c r="Q3057">
        <v>7</v>
      </c>
      <c r="R3057">
        <v>18</v>
      </c>
      <c r="S3057" t="s">
        <v>27</v>
      </c>
    </row>
    <row r="3058" spans="1:19" x14ac:dyDescent="0.3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 t="str">
        <f t="shared" si="47"/>
        <v>31-60 days</v>
      </c>
      <c r="L3058">
        <v>36</v>
      </c>
      <c r="M3058">
        <v>5</v>
      </c>
      <c r="N3058">
        <v>0</v>
      </c>
      <c r="O3058" t="s">
        <v>25</v>
      </c>
      <c r="P3058" t="s">
        <v>35</v>
      </c>
      <c r="Q3058">
        <v>8</v>
      </c>
      <c r="R3058">
        <v>39</v>
      </c>
      <c r="S3058" t="s">
        <v>36</v>
      </c>
    </row>
    <row r="3059" spans="1:19" x14ac:dyDescent="0.3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 t="str">
        <f t="shared" si="47"/>
        <v>15-30 days</v>
      </c>
      <c r="L3059">
        <v>29</v>
      </c>
      <c r="M3059">
        <v>2</v>
      </c>
      <c r="N3059">
        <v>1</v>
      </c>
      <c r="O3059" t="s">
        <v>25</v>
      </c>
      <c r="P3059" t="s">
        <v>35</v>
      </c>
      <c r="Q3059">
        <v>0.8</v>
      </c>
      <c r="R3059">
        <v>23</v>
      </c>
      <c r="S3059" t="s">
        <v>27</v>
      </c>
    </row>
    <row r="3060" spans="1:19" x14ac:dyDescent="0.3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 t="str">
        <f t="shared" si="47"/>
        <v>31-60 days</v>
      </c>
      <c r="L3060">
        <v>39</v>
      </c>
      <c r="M3060">
        <v>2</v>
      </c>
      <c r="N3060">
        <v>0</v>
      </c>
      <c r="O3060" t="s">
        <v>25</v>
      </c>
      <c r="P3060" t="s">
        <v>50</v>
      </c>
      <c r="Q3060">
        <v>25.7</v>
      </c>
      <c r="R3060">
        <v>25</v>
      </c>
      <c r="S3060" t="s">
        <v>27</v>
      </c>
    </row>
    <row r="3061" spans="1:19" x14ac:dyDescent="0.3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 t="str">
        <f t="shared" si="47"/>
        <v>31-60 days</v>
      </c>
      <c r="L3061">
        <v>55</v>
      </c>
      <c r="M3061">
        <v>3</v>
      </c>
      <c r="N3061">
        <v>0</v>
      </c>
      <c r="O3061" t="s">
        <v>25</v>
      </c>
      <c r="P3061" t="s">
        <v>26</v>
      </c>
      <c r="Q3061">
        <v>13.3</v>
      </c>
      <c r="R3061">
        <v>7</v>
      </c>
      <c r="S3061" t="s">
        <v>27</v>
      </c>
    </row>
    <row r="3062" spans="1:19" x14ac:dyDescent="0.3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 t="str">
        <f t="shared" si="47"/>
        <v>15-30 days</v>
      </c>
      <c r="L3062">
        <v>23</v>
      </c>
      <c r="M3062">
        <v>3</v>
      </c>
      <c r="N3062">
        <v>0</v>
      </c>
      <c r="O3062" t="s">
        <v>25</v>
      </c>
      <c r="P3062" t="s">
        <v>50</v>
      </c>
      <c r="Q3062">
        <v>16.100000000000001</v>
      </c>
      <c r="R3062">
        <v>15</v>
      </c>
      <c r="S3062" t="s">
        <v>36</v>
      </c>
    </row>
    <row r="3063" spans="1:19" x14ac:dyDescent="0.3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 t="str">
        <f t="shared" si="47"/>
        <v>31-60 days</v>
      </c>
      <c r="L3063">
        <v>31</v>
      </c>
      <c r="M3063">
        <v>2</v>
      </c>
      <c r="N3063">
        <v>0</v>
      </c>
      <c r="O3063" t="s">
        <v>54</v>
      </c>
      <c r="P3063" t="s">
        <v>55</v>
      </c>
      <c r="Q3063">
        <v>6.6</v>
      </c>
      <c r="R3063">
        <v>17</v>
      </c>
      <c r="S3063" t="s">
        <v>71</v>
      </c>
    </row>
    <row r="3064" spans="1:19" x14ac:dyDescent="0.3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 t="str">
        <f t="shared" si="47"/>
        <v>8-14 days</v>
      </c>
      <c r="L3064">
        <v>10</v>
      </c>
      <c r="M3064">
        <v>0</v>
      </c>
      <c r="N3064">
        <v>0</v>
      </c>
      <c r="O3064" t="s">
        <v>54</v>
      </c>
      <c r="P3064" t="s">
        <v>55</v>
      </c>
      <c r="Q3064">
        <v>13.2</v>
      </c>
      <c r="R3064">
        <v>33</v>
      </c>
      <c r="S3064" t="s">
        <v>36</v>
      </c>
    </row>
    <row r="3065" spans="1:19" x14ac:dyDescent="0.3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 t="str">
        <f t="shared" si="47"/>
        <v>15-30 days</v>
      </c>
      <c r="L3065">
        <v>21</v>
      </c>
      <c r="M3065">
        <v>3</v>
      </c>
      <c r="N3065">
        <v>1</v>
      </c>
      <c r="O3065" t="s">
        <v>25</v>
      </c>
      <c r="P3065" t="s">
        <v>35</v>
      </c>
      <c r="Q3065">
        <v>3.2</v>
      </c>
      <c r="R3065">
        <v>35</v>
      </c>
      <c r="S3065" t="s">
        <v>36</v>
      </c>
    </row>
    <row r="3066" spans="1:19" x14ac:dyDescent="0.3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 t="str">
        <f t="shared" si="47"/>
        <v>31-60 days</v>
      </c>
      <c r="L3066">
        <v>47</v>
      </c>
      <c r="M3066">
        <v>2</v>
      </c>
      <c r="N3066">
        <v>0</v>
      </c>
      <c r="O3066" t="s">
        <v>54</v>
      </c>
      <c r="P3066" t="s">
        <v>55</v>
      </c>
      <c r="Q3066">
        <v>12.7</v>
      </c>
      <c r="R3066">
        <v>18</v>
      </c>
      <c r="S3066" t="s">
        <v>71</v>
      </c>
    </row>
    <row r="3067" spans="1:19" x14ac:dyDescent="0.3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 t="str">
        <f t="shared" si="47"/>
        <v>31-60 days</v>
      </c>
      <c r="L3067">
        <v>39</v>
      </c>
      <c r="M3067">
        <v>3</v>
      </c>
      <c r="N3067">
        <v>1</v>
      </c>
      <c r="O3067" t="s">
        <v>25</v>
      </c>
      <c r="P3067" t="s">
        <v>35</v>
      </c>
      <c r="Q3067">
        <v>8.9</v>
      </c>
      <c r="R3067">
        <v>26</v>
      </c>
      <c r="S3067" t="s">
        <v>27</v>
      </c>
    </row>
    <row r="3068" spans="1:19" x14ac:dyDescent="0.3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 t="str">
        <f t="shared" si="47"/>
        <v>8-14 days</v>
      </c>
      <c r="L3068">
        <v>12</v>
      </c>
      <c r="M3068">
        <v>5</v>
      </c>
      <c r="N3068">
        <v>2</v>
      </c>
      <c r="O3068" t="s">
        <v>25</v>
      </c>
      <c r="P3068" t="s">
        <v>26</v>
      </c>
      <c r="Q3068">
        <v>3.3</v>
      </c>
      <c r="R3068">
        <v>33</v>
      </c>
      <c r="S3068" t="s">
        <v>36</v>
      </c>
    </row>
    <row r="3069" spans="1:19" x14ac:dyDescent="0.3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 t="str">
        <f t="shared" si="47"/>
        <v>31-60 days</v>
      </c>
      <c r="L3069">
        <v>33</v>
      </c>
      <c r="M3069">
        <v>2</v>
      </c>
      <c r="N3069">
        <v>1</v>
      </c>
      <c r="O3069" t="s">
        <v>25</v>
      </c>
      <c r="P3069" t="s">
        <v>35</v>
      </c>
      <c r="Q3069">
        <v>22.6</v>
      </c>
      <c r="R3069">
        <v>20</v>
      </c>
      <c r="S3069" t="s">
        <v>27</v>
      </c>
    </row>
    <row r="3070" spans="1:19" x14ac:dyDescent="0.3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 t="str">
        <f t="shared" si="47"/>
        <v>31-60 days</v>
      </c>
      <c r="L3070">
        <v>49</v>
      </c>
      <c r="M3070">
        <v>3</v>
      </c>
      <c r="N3070">
        <v>1</v>
      </c>
      <c r="O3070" t="s">
        <v>25</v>
      </c>
      <c r="P3070" t="s">
        <v>35</v>
      </c>
      <c r="Q3070">
        <v>13.6</v>
      </c>
      <c r="R3070">
        <v>8</v>
      </c>
      <c r="S3070" t="s">
        <v>27</v>
      </c>
    </row>
    <row r="3071" spans="1:19" x14ac:dyDescent="0.3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 t="str">
        <f t="shared" si="47"/>
        <v>0-7 days</v>
      </c>
      <c r="L3071">
        <v>7</v>
      </c>
      <c r="M3071">
        <v>7</v>
      </c>
      <c r="N3071">
        <v>2</v>
      </c>
      <c r="O3071" t="s">
        <v>25</v>
      </c>
      <c r="P3071" t="s">
        <v>35</v>
      </c>
      <c r="Q3071">
        <v>34.299999999999997</v>
      </c>
      <c r="R3071">
        <v>32</v>
      </c>
      <c r="S3071" t="s">
        <v>27</v>
      </c>
    </row>
    <row r="3072" spans="1:19" x14ac:dyDescent="0.3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 t="str">
        <f t="shared" si="47"/>
        <v>0-7 days</v>
      </c>
      <c r="L3072">
        <v>3</v>
      </c>
      <c r="M3072">
        <v>4</v>
      </c>
      <c r="N3072">
        <v>1</v>
      </c>
      <c r="O3072" t="s">
        <v>25</v>
      </c>
      <c r="P3072" t="s">
        <v>35</v>
      </c>
      <c r="Q3072">
        <v>4.4000000000000004</v>
      </c>
      <c r="R3072">
        <v>29</v>
      </c>
      <c r="S3072" t="s">
        <v>36</v>
      </c>
    </row>
    <row r="3073" spans="1:19" x14ac:dyDescent="0.3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 t="str">
        <f t="shared" si="47"/>
        <v>15-30 days</v>
      </c>
      <c r="L3073">
        <v>23</v>
      </c>
      <c r="M3073">
        <v>2</v>
      </c>
      <c r="N3073">
        <v>1</v>
      </c>
      <c r="O3073" t="s">
        <v>25</v>
      </c>
      <c r="P3073" t="s">
        <v>26</v>
      </c>
      <c r="Q3073">
        <v>7.6</v>
      </c>
      <c r="R3073">
        <v>27</v>
      </c>
      <c r="S3073" t="s">
        <v>36</v>
      </c>
    </row>
    <row r="3074" spans="1:19" x14ac:dyDescent="0.3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 t="str">
        <f t="shared" si="47"/>
        <v>31-60 days</v>
      </c>
      <c r="L3074">
        <v>40</v>
      </c>
      <c r="M3074">
        <v>2</v>
      </c>
      <c r="N3074">
        <v>0</v>
      </c>
      <c r="O3074" t="s">
        <v>54</v>
      </c>
      <c r="P3074" t="s">
        <v>55</v>
      </c>
      <c r="Q3074">
        <v>13.8</v>
      </c>
      <c r="R3074">
        <v>35</v>
      </c>
      <c r="S3074" t="s">
        <v>27</v>
      </c>
    </row>
    <row r="3075" spans="1:19" x14ac:dyDescent="0.3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 t="str">
        <f t="shared" ref="K3075:K3138" si="48">IF(L3075&lt;=7,"0-7 days",IF(L3075&lt;=14,"8-14 days",IF(L3075&lt;=30,"15-30 days","31-60 days")))</f>
        <v>15-30 days</v>
      </c>
      <c r="L3075">
        <v>19</v>
      </c>
      <c r="M3075">
        <v>2</v>
      </c>
      <c r="N3075">
        <v>0</v>
      </c>
      <c r="O3075" t="s">
        <v>54</v>
      </c>
      <c r="P3075" t="s">
        <v>55</v>
      </c>
      <c r="Q3075">
        <v>1.3</v>
      </c>
      <c r="R3075">
        <v>35</v>
      </c>
      <c r="S3075" t="s">
        <v>71</v>
      </c>
    </row>
    <row r="3076" spans="1:19" x14ac:dyDescent="0.3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 t="str">
        <f t="shared" si="48"/>
        <v>31-60 days</v>
      </c>
      <c r="L3076">
        <v>50</v>
      </c>
      <c r="M3076">
        <v>1</v>
      </c>
      <c r="N3076">
        <v>0</v>
      </c>
      <c r="O3076" t="s">
        <v>54</v>
      </c>
      <c r="P3076" t="s">
        <v>55</v>
      </c>
      <c r="Q3076">
        <v>10.4</v>
      </c>
      <c r="R3076">
        <v>31</v>
      </c>
      <c r="S3076" t="s">
        <v>27</v>
      </c>
    </row>
    <row r="3077" spans="1:19" x14ac:dyDescent="0.3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 t="str">
        <f t="shared" si="48"/>
        <v>31-60 days</v>
      </c>
      <c r="L3077">
        <v>51</v>
      </c>
      <c r="M3077">
        <v>4</v>
      </c>
      <c r="N3077">
        <v>0</v>
      </c>
      <c r="O3077" t="s">
        <v>25</v>
      </c>
      <c r="P3077" t="s">
        <v>35</v>
      </c>
      <c r="Q3077">
        <v>13.9</v>
      </c>
      <c r="R3077">
        <v>11</v>
      </c>
      <c r="S3077" t="s">
        <v>36</v>
      </c>
    </row>
    <row r="3078" spans="1:19" x14ac:dyDescent="0.3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 t="str">
        <f t="shared" si="48"/>
        <v>31-60 days</v>
      </c>
      <c r="L3078">
        <v>32</v>
      </c>
      <c r="M3078">
        <v>5</v>
      </c>
      <c r="N3078">
        <v>0</v>
      </c>
      <c r="O3078" t="s">
        <v>25</v>
      </c>
      <c r="P3078" t="s">
        <v>26</v>
      </c>
      <c r="Q3078">
        <v>3.9</v>
      </c>
      <c r="R3078">
        <v>7</v>
      </c>
      <c r="S3078" t="s">
        <v>27</v>
      </c>
    </row>
    <row r="3079" spans="1:19" x14ac:dyDescent="0.3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 t="str">
        <f t="shared" si="48"/>
        <v>15-30 days</v>
      </c>
      <c r="L3079">
        <v>23</v>
      </c>
      <c r="M3079">
        <v>5</v>
      </c>
      <c r="N3079">
        <v>1</v>
      </c>
      <c r="O3079" t="s">
        <v>25</v>
      </c>
      <c r="P3079" t="s">
        <v>35</v>
      </c>
      <c r="Q3079">
        <v>9.1</v>
      </c>
      <c r="R3079">
        <v>28</v>
      </c>
      <c r="S3079" t="s">
        <v>36</v>
      </c>
    </row>
    <row r="3080" spans="1:19" x14ac:dyDescent="0.3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 t="str">
        <f t="shared" si="48"/>
        <v>0-7 days</v>
      </c>
      <c r="L3080">
        <v>2</v>
      </c>
      <c r="M3080">
        <v>4</v>
      </c>
      <c r="N3080">
        <v>3</v>
      </c>
      <c r="O3080" t="s">
        <v>25</v>
      </c>
      <c r="P3080" t="s">
        <v>35</v>
      </c>
      <c r="Q3080">
        <v>5.2</v>
      </c>
      <c r="R3080">
        <v>25</v>
      </c>
      <c r="S3080" t="s">
        <v>36</v>
      </c>
    </row>
    <row r="3081" spans="1:19" x14ac:dyDescent="0.3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 t="str">
        <f t="shared" si="48"/>
        <v>31-60 days</v>
      </c>
      <c r="L3081">
        <v>50</v>
      </c>
      <c r="M3081">
        <v>3</v>
      </c>
      <c r="N3081">
        <v>0</v>
      </c>
      <c r="O3081" t="s">
        <v>25</v>
      </c>
      <c r="P3081" t="s">
        <v>26</v>
      </c>
      <c r="Q3081">
        <v>11.2</v>
      </c>
      <c r="R3081">
        <v>26</v>
      </c>
      <c r="S3081" t="s">
        <v>27</v>
      </c>
    </row>
    <row r="3082" spans="1:19" x14ac:dyDescent="0.3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 t="str">
        <f t="shared" si="48"/>
        <v>31-60 days</v>
      </c>
      <c r="L3082">
        <v>54</v>
      </c>
      <c r="M3082">
        <v>1</v>
      </c>
      <c r="N3082">
        <v>0</v>
      </c>
      <c r="O3082" t="s">
        <v>54</v>
      </c>
      <c r="P3082" t="s">
        <v>55</v>
      </c>
      <c r="Q3082">
        <v>13</v>
      </c>
      <c r="R3082">
        <v>43</v>
      </c>
      <c r="S3082" t="s">
        <v>27</v>
      </c>
    </row>
    <row r="3083" spans="1:19" x14ac:dyDescent="0.3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 t="str">
        <f t="shared" si="48"/>
        <v>15-30 days</v>
      </c>
      <c r="L3083">
        <v>26</v>
      </c>
      <c r="M3083">
        <v>3</v>
      </c>
      <c r="N3083">
        <v>1</v>
      </c>
      <c r="O3083" t="s">
        <v>54</v>
      </c>
      <c r="P3083" t="s">
        <v>55</v>
      </c>
      <c r="Q3083">
        <v>8.8000000000000007</v>
      </c>
      <c r="R3083">
        <v>34</v>
      </c>
      <c r="S3083" t="s">
        <v>27</v>
      </c>
    </row>
    <row r="3084" spans="1:19" x14ac:dyDescent="0.3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 t="str">
        <f t="shared" si="48"/>
        <v>31-60 days</v>
      </c>
      <c r="L3084">
        <v>31</v>
      </c>
      <c r="M3084">
        <v>3</v>
      </c>
      <c r="N3084">
        <v>0</v>
      </c>
      <c r="O3084" t="s">
        <v>25</v>
      </c>
      <c r="P3084" t="s">
        <v>26</v>
      </c>
      <c r="Q3084">
        <v>15</v>
      </c>
      <c r="R3084">
        <v>22</v>
      </c>
      <c r="S3084" t="s">
        <v>27</v>
      </c>
    </row>
    <row r="3085" spans="1:19" x14ac:dyDescent="0.3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 t="str">
        <f t="shared" si="48"/>
        <v>31-60 days</v>
      </c>
      <c r="L3085">
        <v>45</v>
      </c>
      <c r="M3085">
        <v>9</v>
      </c>
      <c r="N3085">
        <v>1</v>
      </c>
      <c r="O3085" t="s">
        <v>54</v>
      </c>
      <c r="P3085" t="s">
        <v>55</v>
      </c>
      <c r="Q3085">
        <v>3.2</v>
      </c>
      <c r="R3085">
        <v>16</v>
      </c>
      <c r="S3085" t="s">
        <v>27</v>
      </c>
    </row>
    <row r="3086" spans="1:19" x14ac:dyDescent="0.3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 t="str">
        <f t="shared" si="48"/>
        <v>31-60 days</v>
      </c>
      <c r="L3086">
        <v>42</v>
      </c>
      <c r="M3086">
        <v>2</v>
      </c>
      <c r="N3086">
        <v>1</v>
      </c>
      <c r="O3086" t="s">
        <v>25</v>
      </c>
      <c r="P3086" t="s">
        <v>35</v>
      </c>
      <c r="Q3086">
        <v>15.4</v>
      </c>
      <c r="R3086">
        <v>31</v>
      </c>
      <c r="S3086" t="s">
        <v>36</v>
      </c>
    </row>
    <row r="3087" spans="1:19" x14ac:dyDescent="0.3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 t="str">
        <f t="shared" si="48"/>
        <v>8-14 days</v>
      </c>
      <c r="L3087">
        <v>8</v>
      </c>
      <c r="M3087">
        <v>7</v>
      </c>
      <c r="N3087">
        <v>1</v>
      </c>
      <c r="O3087" t="s">
        <v>25</v>
      </c>
      <c r="P3087" t="s">
        <v>26</v>
      </c>
      <c r="Q3087">
        <v>25.6</v>
      </c>
      <c r="R3087">
        <v>29</v>
      </c>
      <c r="S3087" t="s">
        <v>27</v>
      </c>
    </row>
    <row r="3088" spans="1:19" x14ac:dyDescent="0.3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 t="str">
        <f t="shared" si="48"/>
        <v>31-60 days</v>
      </c>
      <c r="L3088">
        <v>41</v>
      </c>
      <c r="M3088">
        <v>2</v>
      </c>
      <c r="N3088">
        <v>0</v>
      </c>
      <c r="O3088" t="s">
        <v>25</v>
      </c>
      <c r="P3088" t="s">
        <v>35</v>
      </c>
      <c r="Q3088">
        <v>3.6</v>
      </c>
      <c r="R3088">
        <v>22</v>
      </c>
      <c r="S3088" t="s">
        <v>36</v>
      </c>
    </row>
    <row r="3089" spans="1:19" x14ac:dyDescent="0.3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 t="str">
        <f t="shared" si="48"/>
        <v>31-60 days</v>
      </c>
      <c r="L3089">
        <v>56</v>
      </c>
      <c r="M3089">
        <v>5</v>
      </c>
      <c r="N3089">
        <v>1</v>
      </c>
      <c r="O3089" t="s">
        <v>25</v>
      </c>
      <c r="P3089" t="s">
        <v>26</v>
      </c>
      <c r="Q3089">
        <v>3.4</v>
      </c>
      <c r="R3089">
        <v>2</v>
      </c>
      <c r="S3089" t="s">
        <v>27</v>
      </c>
    </row>
    <row r="3090" spans="1:19" x14ac:dyDescent="0.3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 t="str">
        <f t="shared" si="48"/>
        <v>31-60 days</v>
      </c>
      <c r="L3090">
        <v>45</v>
      </c>
      <c r="M3090">
        <v>3</v>
      </c>
      <c r="N3090">
        <v>1</v>
      </c>
      <c r="O3090" t="s">
        <v>25</v>
      </c>
      <c r="P3090" t="s">
        <v>35</v>
      </c>
      <c r="Q3090">
        <v>20.9</v>
      </c>
      <c r="R3090">
        <v>13</v>
      </c>
      <c r="S3090" t="s">
        <v>27</v>
      </c>
    </row>
    <row r="3091" spans="1:19" x14ac:dyDescent="0.3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 t="str">
        <f t="shared" si="48"/>
        <v>15-30 days</v>
      </c>
      <c r="L3091">
        <v>29</v>
      </c>
      <c r="M3091">
        <v>0</v>
      </c>
      <c r="N3091">
        <v>0</v>
      </c>
      <c r="O3091" t="s">
        <v>25</v>
      </c>
      <c r="P3091" t="s">
        <v>26</v>
      </c>
      <c r="Q3091">
        <v>10.199999999999999</v>
      </c>
      <c r="R3091">
        <v>33</v>
      </c>
      <c r="S3091" t="s">
        <v>36</v>
      </c>
    </row>
    <row r="3092" spans="1:19" x14ac:dyDescent="0.3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 t="str">
        <f t="shared" si="48"/>
        <v>31-60 days</v>
      </c>
      <c r="L3092">
        <v>31</v>
      </c>
      <c r="M3092">
        <v>7</v>
      </c>
      <c r="N3092">
        <v>0</v>
      </c>
      <c r="O3092" t="s">
        <v>25</v>
      </c>
      <c r="P3092" t="s">
        <v>26</v>
      </c>
      <c r="R3092">
        <v>10</v>
      </c>
      <c r="S3092" t="s">
        <v>36</v>
      </c>
    </row>
    <row r="3093" spans="1:19" x14ac:dyDescent="0.3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 t="str">
        <f t="shared" si="48"/>
        <v>15-30 days</v>
      </c>
      <c r="L3093">
        <v>15</v>
      </c>
      <c r="M3093">
        <v>0</v>
      </c>
      <c r="N3093">
        <v>0</v>
      </c>
      <c r="O3093" t="s">
        <v>25</v>
      </c>
      <c r="P3093" t="s">
        <v>35</v>
      </c>
      <c r="Q3093">
        <v>5.3</v>
      </c>
      <c r="R3093">
        <v>30</v>
      </c>
      <c r="S3093" t="s">
        <v>36</v>
      </c>
    </row>
    <row r="3094" spans="1:19" x14ac:dyDescent="0.3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 t="str">
        <f t="shared" si="48"/>
        <v>31-60 days</v>
      </c>
      <c r="L3094">
        <v>40</v>
      </c>
      <c r="M3094">
        <v>3</v>
      </c>
      <c r="N3094">
        <v>0</v>
      </c>
      <c r="O3094" t="s">
        <v>25</v>
      </c>
      <c r="P3094" t="s">
        <v>35</v>
      </c>
      <c r="Q3094">
        <v>6.3</v>
      </c>
      <c r="R3094">
        <v>29</v>
      </c>
      <c r="S3094" t="s">
        <v>36</v>
      </c>
    </row>
    <row r="3095" spans="1:19" x14ac:dyDescent="0.3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 t="str">
        <f t="shared" si="48"/>
        <v>8-14 days</v>
      </c>
      <c r="L3095">
        <v>14</v>
      </c>
      <c r="M3095">
        <v>1</v>
      </c>
      <c r="N3095">
        <v>0</v>
      </c>
      <c r="O3095" t="s">
        <v>25</v>
      </c>
      <c r="P3095" t="s">
        <v>35</v>
      </c>
      <c r="Q3095">
        <v>18.2</v>
      </c>
      <c r="R3095">
        <v>13</v>
      </c>
      <c r="S3095" t="s">
        <v>27</v>
      </c>
    </row>
    <row r="3096" spans="1:19" x14ac:dyDescent="0.3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 t="str">
        <f t="shared" si="48"/>
        <v>15-30 days</v>
      </c>
      <c r="L3096">
        <v>20</v>
      </c>
      <c r="M3096">
        <v>1</v>
      </c>
      <c r="N3096">
        <v>0</v>
      </c>
      <c r="O3096" t="s">
        <v>25</v>
      </c>
      <c r="P3096" t="s">
        <v>35</v>
      </c>
      <c r="Q3096">
        <v>7</v>
      </c>
      <c r="R3096">
        <v>34</v>
      </c>
      <c r="S3096" t="s">
        <v>27</v>
      </c>
    </row>
    <row r="3097" spans="1:19" x14ac:dyDescent="0.3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 t="str">
        <f t="shared" si="48"/>
        <v>15-30 days</v>
      </c>
      <c r="L3097">
        <v>16</v>
      </c>
      <c r="M3097">
        <v>1</v>
      </c>
      <c r="N3097">
        <v>0</v>
      </c>
      <c r="O3097" t="s">
        <v>54</v>
      </c>
      <c r="P3097" t="s">
        <v>55</v>
      </c>
      <c r="Q3097">
        <v>5.8</v>
      </c>
      <c r="R3097">
        <v>23</v>
      </c>
      <c r="S3097" t="s">
        <v>27</v>
      </c>
    </row>
    <row r="3098" spans="1:19" x14ac:dyDescent="0.3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 t="str">
        <f t="shared" si="48"/>
        <v>15-30 days</v>
      </c>
      <c r="L3098">
        <v>20</v>
      </c>
      <c r="M3098">
        <v>4</v>
      </c>
      <c r="N3098">
        <v>1</v>
      </c>
      <c r="O3098" t="s">
        <v>54</v>
      </c>
      <c r="P3098" t="s">
        <v>55</v>
      </c>
      <c r="Q3098">
        <v>1.8</v>
      </c>
      <c r="R3098">
        <v>22</v>
      </c>
      <c r="S3098" t="s">
        <v>36</v>
      </c>
    </row>
    <row r="3099" spans="1:19" x14ac:dyDescent="0.3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 t="str">
        <f t="shared" si="48"/>
        <v>15-30 days</v>
      </c>
      <c r="L3099">
        <v>22</v>
      </c>
      <c r="M3099">
        <v>2</v>
      </c>
      <c r="N3099">
        <v>1</v>
      </c>
      <c r="O3099" t="s">
        <v>54</v>
      </c>
      <c r="P3099" t="s">
        <v>55</v>
      </c>
      <c r="Q3099">
        <v>6.3</v>
      </c>
      <c r="R3099">
        <v>11</v>
      </c>
      <c r="S3099" t="s">
        <v>36</v>
      </c>
    </row>
    <row r="3100" spans="1:19" x14ac:dyDescent="0.3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 t="str">
        <f t="shared" si="48"/>
        <v>0-7 days</v>
      </c>
      <c r="L3100">
        <v>5</v>
      </c>
      <c r="M3100">
        <v>1</v>
      </c>
      <c r="N3100">
        <v>0</v>
      </c>
      <c r="O3100" t="s">
        <v>25</v>
      </c>
      <c r="P3100" t="s">
        <v>50</v>
      </c>
      <c r="Q3100">
        <v>3.5</v>
      </c>
      <c r="R3100">
        <v>38</v>
      </c>
      <c r="S3100" t="s">
        <v>36</v>
      </c>
    </row>
    <row r="3101" spans="1:19" x14ac:dyDescent="0.3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 t="str">
        <f t="shared" si="48"/>
        <v>31-60 days</v>
      </c>
      <c r="L3101">
        <v>43</v>
      </c>
      <c r="M3101">
        <v>1</v>
      </c>
      <c r="N3101">
        <v>0</v>
      </c>
      <c r="O3101" t="s">
        <v>25</v>
      </c>
      <c r="P3101" t="s">
        <v>35</v>
      </c>
      <c r="Q3101">
        <v>4.0999999999999996</v>
      </c>
      <c r="R3101">
        <v>11</v>
      </c>
      <c r="S3101" t="s">
        <v>36</v>
      </c>
    </row>
    <row r="3102" spans="1:19" x14ac:dyDescent="0.3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 t="str">
        <f t="shared" si="48"/>
        <v>15-30 days</v>
      </c>
      <c r="L3102">
        <v>26</v>
      </c>
      <c r="M3102">
        <v>3</v>
      </c>
      <c r="N3102">
        <v>0</v>
      </c>
      <c r="O3102" t="s">
        <v>54</v>
      </c>
      <c r="P3102" t="s">
        <v>55</v>
      </c>
      <c r="Q3102">
        <v>4.9000000000000004</v>
      </c>
      <c r="R3102">
        <v>11</v>
      </c>
      <c r="S3102" t="s">
        <v>27</v>
      </c>
    </row>
    <row r="3103" spans="1:19" x14ac:dyDescent="0.3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 t="str">
        <f t="shared" si="48"/>
        <v>31-60 days</v>
      </c>
      <c r="L3103">
        <v>57</v>
      </c>
      <c r="M3103">
        <v>1</v>
      </c>
      <c r="N3103">
        <v>0</v>
      </c>
      <c r="O3103" t="s">
        <v>54</v>
      </c>
      <c r="P3103" t="s">
        <v>55</v>
      </c>
      <c r="Q3103">
        <v>16</v>
      </c>
      <c r="R3103">
        <v>26</v>
      </c>
      <c r="S3103" t="s">
        <v>27</v>
      </c>
    </row>
    <row r="3104" spans="1:19" x14ac:dyDescent="0.3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 t="str">
        <f t="shared" si="48"/>
        <v>8-14 days</v>
      </c>
      <c r="L3104">
        <v>11</v>
      </c>
      <c r="M3104">
        <v>2</v>
      </c>
      <c r="N3104">
        <v>0</v>
      </c>
      <c r="O3104" t="s">
        <v>25</v>
      </c>
      <c r="P3104" t="s">
        <v>35</v>
      </c>
      <c r="Q3104">
        <v>1.7</v>
      </c>
      <c r="R3104">
        <v>13</v>
      </c>
      <c r="S3104" t="s">
        <v>36</v>
      </c>
    </row>
    <row r="3105" spans="1:19" x14ac:dyDescent="0.3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 t="str">
        <f t="shared" si="48"/>
        <v>31-60 days</v>
      </c>
      <c r="L3105">
        <v>40</v>
      </c>
      <c r="M3105">
        <v>6</v>
      </c>
      <c r="N3105">
        <v>1</v>
      </c>
      <c r="O3105" t="s">
        <v>54</v>
      </c>
      <c r="P3105" t="s">
        <v>55</v>
      </c>
      <c r="Q3105">
        <v>9.4</v>
      </c>
      <c r="R3105">
        <v>47</v>
      </c>
      <c r="S3105" t="s">
        <v>27</v>
      </c>
    </row>
    <row r="3106" spans="1:19" x14ac:dyDescent="0.3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 t="str">
        <f t="shared" si="48"/>
        <v>8-14 days</v>
      </c>
      <c r="L3106">
        <v>10</v>
      </c>
      <c r="M3106">
        <v>2</v>
      </c>
      <c r="N3106">
        <v>1</v>
      </c>
      <c r="O3106" t="s">
        <v>25</v>
      </c>
      <c r="P3106" t="s">
        <v>35</v>
      </c>
      <c r="Q3106">
        <v>6.5</v>
      </c>
      <c r="S3106" t="s">
        <v>36</v>
      </c>
    </row>
    <row r="3107" spans="1:19" x14ac:dyDescent="0.3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 t="str">
        <f t="shared" si="48"/>
        <v>31-60 days</v>
      </c>
      <c r="L3107">
        <v>33</v>
      </c>
      <c r="M3107">
        <v>4</v>
      </c>
      <c r="N3107">
        <v>0</v>
      </c>
      <c r="O3107" t="s">
        <v>54</v>
      </c>
      <c r="P3107" t="s">
        <v>55</v>
      </c>
      <c r="Q3107">
        <v>10.8</v>
      </c>
      <c r="R3107">
        <v>33</v>
      </c>
      <c r="S3107" t="s">
        <v>36</v>
      </c>
    </row>
    <row r="3108" spans="1:19" x14ac:dyDescent="0.3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 t="str">
        <f t="shared" si="48"/>
        <v>15-30 days</v>
      </c>
      <c r="L3108">
        <v>29</v>
      </c>
      <c r="M3108">
        <v>2</v>
      </c>
      <c r="N3108">
        <v>0</v>
      </c>
      <c r="O3108" t="s">
        <v>25</v>
      </c>
      <c r="P3108" t="s">
        <v>35</v>
      </c>
      <c r="Q3108">
        <v>11.9</v>
      </c>
      <c r="R3108">
        <v>42</v>
      </c>
      <c r="S3108" t="s">
        <v>36</v>
      </c>
    </row>
    <row r="3109" spans="1:19" x14ac:dyDescent="0.3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 t="str">
        <f t="shared" si="48"/>
        <v>15-30 days</v>
      </c>
      <c r="L3109">
        <v>27</v>
      </c>
      <c r="M3109">
        <v>2</v>
      </c>
      <c r="N3109">
        <v>0</v>
      </c>
      <c r="O3109" t="s">
        <v>25</v>
      </c>
      <c r="P3109" t="s">
        <v>35</v>
      </c>
      <c r="Q3109">
        <v>4.9000000000000004</v>
      </c>
      <c r="R3109">
        <v>32</v>
      </c>
      <c r="S3109" t="s">
        <v>71</v>
      </c>
    </row>
    <row r="3110" spans="1:19" x14ac:dyDescent="0.3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 t="str">
        <f t="shared" si="48"/>
        <v>31-60 days</v>
      </c>
      <c r="L3110">
        <v>39</v>
      </c>
      <c r="M3110">
        <v>2</v>
      </c>
      <c r="N3110">
        <v>0</v>
      </c>
      <c r="O3110" t="s">
        <v>25</v>
      </c>
      <c r="P3110" t="s">
        <v>26</v>
      </c>
      <c r="Q3110">
        <v>16.399999999999999</v>
      </c>
      <c r="R3110">
        <v>16</v>
      </c>
      <c r="S3110" t="s">
        <v>36</v>
      </c>
    </row>
    <row r="3111" spans="1:19" x14ac:dyDescent="0.3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 t="str">
        <f t="shared" si="48"/>
        <v>31-60 days</v>
      </c>
      <c r="L3111">
        <v>50</v>
      </c>
      <c r="M3111">
        <v>4</v>
      </c>
      <c r="N3111">
        <v>1</v>
      </c>
      <c r="O3111" t="s">
        <v>25</v>
      </c>
      <c r="P3111" t="s">
        <v>26</v>
      </c>
      <c r="Q3111">
        <v>26.4</v>
      </c>
      <c r="R3111">
        <v>28</v>
      </c>
      <c r="S3111" t="s">
        <v>36</v>
      </c>
    </row>
    <row r="3112" spans="1:19" x14ac:dyDescent="0.3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 t="str">
        <f t="shared" si="48"/>
        <v>15-30 days</v>
      </c>
      <c r="L3112">
        <v>19</v>
      </c>
      <c r="M3112">
        <v>4</v>
      </c>
      <c r="N3112">
        <v>1</v>
      </c>
      <c r="O3112" t="s">
        <v>25</v>
      </c>
      <c r="P3112" t="s">
        <v>35</v>
      </c>
      <c r="Q3112">
        <v>3.3</v>
      </c>
      <c r="R3112">
        <v>39</v>
      </c>
      <c r="S3112" t="s">
        <v>36</v>
      </c>
    </row>
    <row r="3113" spans="1:19" x14ac:dyDescent="0.3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 t="str">
        <f t="shared" si="48"/>
        <v>31-60 days</v>
      </c>
      <c r="L3113">
        <v>51</v>
      </c>
      <c r="M3113">
        <v>5</v>
      </c>
      <c r="N3113">
        <v>1</v>
      </c>
      <c r="O3113" t="s">
        <v>25</v>
      </c>
      <c r="P3113" t="s">
        <v>50</v>
      </c>
      <c r="Q3113">
        <v>13.4</v>
      </c>
      <c r="R3113">
        <v>8</v>
      </c>
      <c r="S3113" t="s">
        <v>27</v>
      </c>
    </row>
    <row r="3114" spans="1:19" x14ac:dyDescent="0.3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 t="str">
        <f t="shared" si="48"/>
        <v>8-14 days</v>
      </c>
      <c r="L3114">
        <v>11</v>
      </c>
      <c r="M3114">
        <v>4</v>
      </c>
      <c r="N3114">
        <v>1</v>
      </c>
      <c r="O3114" t="s">
        <v>25</v>
      </c>
      <c r="P3114" t="s">
        <v>50</v>
      </c>
      <c r="Q3114">
        <v>8</v>
      </c>
      <c r="R3114">
        <v>36</v>
      </c>
      <c r="S3114" t="s">
        <v>36</v>
      </c>
    </row>
    <row r="3115" spans="1:19" x14ac:dyDescent="0.3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 t="str">
        <f t="shared" si="48"/>
        <v>15-30 days</v>
      </c>
      <c r="L3115">
        <v>17</v>
      </c>
      <c r="M3115">
        <v>4</v>
      </c>
      <c r="N3115">
        <v>0</v>
      </c>
      <c r="O3115" t="s">
        <v>25</v>
      </c>
      <c r="P3115" t="s">
        <v>35</v>
      </c>
      <c r="Q3115">
        <v>8.9</v>
      </c>
      <c r="R3115">
        <v>29</v>
      </c>
      <c r="S3115" t="s">
        <v>27</v>
      </c>
    </row>
    <row r="3116" spans="1:19" x14ac:dyDescent="0.3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 t="str">
        <f t="shared" si="48"/>
        <v>15-30 days</v>
      </c>
      <c r="L3116">
        <v>18</v>
      </c>
      <c r="M3116">
        <v>2</v>
      </c>
      <c r="N3116">
        <v>0</v>
      </c>
      <c r="O3116" t="s">
        <v>25</v>
      </c>
      <c r="P3116" t="s">
        <v>26</v>
      </c>
      <c r="Q3116">
        <v>16.7</v>
      </c>
      <c r="R3116">
        <v>45</v>
      </c>
      <c r="S3116" t="s">
        <v>27</v>
      </c>
    </row>
    <row r="3117" spans="1:19" x14ac:dyDescent="0.3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 t="str">
        <f t="shared" si="48"/>
        <v>31-60 days</v>
      </c>
      <c r="L3117">
        <v>58</v>
      </c>
      <c r="M3117">
        <v>4</v>
      </c>
      <c r="N3117">
        <v>1</v>
      </c>
      <c r="O3117" t="s">
        <v>25</v>
      </c>
      <c r="P3117" t="s">
        <v>35</v>
      </c>
      <c r="Q3117">
        <v>13.3</v>
      </c>
      <c r="R3117">
        <v>29</v>
      </c>
      <c r="S3117" t="s">
        <v>71</v>
      </c>
    </row>
    <row r="3118" spans="1:19" x14ac:dyDescent="0.3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 t="str">
        <f t="shared" si="48"/>
        <v>0-7 days</v>
      </c>
      <c r="L3118">
        <v>7</v>
      </c>
      <c r="M3118">
        <v>2</v>
      </c>
      <c r="N3118">
        <v>0</v>
      </c>
      <c r="O3118" t="s">
        <v>25</v>
      </c>
      <c r="P3118" t="s">
        <v>35</v>
      </c>
      <c r="Q3118">
        <v>7</v>
      </c>
      <c r="R3118">
        <v>26</v>
      </c>
      <c r="S3118" t="s">
        <v>27</v>
      </c>
    </row>
    <row r="3119" spans="1:19" x14ac:dyDescent="0.3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 t="str">
        <f t="shared" si="48"/>
        <v>15-30 days</v>
      </c>
      <c r="L3119">
        <v>24</v>
      </c>
      <c r="M3119">
        <v>1</v>
      </c>
      <c r="N3119">
        <v>0</v>
      </c>
      <c r="O3119" t="s">
        <v>25</v>
      </c>
      <c r="P3119" t="s">
        <v>26</v>
      </c>
      <c r="Q3119">
        <v>18.100000000000001</v>
      </c>
      <c r="R3119">
        <v>32</v>
      </c>
      <c r="S3119" t="s">
        <v>36</v>
      </c>
    </row>
    <row r="3120" spans="1:19" x14ac:dyDescent="0.3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 t="str">
        <f t="shared" si="48"/>
        <v>15-30 days</v>
      </c>
      <c r="L3120">
        <v>25</v>
      </c>
      <c r="M3120">
        <v>4</v>
      </c>
      <c r="N3120">
        <v>1</v>
      </c>
      <c r="O3120" t="s">
        <v>25</v>
      </c>
      <c r="P3120" t="s">
        <v>35</v>
      </c>
      <c r="Q3120">
        <v>8.1999999999999993</v>
      </c>
      <c r="R3120">
        <v>10</v>
      </c>
      <c r="S3120" t="s">
        <v>36</v>
      </c>
    </row>
    <row r="3121" spans="1:19" x14ac:dyDescent="0.3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 t="str">
        <f t="shared" si="48"/>
        <v>31-60 days</v>
      </c>
      <c r="L3121">
        <v>48</v>
      </c>
      <c r="M3121">
        <v>2</v>
      </c>
      <c r="N3121">
        <v>0</v>
      </c>
      <c r="O3121" t="s">
        <v>54</v>
      </c>
      <c r="P3121" t="s">
        <v>55</v>
      </c>
      <c r="Q3121">
        <v>4.9000000000000004</v>
      </c>
      <c r="R3121">
        <v>15</v>
      </c>
      <c r="S3121" t="s">
        <v>36</v>
      </c>
    </row>
    <row r="3122" spans="1:19" x14ac:dyDescent="0.3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 t="str">
        <f t="shared" si="48"/>
        <v>15-30 days</v>
      </c>
      <c r="L3122">
        <v>29</v>
      </c>
      <c r="M3122">
        <v>2</v>
      </c>
      <c r="N3122">
        <v>0</v>
      </c>
      <c r="O3122" t="s">
        <v>54</v>
      </c>
      <c r="P3122" t="s">
        <v>55</v>
      </c>
      <c r="Q3122">
        <v>9.8000000000000007</v>
      </c>
      <c r="R3122">
        <v>25</v>
      </c>
      <c r="S3122" t="s">
        <v>36</v>
      </c>
    </row>
    <row r="3123" spans="1:19" x14ac:dyDescent="0.3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 t="str">
        <f t="shared" si="48"/>
        <v>31-60 days</v>
      </c>
      <c r="L3123">
        <v>58</v>
      </c>
      <c r="M3123">
        <v>1</v>
      </c>
      <c r="N3123">
        <v>0</v>
      </c>
      <c r="O3123" t="s">
        <v>25</v>
      </c>
      <c r="P3123" t="s">
        <v>35</v>
      </c>
      <c r="Q3123">
        <v>19.600000000000001</v>
      </c>
      <c r="R3123">
        <v>18</v>
      </c>
      <c r="S3123" t="s">
        <v>36</v>
      </c>
    </row>
    <row r="3124" spans="1:19" x14ac:dyDescent="0.3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 t="str">
        <f t="shared" si="48"/>
        <v>31-60 days</v>
      </c>
      <c r="L3124">
        <v>45</v>
      </c>
      <c r="M3124">
        <v>1</v>
      </c>
      <c r="N3124">
        <v>0</v>
      </c>
      <c r="O3124" t="s">
        <v>25</v>
      </c>
      <c r="P3124" t="s">
        <v>26</v>
      </c>
      <c r="Q3124">
        <v>2.5</v>
      </c>
      <c r="R3124">
        <v>17</v>
      </c>
      <c r="S3124" t="s">
        <v>36</v>
      </c>
    </row>
    <row r="3125" spans="1:19" x14ac:dyDescent="0.3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 t="str">
        <f t="shared" si="48"/>
        <v>31-60 days</v>
      </c>
      <c r="L3125">
        <v>42</v>
      </c>
      <c r="M3125">
        <v>1</v>
      </c>
      <c r="N3125">
        <v>1</v>
      </c>
      <c r="O3125" t="s">
        <v>54</v>
      </c>
      <c r="P3125" t="s">
        <v>55</v>
      </c>
      <c r="Q3125">
        <v>12.7</v>
      </c>
      <c r="R3125">
        <v>46</v>
      </c>
      <c r="S3125" t="s">
        <v>36</v>
      </c>
    </row>
    <row r="3126" spans="1:19" x14ac:dyDescent="0.3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 t="str">
        <f t="shared" si="48"/>
        <v>31-60 days</v>
      </c>
      <c r="L3126">
        <v>45</v>
      </c>
      <c r="M3126">
        <v>3</v>
      </c>
      <c r="N3126">
        <v>0</v>
      </c>
      <c r="O3126" t="s">
        <v>25</v>
      </c>
      <c r="P3126" t="s">
        <v>50</v>
      </c>
      <c r="Q3126">
        <v>1.4</v>
      </c>
      <c r="R3126">
        <v>44</v>
      </c>
      <c r="S3126" t="s">
        <v>27</v>
      </c>
    </row>
    <row r="3127" spans="1:19" x14ac:dyDescent="0.3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 t="str">
        <f t="shared" si="48"/>
        <v>8-14 days</v>
      </c>
      <c r="L3127">
        <v>9</v>
      </c>
      <c r="M3127">
        <v>4</v>
      </c>
      <c r="N3127">
        <v>0</v>
      </c>
      <c r="O3127" t="s">
        <v>25</v>
      </c>
      <c r="P3127" t="s">
        <v>35</v>
      </c>
      <c r="Q3127">
        <v>14.1</v>
      </c>
      <c r="R3127">
        <v>2</v>
      </c>
      <c r="S3127" t="s">
        <v>36</v>
      </c>
    </row>
    <row r="3128" spans="1:19" x14ac:dyDescent="0.3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 t="str">
        <f t="shared" si="48"/>
        <v>15-30 days</v>
      </c>
      <c r="L3128">
        <v>27</v>
      </c>
      <c r="M3128">
        <v>1</v>
      </c>
      <c r="N3128">
        <v>0</v>
      </c>
      <c r="O3128" t="s">
        <v>54</v>
      </c>
      <c r="P3128" t="s">
        <v>55</v>
      </c>
      <c r="Q3128">
        <v>11.3</v>
      </c>
      <c r="R3128">
        <v>24</v>
      </c>
      <c r="S3128" t="s">
        <v>36</v>
      </c>
    </row>
    <row r="3129" spans="1:19" x14ac:dyDescent="0.3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 t="str">
        <f t="shared" si="48"/>
        <v>31-60 days</v>
      </c>
      <c r="L3129">
        <v>35</v>
      </c>
      <c r="M3129">
        <v>4</v>
      </c>
      <c r="N3129">
        <v>0</v>
      </c>
      <c r="O3129" t="s">
        <v>54</v>
      </c>
      <c r="P3129" t="s">
        <v>55</v>
      </c>
      <c r="Q3129">
        <v>22.2</v>
      </c>
      <c r="R3129">
        <v>11</v>
      </c>
      <c r="S3129" t="s">
        <v>27</v>
      </c>
    </row>
    <row r="3130" spans="1:19" x14ac:dyDescent="0.3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 t="str">
        <f t="shared" si="48"/>
        <v>8-14 days</v>
      </c>
      <c r="L3130">
        <v>12</v>
      </c>
      <c r="M3130">
        <v>3</v>
      </c>
      <c r="N3130">
        <v>0</v>
      </c>
      <c r="O3130" t="s">
        <v>54</v>
      </c>
      <c r="P3130" t="s">
        <v>55</v>
      </c>
      <c r="Q3130">
        <v>2.9</v>
      </c>
      <c r="R3130">
        <v>37</v>
      </c>
      <c r="S3130" t="s">
        <v>36</v>
      </c>
    </row>
    <row r="3131" spans="1:19" x14ac:dyDescent="0.3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 t="str">
        <f t="shared" si="48"/>
        <v>0-7 days</v>
      </c>
      <c r="L3131">
        <v>7</v>
      </c>
      <c r="M3131">
        <v>5</v>
      </c>
      <c r="N3131">
        <v>1</v>
      </c>
      <c r="O3131" t="s">
        <v>25</v>
      </c>
      <c r="P3131" t="s">
        <v>50</v>
      </c>
      <c r="Q3131">
        <v>10.5</v>
      </c>
      <c r="R3131">
        <v>26</v>
      </c>
      <c r="S3131" t="s">
        <v>36</v>
      </c>
    </row>
    <row r="3132" spans="1:19" x14ac:dyDescent="0.3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 t="str">
        <f t="shared" si="48"/>
        <v>8-14 days</v>
      </c>
      <c r="L3132">
        <v>8</v>
      </c>
      <c r="M3132">
        <v>2</v>
      </c>
      <c r="N3132">
        <v>0</v>
      </c>
      <c r="O3132" t="s">
        <v>25</v>
      </c>
      <c r="P3132" t="s">
        <v>35</v>
      </c>
      <c r="Q3132">
        <v>4.8</v>
      </c>
      <c r="R3132">
        <v>40</v>
      </c>
      <c r="S3132" t="s">
        <v>36</v>
      </c>
    </row>
    <row r="3133" spans="1:19" x14ac:dyDescent="0.3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 t="str">
        <f t="shared" si="48"/>
        <v>31-60 days</v>
      </c>
      <c r="L3133">
        <v>48</v>
      </c>
      <c r="M3133">
        <v>3</v>
      </c>
      <c r="N3133">
        <v>1</v>
      </c>
      <c r="O3133" t="s">
        <v>54</v>
      </c>
      <c r="P3133" t="s">
        <v>55</v>
      </c>
      <c r="Q3133">
        <v>6.7</v>
      </c>
      <c r="R3133">
        <v>15</v>
      </c>
      <c r="S3133" t="s">
        <v>27</v>
      </c>
    </row>
    <row r="3134" spans="1:19" x14ac:dyDescent="0.3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 t="str">
        <f t="shared" si="48"/>
        <v>31-60 days</v>
      </c>
      <c r="L3134">
        <v>40</v>
      </c>
      <c r="M3134">
        <v>2</v>
      </c>
      <c r="N3134">
        <v>1</v>
      </c>
      <c r="O3134" t="s">
        <v>25</v>
      </c>
      <c r="P3134" t="s">
        <v>26</v>
      </c>
      <c r="Q3134">
        <v>24.6</v>
      </c>
      <c r="R3134">
        <v>14</v>
      </c>
      <c r="S3134" t="s">
        <v>36</v>
      </c>
    </row>
    <row r="3135" spans="1:19" x14ac:dyDescent="0.3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 t="str">
        <f t="shared" si="48"/>
        <v>15-30 days</v>
      </c>
      <c r="L3135">
        <v>17</v>
      </c>
      <c r="M3135">
        <v>1</v>
      </c>
      <c r="N3135">
        <v>0</v>
      </c>
      <c r="O3135" t="s">
        <v>54</v>
      </c>
      <c r="P3135" t="s">
        <v>55</v>
      </c>
      <c r="Q3135">
        <v>10.9</v>
      </c>
      <c r="R3135">
        <v>22</v>
      </c>
      <c r="S3135" t="s">
        <v>36</v>
      </c>
    </row>
    <row r="3136" spans="1:19" x14ac:dyDescent="0.3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 t="str">
        <f t="shared" si="48"/>
        <v>31-60 days</v>
      </c>
      <c r="L3136">
        <v>44</v>
      </c>
      <c r="M3136">
        <v>4</v>
      </c>
      <c r="N3136">
        <v>1</v>
      </c>
      <c r="O3136" t="s">
        <v>25</v>
      </c>
      <c r="P3136" t="s">
        <v>26</v>
      </c>
      <c r="Q3136">
        <v>12.6</v>
      </c>
      <c r="R3136">
        <v>17</v>
      </c>
      <c r="S3136" t="s">
        <v>27</v>
      </c>
    </row>
    <row r="3137" spans="1:19" x14ac:dyDescent="0.3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 t="str">
        <f t="shared" si="48"/>
        <v>31-60 days</v>
      </c>
      <c r="L3137">
        <v>42</v>
      </c>
      <c r="M3137">
        <v>4</v>
      </c>
      <c r="N3137">
        <v>0</v>
      </c>
      <c r="O3137" t="s">
        <v>54</v>
      </c>
      <c r="P3137" t="s">
        <v>55</v>
      </c>
      <c r="Q3137">
        <v>6.5</v>
      </c>
      <c r="R3137">
        <v>23</v>
      </c>
      <c r="S3137" t="s">
        <v>36</v>
      </c>
    </row>
    <row r="3138" spans="1:19" x14ac:dyDescent="0.3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 t="str">
        <f t="shared" si="48"/>
        <v>31-60 days</v>
      </c>
      <c r="L3138">
        <v>49</v>
      </c>
      <c r="M3138">
        <v>6</v>
      </c>
      <c r="N3138">
        <v>2</v>
      </c>
      <c r="O3138" t="s">
        <v>25</v>
      </c>
      <c r="P3138" t="s">
        <v>35</v>
      </c>
      <c r="Q3138">
        <v>8.6</v>
      </c>
      <c r="R3138">
        <v>37</v>
      </c>
      <c r="S3138" t="s">
        <v>27</v>
      </c>
    </row>
    <row r="3139" spans="1:19" x14ac:dyDescent="0.3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 t="str">
        <f t="shared" ref="K3139:K3202" si="49">IF(L3139&lt;=7,"0-7 days",IF(L3139&lt;=14,"8-14 days",IF(L3139&lt;=30,"15-30 days","31-60 days")))</f>
        <v>31-60 days</v>
      </c>
      <c r="L3139">
        <v>55</v>
      </c>
      <c r="M3139">
        <v>1</v>
      </c>
      <c r="N3139">
        <v>0</v>
      </c>
      <c r="O3139" t="s">
        <v>25</v>
      </c>
      <c r="P3139" t="s">
        <v>35</v>
      </c>
      <c r="Q3139">
        <v>17</v>
      </c>
      <c r="R3139">
        <v>29</v>
      </c>
      <c r="S3139" t="s">
        <v>27</v>
      </c>
    </row>
    <row r="3140" spans="1:19" x14ac:dyDescent="0.3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 t="str">
        <f t="shared" si="49"/>
        <v>31-60 days</v>
      </c>
      <c r="L3140">
        <v>53</v>
      </c>
      <c r="M3140">
        <v>4</v>
      </c>
      <c r="N3140">
        <v>2</v>
      </c>
      <c r="O3140" t="s">
        <v>54</v>
      </c>
      <c r="P3140" t="s">
        <v>55</v>
      </c>
      <c r="Q3140">
        <v>22.1</v>
      </c>
      <c r="R3140">
        <v>21</v>
      </c>
      <c r="S3140" t="s">
        <v>27</v>
      </c>
    </row>
    <row r="3141" spans="1:19" x14ac:dyDescent="0.3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 t="str">
        <f t="shared" si="49"/>
        <v>8-14 days</v>
      </c>
      <c r="L3141">
        <v>11</v>
      </c>
      <c r="M3141">
        <v>3</v>
      </c>
      <c r="N3141">
        <v>1</v>
      </c>
      <c r="O3141" t="s">
        <v>25</v>
      </c>
      <c r="P3141" t="s">
        <v>35</v>
      </c>
      <c r="Q3141">
        <v>8.6999999999999993</v>
      </c>
      <c r="R3141">
        <v>25</v>
      </c>
      <c r="S3141" t="s">
        <v>27</v>
      </c>
    </row>
    <row r="3142" spans="1:19" x14ac:dyDescent="0.3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 t="str">
        <f t="shared" si="49"/>
        <v>31-60 days</v>
      </c>
      <c r="L3142">
        <v>46</v>
      </c>
      <c r="M3142">
        <v>4</v>
      </c>
      <c r="N3142">
        <v>1</v>
      </c>
      <c r="O3142" t="s">
        <v>25</v>
      </c>
      <c r="P3142" t="s">
        <v>35</v>
      </c>
      <c r="Q3142">
        <v>19.399999999999999</v>
      </c>
      <c r="R3142">
        <v>7</v>
      </c>
      <c r="S3142" t="s">
        <v>36</v>
      </c>
    </row>
    <row r="3143" spans="1:19" x14ac:dyDescent="0.3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 t="str">
        <f t="shared" si="49"/>
        <v>15-30 days</v>
      </c>
      <c r="L3143">
        <v>23</v>
      </c>
      <c r="M3143">
        <v>4</v>
      </c>
      <c r="N3143">
        <v>2</v>
      </c>
      <c r="O3143" t="s">
        <v>54</v>
      </c>
      <c r="P3143" t="s">
        <v>55</v>
      </c>
      <c r="Q3143">
        <v>8.5</v>
      </c>
      <c r="R3143">
        <v>3</v>
      </c>
      <c r="S3143" t="s">
        <v>27</v>
      </c>
    </row>
    <row r="3144" spans="1:19" x14ac:dyDescent="0.3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 t="str">
        <f t="shared" si="49"/>
        <v>15-30 days</v>
      </c>
      <c r="L3144">
        <v>24</v>
      </c>
      <c r="M3144">
        <v>2</v>
      </c>
      <c r="N3144">
        <v>1</v>
      </c>
      <c r="O3144" t="s">
        <v>25</v>
      </c>
      <c r="P3144" t="s">
        <v>35</v>
      </c>
      <c r="Q3144">
        <v>5</v>
      </c>
      <c r="R3144">
        <v>37</v>
      </c>
      <c r="S3144" t="s">
        <v>36</v>
      </c>
    </row>
    <row r="3145" spans="1:19" x14ac:dyDescent="0.3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 t="str">
        <f t="shared" si="49"/>
        <v>31-60 days</v>
      </c>
      <c r="L3145">
        <v>39</v>
      </c>
      <c r="M3145">
        <v>1</v>
      </c>
      <c r="N3145">
        <v>0</v>
      </c>
      <c r="O3145" t="s">
        <v>25</v>
      </c>
      <c r="P3145" t="s">
        <v>35</v>
      </c>
      <c r="Q3145">
        <v>10.1</v>
      </c>
      <c r="R3145">
        <v>16</v>
      </c>
      <c r="S3145" t="s">
        <v>27</v>
      </c>
    </row>
    <row r="3146" spans="1:19" x14ac:dyDescent="0.3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 t="str">
        <f t="shared" si="49"/>
        <v>31-60 days</v>
      </c>
      <c r="L3146">
        <v>36</v>
      </c>
      <c r="M3146">
        <v>4</v>
      </c>
      <c r="N3146">
        <v>0</v>
      </c>
      <c r="O3146" t="s">
        <v>25</v>
      </c>
      <c r="P3146" t="s">
        <v>26</v>
      </c>
      <c r="Q3146">
        <v>4.5999999999999996</v>
      </c>
      <c r="R3146">
        <v>40</v>
      </c>
      <c r="S3146" t="s">
        <v>27</v>
      </c>
    </row>
    <row r="3147" spans="1:19" x14ac:dyDescent="0.3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 t="str">
        <f t="shared" si="49"/>
        <v>15-30 days</v>
      </c>
      <c r="L3147">
        <v>25</v>
      </c>
      <c r="M3147">
        <v>2</v>
      </c>
      <c r="N3147">
        <v>1</v>
      </c>
      <c r="O3147" t="s">
        <v>54</v>
      </c>
      <c r="P3147" t="s">
        <v>55</v>
      </c>
      <c r="R3147">
        <v>21</v>
      </c>
      <c r="S3147" t="s">
        <v>36</v>
      </c>
    </row>
    <row r="3148" spans="1:19" x14ac:dyDescent="0.3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 t="str">
        <f t="shared" si="49"/>
        <v>31-60 days</v>
      </c>
      <c r="L3148">
        <v>60</v>
      </c>
      <c r="M3148">
        <v>1</v>
      </c>
      <c r="N3148">
        <v>0</v>
      </c>
      <c r="O3148" t="s">
        <v>25</v>
      </c>
      <c r="P3148" t="s">
        <v>35</v>
      </c>
      <c r="Q3148">
        <v>3.3</v>
      </c>
      <c r="R3148">
        <v>25</v>
      </c>
      <c r="S3148" t="s">
        <v>27</v>
      </c>
    </row>
    <row r="3149" spans="1:19" x14ac:dyDescent="0.3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 t="str">
        <f t="shared" si="49"/>
        <v>8-14 days</v>
      </c>
      <c r="L3149">
        <v>10</v>
      </c>
      <c r="M3149">
        <v>8</v>
      </c>
      <c r="N3149">
        <v>4</v>
      </c>
      <c r="O3149" t="s">
        <v>25</v>
      </c>
      <c r="P3149" t="s">
        <v>26</v>
      </c>
      <c r="Q3149">
        <v>13.7</v>
      </c>
      <c r="R3149">
        <v>33</v>
      </c>
      <c r="S3149" t="s">
        <v>27</v>
      </c>
    </row>
    <row r="3150" spans="1:19" x14ac:dyDescent="0.3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 t="str">
        <f t="shared" si="49"/>
        <v>0-7 days</v>
      </c>
      <c r="L3150">
        <v>5</v>
      </c>
      <c r="M3150">
        <v>2</v>
      </c>
      <c r="N3150">
        <v>1</v>
      </c>
      <c r="O3150" t="s">
        <v>54</v>
      </c>
      <c r="P3150" t="s">
        <v>55</v>
      </c>
      <c r="Q3150">
        <v>3.5</v>
      </c>
      <c r="R3150">
        <v>34</v>
      </c>
      <c r="S3150" t="s">
        <v>27</v>
      </c>
    </row>
    <row r="3151" spans="1:19" x14ac:dyDescent="0.3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 t="str">
        <f t="shared" si="49"/>
        <v>0-7 days</v>
      </c>
      <c r="L3151">
        <v>1</v>
      </c>
      <c r="M3151">
        <v>4</v>
      </c>
      <c r="N3151">
        <v>0</v>
      </c>
      <c r="O3151" t="s">
        <v>25</v>
      </c>
      <c r="P3151" t="s">
        <v>35</v>
      </c>
      <c r="Q3151">
        <v>5.0999999999999996</v>
      </c>
      <c r="R3151">
        <v>18</v>
      </c>
      <c r="S3151" t="s">
        <v>36</v>
      </c>
    </row>
    <row r="3152" spans="1:19" x14ac:dyDescent="0.3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 t="str">
        <f t="shared" si="49"/>
        <v>31-60 days</v>
      </c>
      <c r="L3152">
        <v>49</v>
      </c>
      <c r="M3152">
        <v>3</v>
      </c>
      <c r="N3152">
        <v>0</v>
      </c>
      <c r="O3152" t="s">
        <v>54</v>
      </c>
      <c r="P3152" t="s">
        <v>55</v>
      </c>
      <c r="Q3152">
        <v>5.7</v>
      </c>
      <c r="R3152">
        <v>25</v>
      </c>
      <c r="S3152" t="s">
        <v>71</v>
      </c>
    </row>
    <row r="3153" spans="1:19" x14ac:dyDescent="0.3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 t="str">
        <f t="shared" si="49"/>
        <v>15-30 days</v>
      </c>
      <c r="L3153">
        <v>24</v>
      </c>
      <c r="M3153">
        <v>4</v>
      </c>
      <c r="N3153">
        <v>0</v>
      </c>
      <c r="O3153" t="s">
        <v>54</v>
      </c>
      <c r="P3153" t="s">
        <v>55</v>
      </c>
      <c r="Q3153">
        <v>3.8</v>
      </c>
      <c r="R3153">
        <v>24</v>
      </c>
      <c r="S3153" t="s">
        <v>27</v>
      </c>
    </row>
    <row r="3154" spans="1:19" x14ac:dyDescent="0.3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 t="str">
        <f t="shared" si="49"/>
        <v>15-30 days</v>
      </c>
      <c r="L3154">
        <v>26</v>
      </c>
      <c r="M3154">
        <v>4</v>
      </c>
      <c r="N3154">
        <v>1</v>
      </c>
      <c r="O3154" t="s">
        <v>25</v>
      </c>
      <c r="P3154" t="s">
        <v>50</v>
      </c>
      <c r="Q3154">
        <v>8.4</v>
      </c>
      <c r="R3154">
        <v>28</v>
      </c>
      <c r="S3154" t="s">
        <v>36</v>
      </c>
    </row>
    <row r="3155" spans="1:19" x14ac:dyDescent="0.3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 t="str">
        <f t="shared" si="49"/>
        <v>31-60 days</v>
      </c>
      <c r="L3155">
        <v>39</v>
      </c>
      <c r="M3155">
        <v>5</v>
      </c>
      <c r="N3155">
        <v>1</v>
      </c>
      <c r="O3155" t="s">
        <v>54</v>
      </c>
      <c r="P3155" t="s">
        <v>55</v>
      </c>
      <c r="Q3155">
        <v>0.7</v>
      </c>
      <c r="R3155">
        <v>26</v>
      </c>
      <c r="S3155" t="s">
        <v>27</v>
      </c>
    </row>
    <row r="3156" spans="1:19" x14ac:dyDescent="0.3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 t="str">
        <f t="shared" si="49"/>
        <v>15-30 days</v>
      </c>
      <c r="L3156">
        <v>26</v>
      </c>
      <c r="M3156">
        <v>1</v>
      </c>
      <c r="N3156">
        <v>0</v>
      </c>
      <c r="O3156" t="s">
        <v>54</v>
      </c>
      <c r="P3156" t="s">
        <v>55</v>
      </c>
      <c r="Q3156">
        <v>7.7</v>
      </c>
      <c r="R3156">
        <v>16</v>
      </c>
      <c r="S3156" t="s">
        <v>36</v>
      </c>
    </row>
    <row r="3157" spans="1:19" x14ac:dyDescent="0.3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 t="str">
        <f t="shared" si="49"/>
        <v>31-60 days</v>
      </c>
      <c r="L3157">
        <v>35</v>
      </c>
      <c r="M3157">
        <v>1</v>
      </c>
      <c r="N3157">
        <v>0</v>
      </c>
      <c r="O3157" t="s">
        <v>25</v>
      </c>
      <c r="P3157" t="s">
        <v>35</v>
      </c>
      <c r="Q3157">
        <v>0.5</v>
      </c>
      <c r="R3157">
        <v>26</v>
      </c>
      <c r="S3157" t="s">
        <v>36</v>
      </c>
    </row>
    <row r="3158" spans="1:19" x14ac:dyDescent="0.3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 t="str">
        <f t="shared" si="49"/>
        <v>0-7 days</v>
      </c>
      <c r="L3158">
        <v>3</v>
      </c>
      <c r="M3158">
        <v>2</v>
      </c>
      <c r="N3158">
        <v>0</v>
      </c>
      <c r="O3158" t="s">
        <v>25</v>
      </c>
      <c r="P3158" t="s">
        <v>35</v>
      </c>
      <c r="Q3158">
        <v>10.9</v>
      </c>
      <c r="R3158">
        <v>8</v>
      </c>
      <c r="S3158" t="s">
        <v>36</v>
      </c>
    </row>
    <row r="3159" spans="1:19" x14ac:dyDescent="0.3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 t="str">
        <f t="shared" si="49"/>
        <v>8-14 days</v>
      </c>
      <c r="L3159">
        <v>9</v>
      </c>
      <c r="M3159">
        <v>2</v>
      </c>
      <c r="N3159">
        <v>1</v>
      </c>
      <c r="O3159" t="s">
        <v>25</v>
      </c>
      <c r="P3159" t="s">
        <v>50</v>
      </c>
      <c r="Q3159">
        <v>3.2</v>
      </c>
      <c r="R3159">
        <v>24</v>
      </c>
      <c r="S3159" t="s">
        <v>36</v>
      </c>
    </row>
    <row r="3160" spans="1:19" x14ac:dyDescent="0.3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 t="str">
        <f t="shared" si="49"/>
        <v>31-60 days</v>
      </c>
      <c r="L3160">
        <v>56</v>
      </c>
      <c r="M3160">
        <v>2</v>
      </c>
      <c r="N3160">
        <v>0</v>
      </c>
      <c r="O3160" t="s">
        <v>25</v>
      </c>
      <c r="P3160" t="s">
        <v>35</v>
      </c>
      <c r="Q3160">
        <v>11.5</v>
      </c>
      <c r="R3160">
        <v>25</v>
      </c>
      <c r="S3160" t="s">
        <v>27</v>
      </c>
    </row>
    <row r="3161" spans="1:19" x14ac:dyDescent="0.3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 t="str">
        <f t="shared" si="49"/>
        <v>15-30 days</v>
      </c>
      <c r="L3161">
        <v>27</v>
      </c>
      <c r="M3161">
        <v>5</v>
      </c>
      <c r="N3161">
        <v>0</v>
      </c>
      <c r="O3161" t="s">
        <v>25</v>
      </c>
      <c r="P3161" t="s">
        <v>50</v>
      </c>
      <c r="Q3161">
        <v>19</v>
      </c>
      <c r="R3161">
        <v>13</v>
      </c>
      <c r="S3161" t="s">
        <v>71</v>
      </c>
    </row>
    <row r="3162" spans="1:19" x14ac:dyDescent="0.3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 t="str">
        <f t="shared" si="49"/>
        <v>8-14 days</v>
      </c>
      <c r="L3162">
        <v>10</v>
      </c>
      <c r="M3162">
        <v>6</v>
      </c>
      <c r="N3162">
        <v>1</v>
      </c>
      <c r="O3162" t="s">
        <v>25</v>
      </c>
      <c r="P3162" t="s">
        <v>26</v>
      </c>
      <c r="Q3162">
        <v>5.8</v>
      </c>
      <c r="R3162">
        <v>21</v>
      </c>
      <c r="S3162" t="s">
        <v>36</v>
      </c>
    </row>
    <row r="3163" spans="1:19" x14ac:dyDescent="0.3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 t="str">
        <f t="shared" si="49"/>
        <v>15-30 days</v>
      </c>
      <c r="L3163">
        <v>22</v>
      </c>
      <c r="M3163">
        <v>2</v>
      </c>
      <c r="N3163">
        <v>0</v>
      </c>
      <c r="O3163" t="s">
        <v>25</v>
      </c>
      <c r="P3163" t="s">
        <v>35</v>
      </c>
      <c r="Q3163">
        <v>9.1</v>
      </c>
      <c r="R3163">
        <v>18</v>
      </c>
      <c r="S3163" t="s">
        <v>27</v>
      </c>
    </row>
    <row r="3164" spans="1:19" x14ac:dyDescent="0.3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 t="str">
        <f t="shared" si="49"/>
        <v>15-30 days</v>
      </c>
      <c r="L3164">
        <v>20</v>
      </c>
      <c r="M3164">
        <v>4</v>
      </c>
      <c r="N3164">
        <v>1</v>
      </c>
      <c r="O3164" t="s">
        <v>25</v>
      </c>
      <c r="P3164" t="s">
        <v>35</v>
      </c>
      <c r="Q3164">
        <v>2.7</v>
      </c>
      <c r="R3164">
        <v>19</v>
      </c>
      <c r="S3164" t="s">
        <v>36</v>
      </c>
    </row>
    <row r="3165" spans="1:19" x14ac:dyDescent="0.3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 t="str">
        <f t="shared" si="49"/>
        <v>15-30 days</v>
      </c>
      <c r="L3165">
        <v>16</v>
      </c>
      <c r="M3165">
        <v>4</v>
      </c>
      <c r="N3165">
        <v>1</v>
      </c>
      <c r="O3165" t="s">
        <v>25</v>
      </c>
      <c r="P3165" t="s">
        <v>50</v>
      </c>
      <c r="Q3165">
        <v>11.6</v>
      </c>
      <c r="R3165">
        <v>32</v>
      </c>
      <c r="S3165" t="s">
        <v>36</v>
      </c>
    </row>
    <row r="3166" spans="1:19" x14ac:dyDescent="0.3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 t="str">
        <f t="shared" si="49"/>
        <v>15-30 days</v>
      </c>
      <c r="L3166">
        <v>17</v>
      </c>
      <c r="M3166">
        <v>3</v>
      </c>
      <c r="N3166">
        <v>0</v>
      </c>
      <c r="O3166" t="s">
        <v>25</v>
      </c>
      <c r="P3166" t="s">
        <v>26</v>
      </c>
      <c r="Q3166">
        <v>13.3</v>
      </c>
      <c r="R3166">
        <v>29</v>
      </c>
      <c r="S3166" t="s">
        <v>27</v>
      </c>
    </row>
    <row r="3167" spans="1:19" x14ac:dyDescent="0.3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 t="str">
        <f t="shared" si="49"/>
        <v>31-60 days</v>
      </c>
      <c r="L3167">
        <v>44</v>
      </c>
      <c r="M3167">
        <v>2</v>
      </c>
      <c r="N3167">
        <v>1</v>
      </c>
      <c r="O3167" t="s">
        <v>54</v>
      </c>
      <c r="P3167" t="s">
        <v>55</v>
      </c>
      <c r="Q3167">
        <v>2.4</v>
      </c>
      <c r="R3167">
        <v>35</v>
      </c>
      <c r="S3167" t="s">
        <v>27</v>
      </c>
    </row>
    <row r="3168" spans="1:19" x14ac:dyDescent="0.3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 t="str">
        <f t="shared" si="49"/>
        <v>0-7 days</v>
      </c>
      <c r="L3168">
        <v>6</v>
      </c>
      <c r="M3168">
        <v>5</v>
      </c>
      <c r="N3168">
        <v>1</v>
      </c>
      <c r="O3168" t="s">
        <v>54</v>
      </c>
      <c r="P3168" t="s">
        <v>55</v>
      </c>
      <c r="Q3168">
        <v>13.5</v>
      </c>
      <c r="R3168">
        <v>47</v>
      </c>
      <c r="S3168" t="s">
        <v>36</v>
      </c>
    </row>
    <row r="3169" spans="1:19" x14ac:dyDescent="0.3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 t="str">
        <f t="shared" si="49"/>
        <v>15-30 days</v>
      </c>
      <c r="L3169">
        <v>18</v>
      </c>
      <c r="M3169">
        <v>3</v>
      </c>
      <c r="N3169">
        <v>0</v>
      </c>
      <c r="O3169" t="s">
        <v>25</v>
      </c>
      <c r="P3169" t="s">
        <v>35</v>
      </c>
      <c r="Q3169">
        <v>29.2</v>
      </c>
      <c r="R3169">
        <v>36</v>
      </c>
      <c r="S3169" t="s">
        <v>27</v>
      </c>
    </row>
    <row r="3170" spans="1:19" x14ac:dyDescent="0.3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 t="str">
        <f t="shared" si="49"/>
        <v>15-30 days</v>
      </c>
      <c r="L3170">
        <v>28</v>
      </c>
      <c r="M3170">
        <v>5</v>
      </c>
      <c r="N3170">
        <v>0</v>
      </c>
      <c r="O3170" t="s">
        <v>25</v>
      </c>
      <c r="P3170" t="s">
        <v>26</v>
      </c>
      <c r="Q3170">
        <v>6.9</v>
      </c>
      <c r="R3170">
        <v>7</v>
      </c>
      <c r="S3170" t="s">
        <v>36</v>
      </c>
    </row>
    <row r="3171" spans="1:19" x14ac:dyDescent="0.3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 t="str">
        <f t="shared" si="49"/>
        <v>31-60 days</v>
      </c>
      <c r="L3171">
        <v>32</v>
      </c>
      <c r="M3171">
        <v>1</v>
      </c>
      <c r="N3171">
        <v>0</v>
      </c>
      <c r="O3171" t="s">
        <v>54</v>
      </c>
      <c r="P3171" t="s">
        <v>55</v>
      </c>
      <c r="Q3171">
        <v>6</v>
      </c>
      <c r="R3171">
        <v>17</v>
      </c>
      <c r="S3171" t="s">
        <v>36</v>
      </c>
    </row>
    <row r="3172" spans="1:19" x14ac:dyDescent="0.3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 t="str">
        <f t="shared" si="49"/>
        <v>31-60 days</v>
      </c>
      <c r="L3172">
        <v>53</v>
      </c>
      <c r="M3172">
        <v>2</v>
      </c>
      <c r="N3172">
        <v>0</v>
      </c>
      <c r="O3172" t="s">
        <v>54</v>
      </c>
      <c r="P3172" t="s">
        <v>55</v>
      </c>
      <c r="Q3172">
        <v>16.5</v>
      </c>
      <c r="R3172">
        <v>39</v>
      </c>
      <c r="S3172" t="s">
        <v>36</v>
      </c>
    </row>
    <row r="3173" spans="1:19" x14ac:dyDescent="0.3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 t="str">
        <f t="shared" si="49"/>
        <v>31-60 days</v>
      </c>
      <c r="L3173">
        <v>56</v>
      </c>
      <c r="M3173">
        <v>2</v>
      </c>
      <c r="N3173">
        <v>0</v>
      </c>
      <c r="O3173" t="s">
        <v>54</v>
      </c>
      <c r="P3173" t="s">
        <v>55</v>
      </c>
      <c r="Q3173">
        <v>5.6</v>
      </c>
      <c r="R3173">
        <v>20</v>
      </c>
      <c r="S3173" t="s">
        <v>27</v>
      </c>
    </row>
    <row r="3174" spans="1:19" x14ac:dyDescent="0.3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 t="str">
        <f t="shared" si="49"/>
        <v>15-30 days</v>
      </c>
      <c r="L3174">
        <v>18</v>
      </c>
      <c r="M3174">
        <v>4</v>
      </c>
      <c r="N3174">
        <v>2</v>
      </c>
      <c r="O3174" t="s">
        <v>25</v>
      </c>
      <c r="P3174" t="s">
        <v>35</v>
      </c>
      <c r="Q3174">
        <v>2.9</v>
      </c>
      <c r="R3174">
        <v>19</v>
      </c>
      <c r="S3174" t="s">
        <v>36</v>
      </c>
    </row>
    <row r="3175" spans="1:19" x14ac:dyDescent="0.3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 t="str">
        <f t="shared" si="49"/>
        <v>31-60 days</v>
      </c>
      <c r="L3175">
        <v>32</v>
      </c>
      <c r="M3175">
        <v>2</v>
      </c>
      <c r="N3175">
        <v>0</v>
      </c>
      <c r="O3175" t="s">
        <v>25</v>
      </c>
      <c r="P3175" t="s">
        <v>26</v>
      </c>
      <c r="Q3175">
        <v>7.9</v>
      </c>
      <c r="R3175">
        <v>28</v>
      </c>
      <c r="S3175" t="s">
        <v>27</v>
      </c>
    </row>
    <row r="3176" spans="1:19" x14ac:dyDescent="0.3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 t="str">
        <f t="shared" si="49"/>
        <v>0-7 days</v>
      </c>
      <c r="L3176">
        <v>1</v>
      </c>
      <c r="M3176">
        <v>2</v>
      </c>
      <c r="N3176">
        <v>1</v>
      </c>
      <c r="O3176" t="s">
        <v>25</v>
      </c>
      <c r="P3176" t="s">
        <v>26</v>
      </c>
      <c r="Q3176">
        <v>14.5</v>
      </c>
      <c r="R3176">
        <v>21</v>
      </c>
      <c r="S3176" t="s">
        <v>27</v>
      </c>
    </row>
    <row r="3177" spans="1:19" x14ac:dyDescent="0.3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 t="str">
        <f t="shared" si="49"/>
        <v>31-60 days</v>
      </c>
      <c r="L3177">
        <v>37</v>
      </c>
      <c r="M3177">
        <v>3</v>
      </c>
      <c r="N3177">
        <v>0</v>
      </c>
      <c r="O3177" t="s">
        <v>25</v>
      </c>
      <c r="P3177" t="s">
        <v>35</v>
      </c>
      <c r="Q3177">
        <v>8.1999999999999993</v>
      </c>
      <c r="R3177">
        <v>43</v>
      </c>
      <c r="S3177" t="s">
        <v>36</v>
      </c>
    </row>
    <row r="3178" spans="1:19" x14ac:dyDescent="0.3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 t="str">
        <f t="shared" si="49"/>
        <v>8-14 days</v>
      </c>
      <c r="L3178">
        <v>9</v>
      </c>
      <c r="M3178">
        <v>2</v>
      </c>
      <c r="N3178">
        <v>0</v>
      </c>
      <c r="O3178" t="s">
        <v>25</v>
      </c>
      <c r="P3178" t="s">
        <v>35</v>
      </c>
      <c r="Q3178">
        <v>7</v>
      </c>
      <c r="R3178">
        <v>22</v>
      </c>
      <c r="S3178" t="s">
        <v>36</v>
      </c>
    </row>
    <row r="3179" spans="1:19" x14ac:dyDescent="0.3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 t="str">
        <f t="shared" si="49"/>
        <v>0-7 days</v>
      </c>
      <c r="L3179">
        <v>4</v>
      </c>
      <c r="M3179">
        <v>5</v>
      </c>
      <c r="N3179">
        <v>1</v>
      </c>
      <c r="O3179" t="s">
        <v>25</v>
      </c>
      <c r="P3179" t="s">
        <v>50</v>
      </c>
      <c r="Q3179">
        <v>12.1</v>
      </c>
      <c r="R3179">
        <v>51</v>
      </c>
      <c r="S3179" t="s">
        <v>27</v>
      </c>
    </row>
    <row r="3180" spans="1:19" x14ac:dyDescent="0.3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 t="str">
        <f t="shared" si="49"/>
        <v>31-60 days</v>
      </c>
      <c r="L3180">
        <v>40</v>
      </c>
      <c r="M3180">
        <v>2</v>
      </c>
      <c r="N3180">
        <v>1</v>
      </c>
      <c r="O3180" t="s">
        <v>54</v>
      </c>
      <c r="P3180" t="s">
        <v>55</v>
      </c>
      <c r="Q3180">
        <v>4.4000000000000004</v>
      </c>
      <c r="R3180">
        <v>18</v>
      </c>
      <c r="S3180" t="s">
        <v>27</v>
      </c>
    </row>
    <row r="3181" spans="1:19" x14ac:dyDescent="0.3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 t="str">
        <f t="shared" si="49"/>
        <v>8-14 days</v>
      </c>
      <c r="L3181">
        <v>10</v>
      </c>
      <c r="M3181">
        <v>3</v>
      </c>
      <c r="N3181">
        <v>2</v>
      </c>
      <c r="O3181" t="s">
        <v>25</v>
      </c>
      <c r="P3181" t="s">
        <v>35</v>
      </c>
      <c r="Q3181">
        <v>9.4</v>
      </c>
      <c r="R3181">
        <v>17</v>
      </c>
      <c r="S3181" t="s">
        <v>27</v>
      </c>
    </row>
    <row r="3182" spans="1:19" x14ac:dyDescent="0.3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 t="str">
        <f t="shared" si="49"/>
        <v>15-30 days</v>
      </c>
      <c r="L3182">
        <v>29</v>
      </c>
      <c r="M3182">
        <v>0</v>
      </c>
      <c r="N3182">
        <v>0</v>
      </c>
      <c r="O3182" t="s">
        <v>25</v>
      </c>
      <c r="P3182" t="s">
        <v>35</v>
      </c>
      <c r="Q3182">
        <v>1.5</v>
      </c>
      <c r="R3182">
        <v>15</v>
      </c>
      <c r="S3182" t="s">
        <v>27</v>
      </c>
    </row>
    <row r="3183" spans="1:19" x14ac:dyDescent="0.3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 t="str">
        <f t="shared" si="49"/>
        <v>0-7 days</v>
      </c>
      <c r="L3183">
        <v>6</v>
      </c>
      <c r="M3183">
        <v>5</v>
      </c>
      <c r="N3183">
        <v>1</v>
      </c>
      <c r="O3183" t="s">
        <v>25</v>
      </c>
      <c r="P3183" t="s">
        <v>35</v>
      </c>
      <c r="Q3183">
        <v>11.6</v>
      </c>
      <c r="R3183">
        <v>15</v>
      </c>
      <c r="S3183" t="s">
        <v>27</v>
      </c>
    </row>
    <row r="3184" spans="1:19" x14ac:dyDescent="0.3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 t="str">
        <f t="shared" si="49"/>
        <v>31-60 days</v>
      </c>
      <c r="L3184">
        <v>45</v>
      </c>
      <c r="M3184">
        <v>5</v>
      </c>
      <c r="N3184">
        <v>0</v>
      </c>
      <c r="O3184" t="s">
        <v>25</v>
      </c>
      <c r="P3184" t="s">
        <v>50</v>
      </c>
      <c r="Q3184">
        <v>17.3</v>
      </c>
      <c r="R3184">
        <v>32</v>
      </c>
      <c r="S3184" t="s">
        <v>36</v>
      </c>
    </row>
    <row r="3185" spans="1:19" x14ac:dyDescent="0.3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 t="str">
        <f t="shared" si="49"/>
        <v>31-60 days</v>
      </c>
      <c r="L3185">
        <v>46</v>
      </c>
      <c r="M3185">
        <v>4</v>
      </c>
      <c r="N3185">
        <v>0</v>
      </c>
      <c r="O3185" t="s">
        <v>25</v>
      </c>
      <c r="P3185" t="s">
        <v>35</v>
      </c>
      <c r="Q3185">
        <v>21.5</v>
      </c>
      <c r="R3185">
        <v>9</v>
      </c>
      <c r="S3185" t="s">
        <v>27</v>
      </c>
    </row>
    <row r="3186" spans="1:19" x14ac:dyDescent="0.3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 t="str">
        <f t="shared" si="49"/>
        <v>31-60 days</v>
      </c>
      <c r="L3186">
        <v>35</v>
      </c>
      <c r="M3186">
        <v>1</v>
      </c>
      <c r="N3186">
        <v>0</v>
      </c>
      <c r="O3186" t="s">
        <v>54</v>
      </c>
      <c r="P3186" t="s">
        <v>55</v>
      </c>
      <c r="Q3186">
        <v>15.3</v>
      </c>
      <c r="R3186">
        <v>13</v>
      </c>
      <c r="S3186" t="s">
        <v>27</v>
      </c>
    </row>
    <row r="3187" spans="1:19" x14ac:dyDescent="0.3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 t="str">
        <f t="shared" si="49"/>
        <v>31-60 days</v>
      </c>
      <c r="L3187">
        <v>50</v>
      </c>
      <c r="M3187">
        <v>5</v>
      </c>
      <c r="N3187">
        <v>1</v>
      </c>
      <c r="O3187" t="s">
        <v>25</v>
      </c>
      <c r="P3187" t="s">
        <v>26</v>
      </c>
      <c r="Q3187">
        <v>13.2</v>
      </c>
      <c r="R3187">
        <v>30</v>
      </c>
      <c r="S3187" t="s">
        <v>27</v>
      </c>
    </row>
    <row r="3188" spans="1:19" x14ac:dyDescent="0.3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 t="str">
        <f t="shared" si="49"/>
        <v>15-30 days</v>
      </c>
      <c r="L3188">
        <v>26</v>
      </c>
      <c r="M3188">
        <v>2</v>
      </c>
      <c r="N3188">
        <v>0</v>
      </c>
      <c r="O3188" t="s">
        <v>25</v>
      </c>
      <c r="P3188" t="s">
        <v>35</v>
      </c>
      <c r="Q3188">
        <v>8.1</v>
      </c>
      <c r="R3188">
        <v>2</v>
      </c>
      <c r="S3188" t="s">
        <v>27</v>
      </c>
    </row>
    <row r="3189" spans="1:19" x14ac:dyDescent="0.3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 t="str">
        <f t="shared" si="49"/>
        <v>8-14 days</v>
      </c>
      <c r="L3189">
        <v>11</v>
      </c>
      <c r="M3189">
        <v>3</v>
      </c>
      <c r="N3189">
        <v>1</v>
      </c>
      <c r="O3189" t="s">
        <v>25</v>
      </c>
      <c r="P3189" t="s">
        <v>35</v>
      </c>
      <c r="Q3189">
        <v>13.7</v>
      </c>
      <c r="R3189">
        <v>8</v>
      </c>
      <c r="S3189" t="s">
        <v>27</v>
      </c>
    </row>
    <row r="3190" spans="1:19" x14ac:dyDescent="0.3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 t="str">
        <f t="shared" si="49"/>
        <v>8-14 days</v>
      </c>
      <c r="L3190">
        <v>9</v>
      </c>
      <c r="M3190">
        <v>4</v>
      </c>
      <c r="N3190">
        <v>1</v>
      </c>
      <c r="O3190" t="s">
        <v>25</v>
      </c>
      <c r="P3190" t="s">
        <v>35</v>
      </c>
      <c r="Q3190">
        <v>8.9</v>
      </c>
      <c r="R3190">
        <v>23</v>
      </c>
      <c r="S3190" t="s">
        <v>27</v>
      </c>
    </row>
    <row r="3191" spans="1:19" x14ac:dyDescent="0.3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 t="str">
        <f t="shared" si="49"/>
        <v>8-14 days</v>
      </c>
      <c r="L3191">
        <v>13</v>
      </c>
      <c r="M3191">
        <v>3</v>
      </c>
      <c r="N3191">
        <v>0</v>
      </c>
      <c r="O3191" t="s">
        <v>25</v>
      </c>
      <c r="P3191" t="s">
        <v>26</v>
      </c>
      <c r="Q3191">
        <v>3.2</v>
      </c>
      <c r="R3191">
        <v>28</v>
      </c>
      <c r="S3191" t="s">
        <v>36</v>
      </c>
    </row>
    <row r="3192" spans="1:19" x14ac:dyDescent="0.3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 t="str">
        <f t="shared" si="49"/>
        <v>8-14 days</v>
      </c>
      <c r="L3192">
        <v>12</v>
      </c>
      <c r="M3192">
        <v>3</v>
      </c>
      <c r="N3192">
        <v>0</v>
      </c>
      <c r="O3192" t="s">
        <v>25</v>
      </c>
      <c r="P3192" t="s">
        <v>26</v>
      </c>
      <c r="Q3192">
        <v>17.8</v>
      </c>
      <c r="R3192">
        <v>20</v>
      </c>
      <c r="S3192" t="s">
        <v>27</v>
      </c>
    </row>
    <row r="3193" spans="1:19" x14ac:dyDescent="0.3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 t="str">
        <f t="shared" si="49"/>
        <v>15-30 days</v>
      </c>
      <c r="L3193">
        <v>19</v>
      </c>
      <c r="M3193">
        <v>7</v>
      </c>
      <c r="N3193">
        <v>2</v>
      </c>
      <c r="O3193" t="s">
        <v>54</v>
      </c>
      <c r="P3193" t="s">
        <v>55</v>
      </c>
      <c r="Q3193">
        <v>1.5</v>
      </c>
      <c r="R3193">
        <v>29</v>
      </c>
      <c r="S3193" t="s">
        <v>36</v>
      </c>
    </row>
    <row r="3194" spans="1:19" x14ac:dyDescent="0.3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 t="str">
        <f t="shared" si="49"/>
        <v>8-14 days</v>
      </c>
      <c r="L3194">
        <v>13</v>
      </c>
      <c r="M3194">
        <v>1</v>
      </c>
      <c r="N3194">
        <v>0</v>
      </c>
      <c r="O3194" t="s">
        <v>25</v>
      </c>
      <c r="P3194" t="s">
        <v>26</v>
      </c>
      <c r="Q3194">
        <v>6.1</v>
      </c>
      <c r="R3194">
        <v>15</v>
      </c>
      <c r="S3194" t="s">
        <v>27</v>
      </c>
    </row>
    <row r="3195" spans="1:19" x14ac:dyDescent="0.3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 t="str">
        <f t="shared" si="49"/>
        <v>31-60 days</v>
      </c>
      <c r="L3195">
        <v>36</v>
      </c>
      <c r="M3195">
        <v>0</v>
      </c>
      <c r="N3195">
        <v>0</v>
      </c>
      <c r="O3195" t="s">
        <v>25</v>
      </c>
      <c r="P3195" t="s">
        <v>35</v>
      </c>
      <c r="Q3195">
        <v>4.8</v>
      </c>
      <c r="R3195">
        <v>41</v>
      </c>
      <c r="S3195" t="s">
        <v>36</v>
      </c>
    </row>
    <row r="3196" spans="1:19" x14ac:dyDescent="0.3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 t="str">
        <f t="shared" si="49"/>
        <v>8-14 days</v>
      </c>
      <c r="L3196">
        <v>9</v>
      </c>
      <c r="M3196">
        <v>4</v>
      </c>
      <c r="N3196">
        <v>0</v>
      </c>
      <c r="O3196" t="s">
        <v>25</v>
      </c>
      <c r="P3196" t="s">
        <v>50</v>
      </c>
      <c r="Q3196">
        <v>9</v>
      </c>
      <c r="R3196">
        <v>34</v>
      </c>
      <c r="S3196" t="s">
        <v>36</v>
      </c>
    </row>
    <row r="3197" spans="1:19" x14ac:dyDescent="0.3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 t="str">
        <f t="shared" si="49"/>
        <v>31-60 days</v>
      </c>
      <c r="L3197">
        <v>37</v>
      </c>
      <c r="M3197">
        <v>1</v>
      </c>
      <c r="N3197">
        <v>0</v>
      </c>
      <c r="O3197" t="s">
        <v>25</v>
      </c>
      <c r="P3197" t="s">
        <v>35</v>
      </c>
      <c r="Q3197">
        <v>15</v>
      </c>
      <c r="R3197">
        <v>15</v>
      </c>
      <c r="S3197" t="s">
        <v>36</v>
      </c>
    </row>
    <row r="3198" spans="1:19" x14ac:dyDescent="0.3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 t="str">
        <f t="shared" si="49"/>
        <v>15-30 days</v>
      </c>
      <c r="L3198">
        <v>20</v>
      </c>
      <c r="M3198">
        <v>0</v>
      </c>
      <c r="N3198">
        <v>0</v>
      </c>
      <c r="O3198" t="s">
        <v>25</v>
      </c>
      <c r="P3198" t="s">
        <v>35</v>
      </c>
      <c r="Q3198">
        <v>12.8</v>
      </c>
      <c r="R3198">
        <v>22</v>
      </c>
      <c r="S3198" t="s">
        <v>36</v>
      </c>
    </row>
    <row r="3199" spans="1:19" x14ac:dyDescent="0.3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 t="str">
        <f t="shared" si="49"/>
        <v>31-60 days</v>
      </c>
      <c r="L3199">
        <v>41</v>
      </c>
      <c r="M3199">
        <v>2</v>
      </c>
      <c r="N3199">
        <v>0</v>
      </c>
      <c r="O3199" t="s">
        <v>54</v>
      </c>
      <c r="P3199" t="s">
        <v>55</v>
      </c>
      <c r="Q3199">
        <v>2.1</v>
      </c>
      <c r="R3199">
        <v>2</v>
      </c>
      <c r="S3199" t="s">
        <v>36</v>
      </c>
    </row>
    <row r="3200" spans="1:19" x14ac:dyDescent="0.3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 t="str">
        <f t="shared" si="49"/>
        <v>31-60 days</v>
      </c>
      <c r="L3200">
        <v>31</v>
      </c>
      <c r="M3200">
        <v>0</v>
      </c>
      <c r="N3200">
        <v>0</v>
      </c>
      <c r="O3200" t="s">
        <v>54</v>
      </c>
      <c r="P3200" t="s">
        <v>55</v>
      </c>
      <c r="Q3200">
        <v>3.3</v>
      </c>
      <c r="R3200">
        <v>34</v>
      </c>
      <c r="S3200" t="s">
        <v>27</v>
      </c>
    </row>
    <row r="3201" spans="1:19" x14ac:dyDescent="0.3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 t="str">
        <f t="shared" si="49"/>
        <v>31-60 days</v>
      </c>
      <c r="L3201">
        <v>55</v>
      </c>
      <c r="M3201">
        <v>4</v>
      </c>
      <c r="N3201">
        <v>1</v>
      </c>
      <c r="O3201" t="s">
        <v>25</v>
      </c>
      <c r="P3201" t="s">
        <v>35</v>
      </c>
      <c r="Q3201">
        <v>13.2</v>
      </c>
      <c r="R3201">
        <v>10</v>
      </c>
      <c r="S3201" t="s">
        <v>27</v>
      </c>
    </row>
    <row r="3202" spans="1:19" x14ac:dyDescent="0.3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 t="str">
        <f t="shared" si="49"/>
        <v>15-30 days</v>
      </c>
      <c r="L3202">
        <v>26</v>
      </c>
      <c r="M3202">
        <v>4</v>
      </c>
      <c r="N3202">
        <v>1</v>
      </c>
      <c r="O3202" t="s">
        <v>54</v>
      </c>
      <c r="P3202" t="s">
        <v>55</v>
      </c>
      <c r="Q3202">
        <v>31.4</v>
      </c>
      <c r="R3202">
        <v>18</v>
      </c>
      <c r="S3202" t="s">
        <v>36</v>
      </c>
    </row>
    <row r="3203" spans="1:19" x14ac:dyDescent="0.3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 t="str">
        <f t="shared" ref="K3203:K3266" si="50">IF(L3203&lt;=7,"0-7 days",IF(L3203&lt;=14,"8-14 days",IF(L3203&lt;=30,"15-30 days","31-60 days")))</f>
        <v>15-30 days</v>
      </c>
      <c r="L3203">
        <v>17</v>
      </c>
      <c r="M3203">
        <v>3</v>
      </c>
      <c r="N3203">
        <v>0</v>
      </c>
      <c r="O3203" t="s">
        <v>25</v>
      </c>
      <c r="P3203" t="s">
        <v>35</v>
      </c>
      <c r="Q3203">
        <v>5.6</v>
      </c>
      <c r="R3203">
        <v>21</v>
      </c>
      <c r="S3203" t="s">
        <v>27</v>
      </c>
    </row>
    <row r="3204" spans="1:19" x14ac:dyDescent="0.3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 t="str">
        <f t="shared" si="50"/>
        <v>31-60 days</v>
      </c>
      <c r="L3204">
        <v>35</v>
      </c>
      <c r="M3204">
        <v>1</v>
      </c>
      <c r="N3204">
        <v>0</v>
      </c>
      <c r="O3204" t="s">
        <v>54</v>
      </c>
      <c r="P3204" t="s">
        <v>55</v>
      </c>
      <c r="Q3204">
        <v>3</v>
      </c>
      <c r="R3204">
        <v>9</v>
      </c>
      <c r="S3204" t="s">
        <v>27</v>
      </c>
    </row>
    <row r="3205" spans="1:19" x14ac:dyDescent="0.3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 t="str">
        <f t="shared" si="50"/>
        <v>31-60 days</v>
      </c>
      <c r="L3205">
        <v>40</v>
      </c>
      <c r="M3205">
        <v>6</v>
      </c>
      <c r="N3205">
        <v>0</v>
      </c>
      <c r="O3205" t="s">
        <v>25</v>
      </c>
      <c r="P3205" t="s">
        <v>35</v>
      </c>
      <c r="Q3205">
        <v>6.6</v>
      </c>
      <c r="R3205">
        <v>15</v>
      </c>
      <c r="S3205" t="s">
        <v>27</v>
      </c>
    </row>
    <row r="3206" spans="1:19" x14ac:dyDescent="0.3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 t="str">
        <f t="shared" si="50"/>
        <v>15-30 days</v>
      </c>
      <c r="L3206">
        <v>26</v>
      </c>
      <c r="M3206">
        <v>2</v>
      </c>
      <c r="N3206">
        <v>0</v>
      </c>
      <c r="O3206" t="s">
        <v>25</v>
      </c>
      <c r="P3206" t="s">
        <v>35</v>
      </c>
      <c r="Q3206">
        <v>2.7</v>
      </c>
      <c r="R3206">
        <v>28</v>
      </c>
      <c r="S3206" t="s">
        <v>36</v>
      </c>
    </row>
    <row r="3207" spans="1:19" x14ac:dyDescent="0.3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 t="str">
        <f t="shared" si="50"/>
        <v>31-60 days</v>
      </c>
      <c r="L3207">
        <v>34</v>
      </c>
      <c r="M3207">
        <v>2</v>
      </c>
      <c r="N3207">
        <v>0</v>
      </c>
      <c r="O3207" t="s">
        <v>25</v>
      </c>
      <c r="P3207" t="s">
        <v>50</v>
      </c>
      <c r="Q3207">
        <v>7.6</v>
      </c>
      <c r="R3207">
        <v>19</v>
      </c>
      <c r="S3207" t="s">
        <v>36</v>
      </c>
    </row>
    <row r="3208" spans="1:19" x14ac:dyDescent="0.3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 t="str">
        <f t="shared" si="50"/>
        <v>15-30 days</v>
      </c>
      <c r="L3208">
        <v>28</v>
      </c>
      <c r="M3208">
        <v>2</v>
      </c>
      <c r="N3208">
        <v>1</v>
      </c>
      <c r="O3208" t="s">
        <v>25</v>
      </c>
      <c r="P3208" t="s">
        <v>35</v>
      </c>
      <c r="Q3208">
        <v>9.1</v>
      </c>
      <c r="R3208">
        <v>34</v>
      </c>
      <c r="S3208" t="s">
        <v>36</v>
      </c>
    </row>
    <row r="3209" spans="1:19" x14ac:dyDescent="0.3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 t="str">
        <f t="shared" si="50"/>
        <v>15-30 days</v>
      </c>
      <c r="L3209">
        <v>18</v>
      </c>
      <c r="M3209">
        <v>2</v>
      </c>
      <c r="N3209">
        <v>0</v>
      </c>
      <c r="O3209" t="s">
        <v>25</v>
      </c>
      <c r="P3209" t="s">
        <v>35</v>
      </c>
      <c r="Q3209">
        <v>17.100000000000001</v>
      </c>
      <c r="R3209">
        <v>32</v>
      </c>
      <c r="S3209" t="s">
        <v>27</v>
      </c>
    </row>
    <row r="3210" spans="1:19" x14ac:dyDescent="0.3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 t="str">
        <f t="shared" si="50"/>
        <v>15-30 days</v>
      </c>
      <c r="L3210">
        <v>19</v>
      </c>
      <c r="M3210">
        <v>3</v>
      </c>
      <c r="N3210">
        <v>1</v>
      </c>
      <c r="O3210" t="s">
        <v>25</v>
      </c>
      <c r="P3210" t="s">
        <v>35</v>
      </c>
      <c r="Q3210">
        <v>12.1</v>
      </c>
      <c r="R3210">
        <v>15</v>
      </c>
      <c r="S3210" t="s">
        <v>36</v>
      </c>
    </row>
    <row r="3211" spans="1:19" x14ac:dyDescent="0.3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 t="str">
        <f t="shared" si="50"/>
        <v>31-60 days</v>
      </c>
      <c r="L3211">
        <v>55</v>
      </c>
      <c r="M3211">
        <v>0</v>
      </c>
      <c r="N3211">
        <v>0</v>
      </c>
      <c r="O3211" t="s">
        <v>25</v>
      </c>
      <c r="P3211" t="s">
        <v>26</v>
      </c>
      <c r="Q3211">
        <v>14.6</v>
      </c>
      <c r="R3211">
        <v>19</v>
      </c>
      <c r="S3211" t="s">
        <v>27</v>
      </c>
    </row>
    <row r="3212" spans="1:19" x14ac:dyDescent="0.3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 t="str">
        <f t="shared" si="50"/>
        <v>31-60 days</v>
      </c>
      <c r="L3212">
        <v>41</v>
      </c>
      <c r="M3212">
        <v>2</v>
      </c>
      <c r="N3212">
        <v>0</v>
      </c>
      <c r="O3212" t="s">
        <v>25</v>
      </c>
      <c r="P3212" t="s">
        <v>26</v>
      </c>
      <c r="Q3212">
        <v>7.6</v>
      </c>
      <c r="R3212">
        <v>19</v>
      </c>
      <c r="S3212" t="s">
        <v>36</v>
      </c>
    </row>
    <row r="3213" spans="1:19" x14ac:dyDescent="0.3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 t="str">
        <f t="shared" si="50"/>
        <v>0-7 days</v>
      </c>
      <c r="L3213">
        <v>5</v>
      </c>
      <c r="M3213">
        <v>3</v>
      </c>
      <c r="N3213">
        <v>1</v>
      </c>
      <c r="O3213" t="s">
        <v>25</v>
      </c>
      <c r="P3213" t="s">
        <v>50</v>
      </c>
      <c r="Q3213">
        <v>24.9</v>
      </c>
      <c r="R3213">
        <v>20</v>
      </c>
      <c r="S3213" t="s">
        <v>36</v>
      </c>
    </row>
    <row r="3214" spans="1:19" x14ac:dyDescent="0.3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 t="str">
        <f t="shared" si="50"/>
        <v>31-60 days</v>
      </c>
      <c r="L3214">
        <v>58</v>
      </c>
      <c r="M3214">
        <v>3</v>
      </c>
      <c r="N3214">
        <v>1</v>
      </c>
      <c r="O3214" t="s">
        <v>25</v>
      </c>
      <c r="P3214" t="s">
        <v>26</v>
      </c>
      <c r="Q3214">
        <v>2.7</v>
      </c>
      <c r="R3214">
        <v>40</v>
      </c>
      <c r="S3214" t="s">
        <v>27</v>
      </c>
    </row>
    <row r="3215" spans="1:19" x14ac:dyDescent="0.3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 t="str">
        <f t="shared" si="50"/>
        <v>31-60 days</v>
      </c>
      <c r="L3215">
        <v>43</v>
      </c>
      <c r="M3215">
        <v>2</v>
      </c>
      <c r="N3215">
        <v>0</v>
      </c>
      <c r="O3215" t="s">
        <v>54</v>
      </c>
      <c r="P3215" t="s">
        <v>55</v>
      </c>
      <c r="Q3215">
        <v>7.8</v>
      </c>
      <c r="R3215">
        <v>26</v>
      </c>
      <c r="S3215" t="s">
        <v>71</v>
      </c>
    </row>
    <row r="3216" spans="1:19" x14ac:dyDescent="0.3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 t="str">
        <f t="shared" si="50"/>
        <v>0-7 days</v>
      </c>
      <c r="L3216">
        <v>3</v>
      </c>
      <c r="M3216">
        <v>2</v>
      </c>
      <c r="N3216">
        <v>0</v>
      </c>
      <c r="O3216" t="s">
        <v>25</v>
      </c>
      <c r="P3216" t="s">
        <v>26</v>
      </c>
      <c r="Q3216">
        <v>7.6</v>
      </c>
      <c r="R3216">
        <v>6</v>
      </c>
      <c r="S3216" t="s">
        <v>36</v>
      </c>
    </row>
    <row r="3217" spans="1:19" x14ac:dyDescent="0.3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 t="str">
        <f t="shared" si="50"/>
        <v>31-60 days</v>
      </c>
      <c r="L3217">
        <v>44</v>
      </c>
      <c r="M3217">
        <v>3</v>
      </c>
      <c r="N3217">
        <v>1</v>
      </c>
      <c r="O3217" t="s">
        <v>25</v>
      </c>
      <c r="P3217" t="s">
        <v>35</v>
      </c>
      <c r="Q3217">
        <v>5</v>
      </c>
      <c r="R3217">
        <v>17</v>
      </c>
      <c r="S3217" t="s">
        <v>27</v>
      </c>
    </row>
    <row r="3218" spans="1:19" x14ac:dyDescent="0.3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 t="str">
        <f t="shared" si="50"/>
        <v>31-60 days</v>
      </c>
      <c r="L3218">
        <v>35</v>
      </c>
      <c r="M3218">
        <v>2</v>
      </c>
      <c r="N3218">
        <v>1</v>
      </c>
      <c r="O3218" t="s">
        <v>54</v>
      </c>
      <c r="P3218" t="s">
        <v>55</v>
      </c>
      <c r="Q3218">
        <v>19.100000000000001</v>
      </c>
      <c r="R3218">
        <v>19</v>
      </c>
      <c r="S3218" t="s">
        <v>27</v>
      </c>
    </row>
    <row r="3219" spans="1:19" x14ac:dyDescent="0.3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 t="str">
        <f t="shared" si="50"/>
        <v>31-60 days</v>
      </c>
      <c r="L3219">
        <v>55</v>
      </c>
      <c r="M3219">
        <v>1</v>
      </c>
      <c r="N3219">
        <v>0</v>
      </c>
      <c r="O3219" t="s">
        <v>25</v>
      </c>
      <c r="P3219" t="s">
        <v>50</v>
      </c>
      <c r="Q3219">
        <v>0.7</v>
      </c>
      <c r="R3219">
        <v>29</v>
      </c>
      <c r="S3219" t="s">
        <v>27</v>
      </c>
    </row>
    <row r="3220" spans="1:19" x14ac:dyDescent="0.3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 t="str">
        <f t="shared" si="50"/>
        <v>15-30 days</v>
      </c>
      <c r="L3220">
        <v>29</v>
      </c>
      <c r="M3220">
        <v>2</v>
      </c>
      <c r="N3220">
        <v>0</v>
      </c>
      <c r="O3220" t="s">
        <v>25</v>
      </c>
      <c r="P3220" t="s">
        <v>26</v>
      </c>
      <c r="Q3220">
        <v>3.7</v>
      </c>
      <c r="R3220">
        <v>44</v>
      </c>
      <c r="S3220" t="s">
        <v>36</v>
      </c>
    </row>
    <row r="3221" spans="1:19" x14ac:dyDescent="0.3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 t="str">
        <f t="shared" si="50"/>
        <v>31-60 days</v>
      </c>
      <c r="L3221">
        <v>31</v>
      </c>
      <c r="M3221">
        <v>6</v>
      </c>
      <c r="N3221">
        <v>1</v>
      </c>
      <c r="O3221" t="s">
        <v>54</v>
      </c>
      <c r="P3221" t="s">
        <v>55</v>
      </c>
      <c r="Q3221">
        <v>9.1</v>
      </c>
      <c r="R3221">
        <v>33</v>
      </c>
      <c r="S3221" t="s">
        <v>36</v>
      </c>
    </row>
    <row r="3222" spans="1:19" x14ac:dyDescent="0.3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 t="str">
        <f t="shared" si="50"/>
        <v>15-30 days</v>
      </c>
      <c r="L3222">
        <v>19</v>
      </c>
      <c r="M3222">
        <v>6</v>
      </c>
      <c r="N3222">
        <v>2</v>
      </c>
      <c r="O3222" t="s">
        <v>25</v>
      </c>
      <c r="P3222" t="s">
        <v>35</v>
      </c>
      <c r="Q3222">
        <v>6.8</v>
      </c>
      <c r="R3222">
        <v>23</v>
      </c>
      <c r="S3222" t="s">
        <v>36</v>
      </c>
    </row>
    <row r="3223" spans="1:19" x14ac:dyDescent="0.3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 t="str">
        <f t="shared" si="50"/>
        <v>15-30 days</v>
      </c>
      <c r="L3223">
        <v>19</v>
      </c>
      <c r="M3223">
        <v>1</v>
      </c>
      <c r="N3223">
        <v>0</v>
      </c>
      <c r="O3223" t="s">
        <v>25</v>
      </c>
      <c r="P3223" t="s">
        <v>26</v>
      </c>
      <c r="Q3223">
        <v>8</v>
      </c>
      <c r="R3223">
        <v>15</v>
      </c>
      <c r="S3223" t="s">
        <v>36</v>
      </c>
    </row>
    <row r="3224" spans="1:19" x14ac:dyDescent="0.3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 t="str">
        <f t="shared" si="50"/>
        <v>31-60 days</v>
      </c>
      <c r="L3224">
        <v>37</v>
      </c>
      <c r="M3224">
        <v>2</v>
      </c>
      <c r="N3224">
        <v>0</v>
      </c>
      <c r="O3224" t="s">
        <v>25</v>
      </c>
      <c r="P3224" t="s">
        <v>35</v>
      </c>
      <c r="Q3224">
        <v>4</v>
      </c>
      <c r="R3224">
        <v>40</v>
      </c>
      <c r="S3224" t="s">
        <v>27</v>
      </c>
    </row>
    <row r="3225" spans="1:19" x14ac:dyDescent="0.3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 t="str">
        <f t="shared" si="50"/>
        <v>31-60 days</v>
      </c>
      <c r="L3225">
        <v>50</v>
      </c>
      <c r="M3225">
        <v>3</v>
      </c>
      <c r="N3225">
        <v>1</v>
      </c>
      <c r="O3225" t="s">
        <v>25</v>
      </c>
      <c r="P3225" t="s">
        <v>35</v>
      </c>
      <c r="Q3225">
        <v>5.7</v>
      </c>
      <c r="R3225">
        <v>21</v>
      </c>
      <c r="S3225" t="s">
        <v>27</v>
      </c>
    </row>
    <row r="3226" spans="1:19" x14ac:dyDescent="0.3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 t="str">
        <f t="shared" si="50"/>
        <v>31-60 days</v>
      </c>
      <c r="L3226">
        <v>54</v>
      </c>
      <c r="M3226">
        <v>2</v>
      </c>
      <c r="N3226">
        <v>1</v>
      </c>
      <c r="O3226" t="s">
        <v>54</v>
      </c>
      <c r="P3226" t="s">
        <v>55</v>
      </c>
      <c r="Q3226">
        <v>16.600000000000001</v>
      </c>
      <c r="R3226">
        <v>8</v>
      </c>
      <c r="S3226" t="s">
        <v>27</v>
      </c>
    </row>
    <row r="3227" spans="1:19" x14ac:dyDescent="0.3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 t="str">
        <f t="shared" si="50"/>
        <v>31-60 days</v>
      </c>
      <c r="L3227">
        <v>47</v>
      </c>
      <c r="M3227">
        <v>4</v>
      </c>
      <c r="N3227">
        <v>1</v>
      </c>
      <c r="O3227" t="s">
        <v>25</v>
      </c>
      <c r="P3227" t="s">
        <v>35</v>
      </c>
      <c r="Q3227">
        <v>12.8</v>
      </c>
      <c r="R3227">
        <v>28</v>
      </c>
      <c r="S3227" t="s">
        <v>27</v>
      </c>
    </row>
    <row r="3228" spans="1:19" x14ac:dyDescent="0.3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 t="str">
        <f t="shared" si="50"/>
        <v>31-60 days</v>
      </c>
      <c r="L3228">
        <v>37</v>
      </c>
      <c r="M3228">
        <v>4</v>
      </c>
      <c r="N3228">
        <v>0</v>
      </c>
      <c r="O3228" t="s">
        <v>54</v>
      </c>
      <c r="P3228" t="s">
        <v>55</v>
      </c>
      <c r="Q3228">
        <v>8.3000000000000007</v>
      </c>
      <c r="R3228">
        <v>10</v>
      </c>
      <c r="S3228" t="s">
        <v>36</v>
      </c>
    </row>
    <row r="3229" spans="1:19" x14ac:dyDescent="0.3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 t="str">
        <f t="shared" si="50"/>
        <v>15-30 days</v>
      </c>
      <c r="L3229">
        <v>30</v>
      </c>
      <c r="M3229">
        <v>3</v>
      </c>
      <c r="N3229">
        <v>0</v>
      </c>
      <c r="O3229" t="s">
        <v>25</v>
      </c>
      <c r="P3229" t="s">
        <v>35</v>
      </c>
      <c r="Q3229">
        <v>14.1</v>
      </c>
      <c r="R3229">
        <v>31</v>
      </c>
      <c r="S3229" t="s">
        <v>36</v>
      </c>
    </row>
    <row r="3230" spans="1:19" x14ac:dyDescent="0.3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 t="str">
        <f t="shared" si="50"/>
        <v>15-30 days</v>
      </c>
      <c r="L3230">
        <v>20</v>
      </c>
      <c r="M3230">
        <v>3</v>
      </c>
      <c r="N3230">
        <v>1</v>
      </c>
      <c r="O3230" t="s">
        <v>25</v>
      </c>
      <c r="P3230" t="s">
        <v>26</v>
      </c>
      <c r="Q3230">
        <v>16.100000000000001</v>
      </c>
      <c r="R3230">
        <v>20</v>
      </c>
      <c r="S3230" t="s">
        <v>27</v>
      </c>
    </row>
    <row r="3231" spans="1:19" x14ac:dyDescent="0.3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 t="str">
        <f t="shared" si="50"/>
        <v>31-60 days</v>
      </c>
      <c r="L3231">
        <v>46</v>
      </c>
      <c r="M3231">
        <v>5</v>
      </c>
      <c r="N3231">
        <v>2</v>
      </c>
      <c r="O3231" t="s">
        <v>25</v>
      </c>
      <c r="P3231" t="s">
        <v>35</v>
      </c>
      <c r="Q3231">
        <v>27.7</v>
      </c>
      <c r="R3231">
        <v>21</v>
      </c>
      <c r="S3231" t="s">
        <v>27</v>
      </c>
    </row>
    <row r="3232" spans="1:19" x14ac:dyDescent="0.3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 t="str">
        <f t="shared" si="50"/>
        <v>15-30 days</v>
      </c>
      <c r="L3232">
        <v>19</v>
      </c>
      <c r="M3232">
        <v>2</v>
      </c>
      <c r="N3232">
        <v>0</v>
      </c>
      <c r="O3232" t="s">
        <v>25</v>
      </c>
      <c r="P3232" t="s">
        <v>50</v>
      </c>
      <c r="Q3232">
        <v>13.6</v>
      </c>
      <c r="R3232">
        <v>2</v>
      </c>
      <c r="S3232" t="s">
        <v>27</v>
      </c>
    </row>
    <row r="3233" spans="1:19" x14ac:dyDescent="0.3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 t="str">
        <f t="shared" si="50"/>
        <v>15-30 days</v>
      </c>
      <c r="L3233">
        <v>16</v>
      </c>
      <c r="M3233">
        <v>6</v>
      </c>
      <c r="N3233">
        <v>1</v>
      </c>
      <c r="O3233" t="s">
        <v>54</v>
      </c>
      <c r="P3233" t="s">
        <v>55</v>
      </c>
      <c r="Q3233">
        <v>15.7</v>
      </c>
      <c r="R3233">
        <v>36</v>
      </c>
      <c r="S3233" t="s">
        <v>27</v>
      </c>
    </row>
    <row r="3234" spans="1:19" x14ac:dyDescent="0.3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 t="str">
        <f t="shared" si="50"/>
        <v>31-60 days</v>
      </c>
      <c r="L3234">
        <v>52</v>
      </c>
      <c r="M3234">
        <v>2</v>
      </c>
      <c r="N3234">
        <v>1</v>
      </c>
      <c r="O3234" t="s">
        <v>25</v>
      </c>
      <c r="P3234" t="s">
        <v>35</v>
      </c>
      <c r="Q3234">
        <v>4.7</v>
      </c>
      <c r="R3234">
        <v>11</v>
      </c>
      <c r="S3234" t="s">
        <v>36</v>
      </c>
    </row>
    <row r="3235" spans="1:19" x14ac:dyDescent="0.3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 t="str">
        <f t="shared" si="50"/>
        <v>31-60 days</v>
      </c>
      <c r="L3235">
        <v>35</v>
      </c>
      <c r="M3235">
        <v>4</v>
      </c>
      <c r="N3235">
        <v>0</v>
      </c>
      <c r="O3235" t="s">
        <v>25</v>
      </c>
      <c r="P3235" t="s">
        <v>35</v>
      </c>
      <c r="Q3235">
        <v>11.4</v>
      </c>
      <c r="R3235">
        <v>16</v>
      </c>
      <c r="S3235" t="s">
        <v>36</v>
      </c>
    </row>
    <row r="3236" spans="1:19" x14ac:dyDescent="0.3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 t="str">
        <f t="shared" si="50"/>
        <v>15-30 days</v>
      </c>
      <c r="L3236">
        <v>21</v>
      </c>
      <c r="M3236">
        <v>2</v>
      </c>
      <c r="N3236">
        <v>1</v>
      </c>
      <c r="O3236" t="s">
        <v>25</v>
      </c>
      <c r="P3236" t="s">
        <v>35</v>
      </c>
      <c r="Q3236">
        <v>8.8000000000000007</v>
      </c>
      <c r="R3236">
        <v>26</v>
      </c>
      <c r="S3236" t="s">
        <v>36</v>
      </c>
    </row>
    <row r="3237" spans="1:19" x14ac:dyDescent="0.3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 t="str">
        <f t="shared" si="50"/>
        <v>31-60 days</v>
      </c>
      <c r="L3237">
        <v>52</v>
      </c>
      <c r="M3237">
        <v>4</v>
      </c>
      <c r="N3237">
        <v>1</v>
      </c>
      <c r="O3237" t="s">
        <v>25</v>
      </c>
      <c r="P3237" t="s">
        <v>35</v>
      </c>
      <c r="Q3237">
        <v>16</v>
      </c>
      <c r="R3237">
        <v>22</v>
      </c>
      <c r="S3237" t="s">
        <v>27</v>
      </c>
    </row>
    <row r="3238" spans="1:19" x14ac:dyDescent="0.3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 t="str">
        <f t="shared" si="50"/>
        <v>31-60 days</v>
      </c>
      <c r="L3238">
        <v>58</v>
      </c>
      <c r="M3238">
        <v>1</v>
      </c>
      <c r="N3238">
        <v>0</v>
      </c>
      <c r="O3238" t="s">
        <v>25</v>
      </c>
      <c r="P3238" t="s">
        <v>35</v>
      </c>
      <c r="Q3238">
        <v>15.4</v>
      </c>
      <c r="R3238">
        <v>49</v>
      </c>
      <c r="S3238" t="s">
        <v>27</v>
      </c>
    </row>
    <row r="3239" spans="1:19" x14ac:dyDescent="0.3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 t="str">
        <f t="shared" si="50"/>
        <v>15-30 days</v>
      </c>
      <c r="L3239">
        <v>19</v>
      </c>
      <c r="M3239">
        <v>4</v>
      </c>
      <c r="N3239">
        <v>0</v>
      </c>
      <c r="O3239" t="s">
        <v>25</v>
      </c>
      <c r="P3239" t="s">
        <v>26</v>
      </c>
      <c r="Q3239">
        <v>15.1</v>
      </c>
      <c r="R3239">
        <v>5</v>
      </c>
      <c r="S3239" t="s">
        <v>36</v>
      </c>
    </row>
    <row r="3240" spans="1:19" x14ac:dyDescent="0.3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 t="str">
        <f t="shared" si="50"/>
        <v>31-60 days</v>
      </c>
      <c r="L3240">
        <v>31</v>
      </c>
      <c r="M3240">
        <v>2</v>
      </c>
      <c r="N3240">
        <v>0</v>
      </c>
      <c r="O3240" t="s">
        <v>54</v>
      </c>
      <c r="P3240" t="s">
        <v>55</v>
      </c>
      <c r="Q3240">
        <v>18.5</v>
      </c>
      <c r="R3240">
        <v>20</v>
      </c>
      <c r="S3240" t="s">
        <v>71</v>
      </c>
    </row>
    <row r="3241" spans="1:19" x14ac:dyDescent="0.3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 t="str">
        <f t="shared" si="50"/>
        <v>15-30 days</v>
      </c>
      <c r="L3241">
        <v>29</v>
      </c>
      <c r="M3241">
        <v>3</v>
      </c>
      <c r="N3241">
        <v>2</v>
      </c>
      <c r="O3241" t="s">
        <v>25</v>
      </c>
      <c r="P3241" t="s">
        <v>50</v>
      </c>
      <c r="Q3241">
        <v>12.2</v>
      </c>
      <c r="R3241">
        <v>33</v>
      </c>
      <c r="S3241" t="s">
        <v>36</v>
      </c>
    </row>
    <row r="3242" spans="1:19" x14ac:dyDescent="0.3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 t="str">
        <f t="shared" si="50"/>
        <v>31-60 days</v>
      </c>
      <c r="L3242">
        <v>42</v>
      </c>
      <c r="M3242">
        <v>0</v>
      </c>
      <c r="N3242">
        <v>0</v>
      </c>
      <c r="O3242" t="s">
        <v>25</v>
      </c>
      <c r="P3242" t="s">
        <v>50</v>
      </c>
      <c r="Q3242">
        <v>5</v>
      </c>
      <c r="R3242">
        <v>19</v>
      </c>
      <c r="S3242" t="s">
        <v>27</v>
      </c>
    </row>
    <row r="3243" spans="1:19" x14ac:dyDescent="0.3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 t="str">
        <f t="shared" si="50"/>
        <v>31-60 days</v>
      </c>
      <c r="L3243">
        <v>58</v>
      </c>
      <c r="M3243">
        <v>5</v>
      </c>
      <c r="N3243">
        <v>1</v>
      </c>
      <c r="O3243" t="s">
        <v>25</v>
      </c>
      <c r="P3243" t="s">
        <v>26</v>
      </c>
      <c r="Q3243">
        <v>13</v>
      </c>
      <c r="R3243">
        <v>24</v>
      </c>
      <c r="S3243" t="s">
        <v>27</v>
      </c>
    </row>
    <row r="3244" spans="1:19" x14ac:dyDescent="0.3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 t="str">
        <f t="shared" si="50"/>
        <v>31-60 days</v>
      </c>
      <c r="L3244">
        <v>33</v>
      </c>
      <c r="M3244">
        <v>2</v>
      </c>
      <c r="N3244">
        <v>0</v>
      </c>
      <c r="O3244" t="s">
        <v>25</v>
      </c>
      <c r="P3244" t="s">
        <v>35</v>
      </c>
      <c r="Q3244">
        <v>15.8</v>
      </c>
      <c r="R3244">
        <v>52</v>
      </c>
      <c r="S3244" t="s">
        <v>36</v>
      </c>
    </row>
    <row r="3245" spans="1:19" x14ac:dyDescent="0.3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 t="str">
        <f t="shared" si="50"/>
        <v>31-60 days</v>
      </c>
      <c r="L3245">
        <v>48</v>
      </c>
      <c r="M3245">
        <v>2</v>
      </c>
      <c r="N3245">
        <v>0</v>
      </c>
      <c r="O3245" t="s">
        <v>25</v>
      </c>
      <c r="P3245" t="s">
        <v>35</v>
      </c>
      <c r="Q3245">
        <v>16.2</v>
      </c>
      <c r="R3245">
        <v>25</v>
      </c>
      <c r="S3245" t="s">
        <v>71</v>
      </c>
    </row>
    <row r="3246" spans="1:19" x14ac:dyDescent="0.3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 t="str">
        <f t="shared" si="50"/>
        <v>31-60 days</v>
      </c>
      <c r="L3246">
        <v>36</v>
      </c>
      <c r="M3246">
        <v>6</v>
      </c>
      <c r="N3246">
        <v>2</v>
      </c>
      <c r="O3246" t="s">
        <v>54</v>
      </c>
      <c r="P3246" t="s">
        <v>55</v>
      </c>
      <c r="Q3246">
        <v>6.2</v>
      </c>
      <c r="R3246">
        <v>39</v>
      </c>
      <c r="S3246" t="s">
        <v>36</v>
      </c>
    </row>
    <row r="3247" spans="1:19" x14ac:dyDescent="0.3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 t="str">
        <f t="shared" si="50"/>
        <v>31-60 days</v>
      </c>
      <c r="L3247">
        <v>54</v>
      </c>
      <c r="M3247">
        <v>4</v>
      </c>
      <c r="N3247">
        <v>0</v>
      </c>
      <c r="O3247" t="s">
        <v>25</v>
      </c>
      <c r="P3247" t="s">
        <v>35</v>
      </c>
      <c r="Q3247">
        <v>1.5</v>
      </c>
      <c r="R3247">
        <v>31</v>
      </c>
      <c r="S3247" t="s">
        <v>27</v>
      </c>
    </row>
    <row r="3248" spans="1:19" x14ac:dyDescent="0.3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 t="str">
        <f t="shared" si="50"/>
        <v>15-30 days</v>
      </c>
      <c r="L3248">
        <v>24</v>
      </c>
      <c r="M3248">
        <v>2</v>
      </c>
      <c r="N3248">
        <v>0</v>
      </c>
      <c r="O3248" t="s">
        <v>25</v>
      </c>
      <c r="P3248" t="s">
        <v>35</v>
      </c>
      <c r="Q3248">
        <v>20.7</v>
      </c>
      <c r="R3248">
        <v>32</v>
      </c>
      <c r="S3248" t="s">
        <v>36</v>
      </c>
    </row>
    <row r="3249" spans="1:19" x14ac:dyDescent="0.3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 t="str">
        <f t="shared" si="50"/>
        <v>15-30 days</v>
      </c>
      <c r="L3249">
        <v>23</v>
      </c>
      <c r="M3249">
        <v>4</v>
      </c>
      <c r="N3249">
        <v>0</v>
      </c>
      <c r="O3249" t="s">
        <v>25</v>
      </c>
      <c r="P3249" t="s">
        <v>50</v>
      </c>
      <c r="Q3249">
        <v>5.8</v>
      </c>
      <c r="R3249">
        <v>22</v>
      </c>
      <c r="S3249" t="s">
        <v>36</v>
      </c>
    </row>
    <row r="3250" spans="1:19" x14ac:dyDescent="0.3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 t="str">
        <f t="shared" si="50"/>
        <v>15-30 days</v>
      </c>
      <c r="L3250">
        <v>25</v>
      </c>
      <c r="M3250">
        <v>2</v>
      </c>
      <c r="N3250">
        <v>0</v>
      </c>
      <c r="O3250" t="s">
        <v>25</v>
      </c>
      <c r="P3250" t="s">
        <v>26</v>
      </c>
      <c r="Q3250">
        <v>7.7</v>
      </c>
      <c r="R3250">
        <v>6</v>
      </c>
      <c r="S3250" t="s">
        <v>36</v>
      </c>
    </row>
    <row r="3251" spans="1:19" x14ac:dyDescent="0.3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 t="str">
        <f t="shared" si="50"/>
        <v>31-60 days</v>
      </c>
      <c r="L3251">
        <v>60</v>
      </c>
      <c r="M3251">
        <v>1</v>
      </c>
      <c r="N3251">
        <v>0</v>
      </c>
      <c r="O3251" t="s">
        <v>54</v>
      </c>
      <c r="P3251" t="s">
        <v>55</v>
      </c>
      <c r="Q3251">
        <v>6.8</v>
      </c>
      <c r="R3251">
        <v>36</v>
      </c>
      <c r="S3251" t="s">
        <v>36</v>
      </c>
    </row>
    <row r="3252" spans="1:19" x14ac:dyDescent="0.3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 t="str">
        <f t="shared" si="50"/>
        <v>31-60 days</v>
      </c>
      <c r="L3252">
        <v>37</v>
      </c>
      <c r="M3252">
        <v>5</v>
      </c>
      <c r="N3252">
        <v>3</v>
      </c>
      <c r="O3252" t="s">
        <v>25</v>
      </c>
      <c r="P3252" t="s">
        <v>26</v>
      </c>
      <c r="Q3252">
        <v>9.9</v>
      </c>
      <c r="R3252">
        <v>30</v>
      </c>
      <c r="S3252" t="s">
        <v>27</v>
      </c>
    </row>
    <row r="3253" spans="1:19" x14ac:dyDescent="0.3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 t="str">
        <f t="shared" si="50"/>
        <v>8-14 days</v>
      </c>
      <c r="L3253">
        <v>9</v>
      </c>
      <c r="M3253">
        <v>0</v>
      </c>
      <c r="N3253">
        <v>0</v>
      </c>
      <c r="O3253" t="s">
        <v>54</v>
      </c>
      <c r="P3253" t="s">
        <v>55</v>
      </c>
      <c r="Q3253">
        <v>6.8</v>
      </c>
      <c r="R3253">
        <v>30</v>
      </c>
      <c r="S3253" t="s">
        <v>27</v>
      </c>
    </row>
    <row r="3254" spans="1:19" x14ac:dyDescent="0.3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 t="str">
        <f t="shared" si="50"/>
        <v>0-7 days</v>
      </c>
      <c r="L3254">
        <v>2</v>
      </c>
      <c r="M3254">
        <v>4</v>
      </c>
      <c r="N3254">
        <v>2</v>
      </c>
      <c r="O3254" t="s">
        <v>25</v>
      </c>
      <c r="P3254" t="s">
        <v>26</v>
      </c>
      <c r="Q3254">
        <v>9.3000000000000007</v>
      </c>
      <c r="R3254">
        <v>22</v>
      </c>
      <c r="S3254" t="s">
        <v>27</v>
      </c>
    </row>
    <row r="3255" spans="1:19" x14ac:dyDescent="0.3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 t="str">
        <f t="shared" si="50"/>
        <v>31-60 days</v>
      </c>
      <c r="L3255">
        <v>31</v>
      </c>
      <c r="M3255">
        <v>3</v>
      </c>
      <c r="N3255">
        <v>0</v>
      </c>
      <c r="O3255" t="s">
        <v>54</v>
      </c>
      <c r="P3255" t="s">
        <v>55</v>
      </c>
      <c r="Q3255">
        <v>4.7</v>
      </c>
      <c r="R3255">
        <v>17</v>
      </c>
      <c r="S3255" t="s">
        <v>36</v>
      </c>
    </row>
    <row r="3256" spans="1:19" x14ac:dyDescent="0.3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 t="str">
        <f t="shared" si="50"/>
        <v>31-60 days</v>
      </c>
      <c r="L3256">
        <v>49</v>
      </c>
      <c r="M3256">
        <v>4</v>
      </c>
      <c r="N3256">
        <v>0</v>
      </c>
      <c r="O3256" t="s">
        <v>25</v>
      </c>
      <c r="P3256" t="s">
        <v>26</v>
      </c>
      <c r="Q3256">
        <v>19.2</v>
      </c>
      <c r="R3256">
        <v>39</v>
      </c>
      <c r="S3256" t="s">
        <v>36</v>
      </c>
    </row>
    <row r="3257" spans="1:19" x14ac:dyDescent="0.3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 t="str">
        <f t="shared" si="50"/>
        <v>15-30 days</v>
      </c>
      <c r="L3257">
        <v>29</v>
      </c>
      <c r="M3257">
        <v>6</v>
      </c>
      <c r="N3257">
        <v>3</v>
      </c>
      <c r="O3257" t="s">
        <v>54</v>
      </c>
      <c r="P3257" t="s">
        <v>55</v>
      </c>
      <c r="Q3257">
        <v>12.5</v>
      </c>
      <c r="R3257">
        <v>28</v>
      </c>
      <c r="S3257" t="s">
        <v>27</v>
      </c>
    </row>
    <row r="3258" spans="1:19" x14ac:dyDescent="0.3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 t="str">
        <f t="shared" si="50"/>
        <v>31-60 days</v>
      </c>
      <c r="L3258">
        <v>34</v>
      </c>
      <c r="M3258">
        <v>0</v>
      </c>
      <c r="N3258">
        <v>0</v>
      </c>
      <c r="O3258" t="s">
        <v>25</v>
      </c>
      <c r="P3258" t="s">
        <v>50</v>
      </c>
      <c r="Q3258">
        <v>9.1999999999999993</v>
      </c>
      <c r="R3258">
        <v>4</v>
      </c>
      <c r="S3258" t="s">
        <v>36</v>
      </c>
    </row>
    <row r="3259" spans="1:19" x14ac:dyDescent="0.3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 t="str">
        <f t="shared" si="50"/>
        <v>31-60 days</v>
      </c>
      <c r="L3259">
        <v>48</v>
      </c>
      <c r="M3259">
        <v>4</v>
      </c>
      <c r="N3259">
        <v>2</v>
      </c>
      <c r="O3259" t="s">
        <v>25</v>
      </c>
      <c r="P3259" t="s">
        <v>50</v>
      </c>
      <c r="Q3259">
        <v>1.1000000000000001</v>
      </c>
      <c r="R3259">
        <v>23</v>
      </c>
      <c r="S3259" t="s">
        <v>27</v>
      </c>
    </row>
    <row r="3260" spans="1:19" x14ac:dyDescent="0.3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 t="str">
        <f t="shared" si="50"/>
        <v>31-60 days</v>
      </c>
      <c r="L3260">
        <v>31</v>
      </c>
      <c r="M3260">
        <v>5</v>
      </c>
      <c r="N3260">
        <v>0</v>
      </c>
      <c r="O3260" t="s">
        <v>25</v>
      </c>
      <c r="P3260" t="s">
        <v>50</v>
      </c>
      <c r="Q3260">
        <v>4</v>
      </c>
      <c r="R3260">
        <v>21</v>
      </c>
      <c r="S3260" t="s">
        <v>36</v>
      </c>
    </row>
    <row r="3261" spans="1:19" x14ac:dyDescent="0.3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 t="str">
        <f t="shared" si="50"/>
        <v>31-60 days</v>
      </c>
      <c r="L3261">
        <v>55</v>
      </c>
      <c r="M3261">
        <v>3</v>
      </c>
      <c r="N3261">
        <v>1</v>
      </c>
      <c r="O3261" t="s">
        <v>25</v>
      </c>
      <c r="P3261" t="s">
        <v>35</v>
      </c>
      <c r="Q3261">
        <v>14.1</v>
      </c>
      <c r="R3261">
        <v>2</v>
      </c>
      <c r="S3261" t="s">
        <v>27</v>
      </c>
    </row>
    <row r="3262" spans="1:19" x14ac:dyDescent="0.3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 t="str">
        <f t="shared" si="50"/>
        <v>31-60 days</v>
      </c>
      <c r="L3262">
        <v>38</v>
      </c>
      <c r="M3262">
        <v>1</v>
      </c>
      <c r="N3262">
        <v>0</v>
      </c>
      <c r="O3262" t="s">
        <v>25</v>
      </c>
      <c r="P3262" t="s">
        <v>26</v>
      </c>
      <c r="Q3262">
        <v>4.5</v>
      </c>
      <c r="R3262">
        <v>16</v>
      </c>
      <c r="S3262" t="s">
        <v>27</v>
      </c>
    </row>
    <row r="3263" spans="1:19" x14ac:dyDescent="0.3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 t="str">
        <f t="shared" si="50"/>
        <v>31-60 days</v>
      </c>
      <c r="L3263">
        <v>44</v>
      </c>
      <c r="M3263">
        <v>2</v>
      </c>
      <c r="N3263">
        <v>0</v>
      </c>
      <c r="O3263" t="s">
        <v>25</v>
      </c>
      <c r="P3263" t="s">
        <v>35</v>
      </c>
      <c r="Q3263">
        <v>11.7</v>
      </c>
      <c r="S3263" t="s">
        <v>27</v>
      </c>
    </row>
    <row r="3264" spans="1:19" x14ac:dyDescent="0.3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 t="str">
        <f t="shared" si="50"/>
        <v>31-60 days</v>
      </c>
      <c r="L3264">
        <v>47</v>
      </c>
      <c r="M3264">
        <v>2</v>
      </c>
      <c r="N3264">
        <v>1</v>
      </c>
      <c r="O3264" t="s">
        <v>25</v>
      </c>
      <c r="P3264" t="s">
        <v>26</v>
      </c>
      <c r="Q3264">
        <v>7</v>
      </c>
      <c r="R3264">
        <v>2</v>
      </c>
      <c r="S3264" t="s">
        <v>27</v>
      </c>
    </row>
    <row r="3265" spans="1:19" x14ac:dyDescent="0.3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 t="str">
        <f t="shared" si="50"/>
        <v>31-60 days</v>
      </c>
      <c r="L3265">
        <v>38</v>
      </c>
      <c r="M3265">
        <v>3</v>
      </c>
      <c r="N3265">
        <v>0</v>
      </c>
      <c r="O3265" t="s">
        <v>25</v>
      </c>
      <c r="P3265" t="s">
        <v>35</v>
      </c>
      <c r="Q3265">
        <v>9.3000000000000007</v>
      </c>
      <c r="R3265">
        <v>11</v>
      </c>
      <c r="S3265" t="s">
        <v>27</v>
      </c>
    </row>
    <row r="3266" spans="1:19" x14ac:dyDescent="0.3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 t="str">
        <f t="shared" si="50"/>
        <v>0-7 days</v>
      </c>
      <c r="L3266">
        <v>3</v>
      </c>
      <c r="M3266">
        <v>3</v>
      </c>
      <c r="N3266">
        <v>0</v>
      </c>
      <c r="O3266" t="s">
        <v>25</v>
      </c>
      <c r="P3266" t="s">
        <v>35</v>
      </c>
      <c r="Q3266">
        <v>7.2</v>
      </c>
      <c r="R3266">
        <v>2</v>
      </c>
      <c r="S3266" t="s">
        <v>36</v>
      </c>
    </row>
    <row r="3267" spans="1:19" x14ac:dyDescent="0.3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 t="str">
        <f t="shared" ref="K3267:K3330" si="51">IF(L3267&lt;=7,"0-7 days",IF(L3267&lt;=14,"8-14 days",IF(L3267&lt;=30,"15-30 days","31-60 days")))</f>
        <v>15-30 days</v>
      </c>
      <c r="L3267">
        <v>26</v>
      </c>
      <c r="M3267">
        <v>2</v>
      </c>
      <c r="N3267">
        <v>0</v>
      </c>
      <c r="O3267" t="s">
        <v>25</v>
      </c>
      <c r="P3267" t="s">
        <v>35</v>
      </c>
      <c r="Q3267">
        <v>7.7</v>
      </c>
      <c r="R3267">
        <v>7</v>
      </c>
      <c r="S3267" t="s">
        <v>36</v>
      </c>
    </row>
    <row r="3268" spans="1:19" x14ac:dyDescent="0.3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 t="str">
        <f t="shared" si="51"/>
        <v>8-14 days</v>
      </c>
      <c r="L3268">
        <v>8</v>
      </c>
      <c r="M3268">
        <v>5</v>
      </c>
      <c r="N3268">
        <v>3</v>
      </c>
      <c r="O3268" t="s">
        <v>25</v>
      </c>
      <c r="P3268" t="s">
        <v>35</v>
      </c>
      <c r="Q3268">
        <v>13.8</v>
      </c>
      <c r="R3268">
        <v>4</v>
      </c>
      <c r="S3268" t="s">
        <v>36</v>
      </c>
    </row>
    <row r="3269" spans="1:19" x14ac:dyDescent="0.3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 t="str">
        <f t="shared" si="51"/>
        <v>31-60 days</v>
      </c>
      <c r="L3269">
        <v>31</v>
      </c>
      <c r="M3269">
        <v>2</v>
      </c>
      <c r="N3269">
        <v>0</v>
      </c>
      <c r="O3269" t="s">
        <v>25</v>
      </c>
      <c r="P3269" t="s">
        <v>35</v>
      </c>
      <c r="Q3269">
        <v>14.1</v>
      </c>
      <c r="R3269">
        <v>11</v>
      </c>
      <c r="S3269" t="s">
        <v>36</v>
      </c>
    </row>
    <row r="3270" spans="1:19" x14ac:dyDescent="0.3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 t="str">
        <f t="shared" si="51"/>
        <v>8-14 days</v>
      </c>
      <c r="L3270">
        <v>8</v>
      </c>
      <c r="M3270">
        <v>3</v>
      </c>
      <c r="N3270">
        <v>0</v>
      </c>
      <c r="O3270" t="s">
        <v>25</v>
      </c>
      <c r="P3270" t="s">
        <v>35</v>
      </c>
      <c r="Q3270">
        <v>9.9</v>
      </c>
      <c r="R3270">
        <v>43</v>
      </c>
      <c r="S3270" t="s">
        <v>27</v>
      </c>
    </row>
    <row r="3271" spans="1:19" x14ac:dyDescent="0.3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 t="str">
        <f t="shared" si="51"/>
        <v>31-60 days</v>
      </c>
      <c r="L3271">
        <v>31</v>
      </c>
      <c r="M3271">
        <v>2</v>
      </c>
      <c r="N3271">
        <v>0</v>
      </c>
      <c r="O3271" t="s">
        <v>25</v>
      </c>
      <c r="P3271" t="s">
        <v>26</v>
      </c>
      <c r="Q3271">
        <v>14.4</v>
      </c>
      <c r="R3271">
        <v>34</v>
      </c>
      <c r="S3271" t="s">
        <v>36</v>
      </c>
    </row>
    <row r="3272" spans="1:19" x14ac:dyDescent="0.3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 t="str">
        <f t="shared" si="51"/>
        <v>15-30 days</v>
      </c>
      <c r="L3272">
        <v>20</v>
      </c>
      <c r="M3272">
        <v>4</v>
      </c>
      <c r="N3272">
        <v>1</v>
      </c>
      <c r="O3272" t="s">
        <v>25</v>
      </c>
      <c r="P3272" t="s">
        <v>50</v>
      </c>
      <c r="Q3272">
        <v>3.1</v>
      </c>
      <c r="R3272">
        <v>21</v>
      </c>
      <c r="S3272" t="s">
        <v>27</v>
      </c>
    </row>
    <row r="3273" spans="1:19" x14ac:dyDescent="0.3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 t="str">
        <f t="shared" si="51"/>
        <v>0-7 days</v>
      </c>
      <c r="L3273">
        <v>1</v>
      </c>
      <c r="M3273">
        <v>4</v>
      </c>
      <c r="N3273">
        <v>2</v>
      </c>
      <c r="O3273" t="s">
        <v>54</v>
      </c>
      <c r="P3273" t="s">
        <v>55</v>
      </c>
      <c r="Q3273">
        <v>8.6999999999999993</v>
      </c>
      <c r="R3273">
        <v>42</v>
      </c>
      <c r="S3273" t="s">
        <v>36</v>
      </c>
    </row>
    <row r="3274" spans="1:19" x14ac:dyDescent="0.3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 t="str">
        <f t="shared" si="51"/>
        <v>0-7 days</v>
      </c>
      <c r="L3274">
        <v>7</v>
      </c>
      <c r="M3274">
        <v>3</v>
      </c>
      <c r="N3274">
        <v>2</v>
      </c>
      <c r="O3274" t="s">
        <v>54</v>
      </c>
      <c r="P3274" t="s">
        <v>55</v>
      </c>
      <c r="Q3274">
        <v>6.4</v>
      </c>
      <c r="R3274">
        <v>19</v>
      </c>
      <c r="S3274" t="s">
        <v>71</v>
      </c>
    </row>
    <row r="3275" spans="1:19" x14ac:dyDescent="0.3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 t="str">
        <f t="shared" si="51"/>
        <v>15-30 days</v>
      </c>
      <c r="L3275">
        <v>30</v>
      </c>
      <c r="M3275">
        <v>1</v>
      </c>
      <c r="N3275">
        <v>0</v>
      </c>
      <c r="O3275" t="s">
        <v>25</v>
      </c>
      <c r="P3275" t="s">
        <v>26</v>
      </c>
      <c r="Q3275">
        <v>6.2</v>
      </c>
      <c r="R3275">
        <v>13</v>
      </c>
      <c r="S3275" t="s">
        <v>36</v>
      </c>
    </row>
    <row r="3276" spans="1:19" x14ac:dyDescent="0.3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 t="str">
        <f t="shared" si="51"/>
        <v>0-7 days</v>
      </c>
      <c r="L3276">
        <v>4</v>
      </c>
      <c r="M3276">
        <v>3</v>
      </c>
      <c r="N3276">
        <v>1</v>
      </c>
      <c r="O3276" t="s">
        <v>25</v>
      </c>
      <c r="P3276" t="s">
        <v>35</v>
      </c>
      <c r="Q3276">
        <v>5.8</v>
      </c>
      <c r="R3276">
        <v>19</v>
      </c>
      <c r="S3276" t="s">
        <v>36</v>
      </c>
    </row>
    <row r="3277" spans="1:19" x14ac:dyDescent="0.3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 t="str">
        <f t="shared" si="51"/>
        <v>31-60 days</v>
      </c>
      <c r="L3277">
        <v>52</v>
      </c>
      <c r="M3277">
        <v>1</v>
      </c>
      <c r="N3277">
        <v>0</v>
      </c>
      <c r="O3277" t="s">
        <v>25</v>
      </c>
      <c r="P3277" t="s">
        <v>35</v>
      </c>
      <c r="Q3277">
        <v>17.8</v>
      </c>
      <c r="R3277">
        <v>7</v>
      </c>
      <c r="S3277" t="s">
        <v>27</v>
      </c>
    </row>
    <row r="3278" spans="1:19" x14ac:dyDescent="0.3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 t="str">
        <f t="shared" si="51"/>
        <v>31-60 days</v>
      </c>
      <c r="L3278">
        <v>46</v>
      </c>
      <c r="M3278">
        <v>1</v>
      </c>
      <c r="N3278">
        <v>0</v>
      </c>
      <c r="O3278" t="s">
        <v>25</v>
      </c>
      <c r="P3278" t="s">
        <v>26</v>
      </c>
      <c r="Q3278">
        <v>3.9</v>
      </c>
      <c r="R3278">
        <v>3</v>
      </c>
      <c r="S3278" t="s">
        <v>36</v>
      </c>
    </row>
    <row r="3279" spans="1:19" x14ac:dyDescent="0.3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 t="str">
        <f t="shared" si="51"/>
        <v>31-60 days</v>
      </c>
      <c r="L3279">
        <v>43</v>
      </c>
      <c r="M3279">
        <v>3</v>
      </c>
      <c r="N3279">
        <v>1</v>
      </c>
      <c r="O3279" t="s">
        <v>25</v>
      </c>
      <c r="P3279" t="s">
        <v>35</v>
      </c>
      <c r="Q3279">
        <v>5.8</v>
      </c>
      <c r="R3279">
        <v>31</v>
      </c>
      <c r="S3279" t="s">
        <v>71</v>
      </c>
    </row>
    <row r="3280" spans="1:19" x14ac:dyDescent="0.3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 t="str">
        <f t="shared" si="51"/>
        <v>8-14 days</v>
      </c>
      <c r="L3280">
        <v>10</v>
      </c>
      <c r="M3280">
        <v>3</v>
      </c>
      <c r="N3280">
        <v>0</v>
      </c>
      <c r="O3280" t="s">
        <v>25</v>
      </c>
      <c r="P3280" t="s">
        <v>26</v>
      </c>
      <c r="Q3280">
        <v>9.8000000000000007</v>
      </c>
      <c r="R3280">
        <v>28</v>
      </c>
      <c r="S3280" t="s">
        <v>36</v>
      </c>
    </row>
    <row r="3281" spans="1:19" x14ac:dyDescent="0.3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 t="str">
        <f t="shared" si="51"/>
        <v>31-60 days</v>
      </c>
      <c r="L3281">
        <v>48</v>
      </c>
      <c r="M3281">
        <v>7</v>
      </c>
      <c r="N3281">
        <v>1</v>
      </c>
      <c r="O3281" t="s">
        <v>54</v>
      </c>
      <c r="P3281" t="s">
        <v>55</v>
      </c>
      <c r="Q3281">
        <v>6</v>
      </c>
      <c r="R3281">
        <v>10</v>
      </c>
      <c r="S3281" t="s">
        <v>27</v>
      </c>
    </row>
    <row r="3282" spans="1:19" x14ac:dyDescent="0.3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 t="str">
        <f t="shared" si="51"/>
        <v>31-60 days</v>
      </c>
      <c r="L3282">
        <v>38</v>
      </c>
      <c r="M3282">
        <v>6</v>
      </c>
      <c r="N3282">
        <v>1</v>
      </c>
      <c r="O3282" t="s">
        <v>25</v>
      </c>
      <c r="P3282" t="s">
        <v>35</v>
      </c>
      <c r="Q3282">
        <v>6</v>
      </c>
      <c r="R3282">
        <v>29</v>
      </c>
      <c r="S3282" t="s">
        <v>36</v>
      </c>
    </row>
    <row r="3283" spans="1:19" x14ac:dyDescent="0.3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 t="str">
        <f t="shared" si="51"/>
        <v>15-30 days</v>
      </c>
      <c r="L3283">
        <v>23</v>
      </c>
      <c r="M3283">
        <v>5</v>
      </c>
      <c r="N3283">
        <v>1</v>
      </c>
      <c r="O3283" t="s">
        <v>25</v>
      </c>
      <c r="P3283" t="s">
        <v>35</v>
      </c>
      <c r="Q3283">
        <v>6.6</v>
      </c>
      <c r="R3283">
        <v>30</v>
      </c>
      <c r="S3283" t="s">
        <v>27</v>
      </c>
    </row>
    <row r="3284" spans="1:19" x14ac:dyDescent="0.3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 t="str">
        <f t="shared" si="51"/>
        <v>0-7 days</v>
      </c>
      <c r="L3284">
        <v>0</v>
      </c>
      <c r="M3284">
        <v>2</v>
      </c>
      <c r="N3284">
        <v>0</v>
      </c>
      <c r="O3284" t="s">
        <v>25</v>
      </c>
      <c r="P3284" t="s">
        <v>26</v>
      </c>
      <c r="Q3284">
        <v>12.7</v>
      </c>
      <c r="R3284">
        <v>17</v>
      </c>
      <c r="S3284" t="s">
        <v>36</v>
      </c>
    </row>
    <row r="3285" spans="1:19" x14ac:dyDescent="0.3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 t="str">
        <f t="shared" si="51"/>
        <v>31-60 days</v>
      </c>
      <c r="L3285">
        <v>32</v>
      </c>
      <c r="M3285">
        <v>6</v>
      </c>
      <c r="N3285">
        <v>1</v>
      </c>
      <c r="O3285" t="s">
        <v>25</v>
      </c>
      <c r="P3285" t="s">
        <v>35</v>
      </c>
      <c r="Q3285">
        <v>18.399999999999999</v>
      </c>
      <c r="R3285">
        <v>14</v>
      </c>
      <c r="S3285" t="s">
        <v>27</v>
      </c>
    </row>
    <row r="3286" spans="1:19" x14ac:dyDescent="0.3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 t="str">
        <f t="shared" si="51"/>
        <v>31-60 days</v>
      </c>
      <c r="L3286">
        <v>48</v>
      </c>
      <c r="M3286">
        <v>4</v>
      </c>
      <c r="N3286">
        <v>0</v>
      </c>
      <c r="O3286" t="s">
        <v>25</v>
      </c>
      <c r="P3286" t="s">
        <v>35</v>
      </c>
      <c r="Q3286">
        <v>14</v>
      </c>
      <c r="R3286">
        <v>33</v>
      </c>
      <c r="S3286" t="s">
        <v>36</v>
      </c>
    </row>
    <row r="3287" spans="1:19" x14ac:dyDescent="0.3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 t="str">
        <f t="shared" si="51"/>
        <v>0-7 days</v>
      </c>
      <c r="L3287">
        <v>2</v>
      </c>
      <c r="M3287">
        <v>1</v>
      </c>
      <c r="N3287">
        <v>0</v>
      </c>
      <c r="O3287" t="s">
        <v>25</v>
      </c>
      <c r="P3287" t="s">
        <v>35</v>
      </c>
      <c r="Q3287">
        <v>26.5</v>
      </c>
      <c r="R3287">
        <v>29</v>
      </c>
      <c r="S3287" t="s">
        <v>36</v>
      </c>
    </row>
    <row r="3288" spans="1:19" x14ac:dyDescent="0.3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 t="str">
        <f t="shared" si="51"/>
        <v>0-7 days</v>
      </c>
      <c r="L3288">
        <v>3</v>
      </c>
      <c r="M3288">
        <v>8</v>
      </c>
      <c r="N3288">
        <v>2</v>
      </c>
      <c r="O3288" t="s">
        <v>25</v>
      </c>
      <c r="P3288" t="s">
        <v>26</v>
      </c>
      <c r="Q3288">
        <v>23.3</v>
      </c>
      <c r="R3288">
        <v>43</v>
      </c>
      <c r="S3288" t="s">
        <v>27</v>
      </c>
    </row>
    <row r="3289" spans="1:19" x14ac:dyDescent="0.3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 t="str">
        <f t="shared" si="51"/>
        <v>15-30 days</v>
      </c>
      <c r="L3289">
        <v>23</v>
      </c>
      <c r="M3289">
        <v>1</v>
      </c>
      <c r="N3289">
        <v>0</v>
      </c>
      <c r="O3289" t="s">
        <v>54</v>
      </c>
      <c r="P3289" t="s">
        <v>55</v>
      </c>
      <c r="Q3289">
        <v>2</v>
      </c>
      <c r="R3289">
        <v>29</v>
      </c>
      <c r="S3289" t="s">
        <v>36</v>
      </c>
    </row>
    <row r="3290" spans="1:19" x14ac:dyDescent="0.3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 t="str">
        <f t="shared" si="51"/>
        <v>31-60 days</v>
      </c>
      <c r="L3290">
        <v>31</v>
      </c>
      <c r="M3290">
        <v>1</v>
      </c>
      <c r="N3290">
        <v>1</v>
      </c>
      <c r="O3290" t="s">
        <v>25</v>
      </c>
      <c r="P3290" t="s">
        <v>26</v>
      </c>
      <c r="Q3290">
        <v>18</v>
      </c>
      <c r="R3290">
        <v>4</v>
      </c>
      <c r="S3290" t="s">
        <v>36</v>
      </c>
    </row>
    <row r="3291" spans="1:19" x14ac:dyDescent="0.3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 t="str">
        <f t="shared" si="51"/>
        <v>15-30 days</v>
      </c>
      <c r="L3291">
        <v>28</v>
      </c>
      <c r="M3291">
        <v>5</v>
      </c>
      <c r="N3291">
        <v>1</v>
      </c>
      <c r="O3291" t="s">
        <v>54</v>
      </c>
      <c r="P3291" t="s">
        <v>55</v>
      </c>
      <c r="Q3291">
        <v>22.8</v>
      </c>
      <c r="R3291">
        <v>7</v>
      </c>
      <c r="S3291" t="s">
        <v>36</v>
      </c>
    </row>
    <row r="3292" spans="1:19" x14ac:dyDescent="0.3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 t="str">
        <f t="shared" si="51"/>
        <v>15-30 days</v>
      </c>
      <c r="L3292">
        <v>25</v>
      </c>
      <c r="M3292">
        <v>1</v>
      </c>
      <c r="N3292">
        <v>0</v>
      </c>
      <c r="O3292" t="s">
        <v>25</v>
      </c>
      <c r="P3292" t="s">
        <v>35</v>
      </c>
      <c r="Q3292">
        <v>12.3</v>
      </c>
      <c r="R3292">
        <v>22</v>
      </c>
      <c r="S3292" t="s">
        <v>27</v>
      </c>
    </row>
    <row r="3293" spans="1:19" x14ac:dyDescent="0.3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 t="str">
        <f t="shared" si="51"/>
        <v>15-30 days</v>
      </c>
      <c r="L3293">
        <v>15</v>
      </c>
      <c r="M3293">
        <v>6</v>
      </c>
      <c r="N3293">
        <v>3</v>
      </c>
      <c r="O3293" t="s">
        <v>25</v>
      </c>
      <c r="P3293" t="s">
        <v>26</v>
      </c>
      <c r="Q3293">
        <v>7.7</v>
      </c>
      <c r="R3293">
        <v>33</v>
      </c>
      <c r="S3293" t="s">
        <v>27</v>
      </c>
    </row>
    <row r="3294" spans="1:19" x14ac:dyDescent="0.3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 t="str">
        <f t="shared" si="51"/>
        <v>0-7 days</v>
      </c>
      <c r="L3294">
        <v>3</v>
      </c>
      <c r="M3294">
        <v>1</v>
      </c>
      <c r="N3294">
        <v>0</v>
      </c>
      <c r="O3294" t="s">
        <v>54</v>
      </c>
      <c r="P3294" t="s">
        <v>55</v>
      </c>
      <c r="Q3294">
        <v>4.5</v>
      </c>
      <c r="R3294">
        <v>28</v>
      </c>
      <c r="S3294" t="s">
        <v>36</v>
      </c>
    </row>
    <row r="3295" spans="1:19" x14ac:dyDescent="0.3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 t="str">
        <f t="shared" si="51"/>
        <v>0-7 days</v>
      </c>
      <c r="L3295">
        <v>1</v>
      </c>
      <c r="M3295">
        <v>5</v>
      </c>
      <c r="N3295">
        <v>2</v>
      </c>
      <c r="O3295" t="s">
        <v>25</v>
      </c>
      <c r="P3295" t="s">
        <v>26</v>
      </c>
      <c r="Q3295">
        <v>13.3</v>
      </c>
      <c r="R3295">
        <v>17</v>
      </c>
      <c r="S3295" t="s">
        <v>27</v>
      </c>
    </row>
    <row r="3296" spans="1:19" x14ac:dyDescent="0.3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 t="str">
        <f t="shared" si="51"/>
        <v>0-7 days</v>
      </c>
      <c r="L3296">
        <v>6</v>
      </c>
      <c r="M3296">
        <v>4</v>
      </c>
      <c r="N3296">
        <v>2</v>
      </c>
      <c r="O3296" t="s">
        <v>54</v>
      </c>
      <c r="P3296" t="s">
        <v>55</v>
      </c>
      <c r="R3296">
        <v>5</v>
      </c>
      <c r="S3296" t="s">
        <v>36</v>
      </c>
    </row>
    <row r="3297" spans="1:19" x14ac:dyDescent="0.3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 t="str">
        <f t="shared" si="51"/>
        <v>31-60 days</v>
      </c>
      <c r="L3297">
        <v>42</v>
      </c>
      <c r="M3297">
        <v>1</v>
      </c>
      <c r="N3297">
        <v>0</v>
      </c>
      <c r="O3297" t="s">
        <v>25</v>
      </c>
      <c r="P3297" t="s">
        <v>35</v>
      </c>
      <c r="Q3297">
        <v>9.5</v>
      </c>
      <c r="R3297">
        <v>40</v>
      </c>
      <c r="S3297" t="s">
        <v>36</v>
      </c>
    </row>
    <row r="3298" spans="1:19" x14ac:dyDescent="0.3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 t="str">
        <f t="shared" si="51"/>
        <v>31-60 days</v>
      </c>
      <c r="L3298">
        <v>47</v>
      </c>
      <c r="M3298">
        <v>3</v>
      </c>
      <c r="N3298">
        <v>0</v>
      </c>
      <c r="O3298" t="s">
        <v>25</v>
      </c>
      <c r="P3298" t="s">
        <v>35</v>
      </c>
      <c r="Q3298">
        <v>37.1</v>
      </c>
      <c r="R3298">
        <v>40</v>
      </c>
      <c r="S3298" t="s">
        <v>36</v>
      </c>
    </row>
    <row r="3299" spans="1:19" x14ac:dyDescent="0.3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 t="str">
        <f t="shared" si="51"/>
        <v>15-30 days</v>
      </c>
      <c r="L3299">
        <v>26</v>
      </c>
      <c r="M3299">
        <v>4</v>
      </c>
      <c r="N3299">
        <v>0</v>
      </c>
      <c r="O3299" t="s">
        <v>25</v>
      </c>
      <c r="P3299" t="s">
        <v>26</v>
      </c>
      <c r="R3299">
        <v>9</v>
      </c>
      <c r="S3299" t="s">
        <v>27</v>
      </c>
    </row>
    <row r="3300" spans="1:19" x14ac:dyDescent="0.3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 t="str">
        <f t="shared" si="51"/>
        <v>0-7 days</v>
      </c>
      <c r="L3300">
        <v>4</v>
      </c>
      <c r="M3300">
        <v>2</v>
      </c>
      <c r="N3300">
        <v>0</v>
      </c>
      <c r="O3300" t="s">
        <v>25</v>
      </c>
      <c r="P3300" t="s">
        <v>26</v>
      </c>
      <c r="Q3300">
        <v>9.6999999999999993</v>
      </c>
      <c r="R3300">
        <v>31</v>
      </c>
      <c r="S3300" t="s">
        <v>36</v>
      </c>
    </row>
    <row r="3301" spans="1:19" x14ac:dyDescent="0.3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 t="str">
        <f t="shared" si="51"/>
        <v>15-30 days</v>
      </c>
      <c r="L3301">
        <v>25</v>
      </c>
      <c r="M3301">
        <v>5</v>
      </c>
      <c r="N3301">
        <v>1</v>
      </c>
      <c r="O3301" t="s">
        <v>25</v>
      </c>
      <c r="P3301" t="s">
        <v>26</v>
      </c>
      <c r="Q3301">
        <v>16.2</v>
      </c>
      <c r="R3301">
        <v>27</v>
      </c>
      <c r="S3301" t="s">
        <v>27</v>
      </c>
    </row>
    <row r="3302" spans="1:19" x14ac:dyDescent="0.3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 t="str">
        <f t="shared" si="51"/>
        <v>31-60 days</v>
      </c>
      <c r="L3302">
        <v>60</v>
      </c>
      <c r="M3302">
        <v>5</v>
      </c>
      <c r="N3302">
        <v>1</v>
      </c>
      <c r="O3302" t="s">
        <v>54</v>
      </c>
      <c r="P3302" t="s">
        <v>55</v>
      </c>
      <c r="Q3302">
        <v>10.5</v>
      </c>
      <c r="R3302">
        <v>32</v>
      </c>
      <c r="S3302" t="s">
        <v>27</v>
      </c>
    </row>
    <row r="3303" spans="1:19" x14ac:dyDescent="0.3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 t="str">
        <f t="shared" si="51"/>
        <v>15-30 days</v>
      </c>
      <c r="L3303">
        <v>15</v>
      </c>
      <c r="M3303">
        <v>4</v>
      </c>
      <c r="N3303">
        <v>0</v>
      </c>
      <c r="O3303" t="s">
        <v>54</v>
      </c>
      <c r="P3303" t="s">
        <v>55</v>
      </c>
      <c r="Q3303">
        <v>13.5</v>
      </c>
      <c r="R3303">
        <v>41</v>
      </c>
      <c r="S3303" t="s">
        <v>36</v>
      </c>
    </row>
    <row r="3304" spans="1:19" x14ac:dyDescent="0.3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 t="str">
        <f t="shared" si="51"/>
        <v>15-30 days</v>
      </c>
      <c r="L3304">
        <v>29</v>
      </c>
      <c r="M3304">
        <v>1</v>
      </c>
      <c r="N3304">
        <v>0</v>
      </c>
      <c r="O3304" t="s">
        <v>54</v>
      </c>
      <c r="P3304" t="s">
        <v>55</v>
      </c>
      <c r="Q3304">
        <v>2.8</v>
      </c>
      <c r="R3304">
        <v>40</v>
      </c>
      <c r="S3304" t="s">
        <v>36</v>
      </c>
    </row>
    <row r="3305" spans="1:19" x14ac:dyDescent="0.3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 t="str">
        <f t="shared" si="51"/>
        <v>31-60 days</v>
      </c>
      <c r="L3305">
        <v>32</v>
      </c>
      <c r="M3305">
        <v>6</v>
      </c>
      <c r="N3305">
        <v>1</v>
      </c>
      <c r="O3305" t="s">
        <v>54</v>
      </c>
      <c r="P3305" t="s">
        <v>55</v>
      </c>
      <c r="Q3305">
        <v>25.9</v>
      </c>
      <c r="R3305">
        <v>30</v>
      </c>
      <c r="S3305" t="s">
        <v>27</v>
      </c>
    </row>
    <row r="3306" spans="1:19" x14ac:dyDescent="0.3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 t="str">
        <f t="shared" si="51"/>
        <v>15-30 days</v>
      </c>
      <c r="L3306">
        <v>20</v>
      </c>
      <c r="M3306">
        <v>4</v>
      </c>
      <c r="N3306">
        <v>1</v>
      </c>
      <c r="O3306" t="s">
        <v>54</v>
      </c>
      <c r="P3306" t="s">
        <v>55</v>
      </c>
      <c r="Q3306">
        <v>10.3</v>
      </c>
      <c r="R3306">
        <v>21</v>
      </c>
      <c r="S3306" t="s">
        <v>27</v>
      </c>
    </row>
    <row r="3307" spans="1:19" x14ac:dyDescent="0.3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 t="str">
        <f t="shared" si="51"/>
        <v>15-30 days</v>
      </c>
      <c r="L3307">
        <v>26</v>
      </c>
      <c r="M3307">
        <v>4</v>
      </c>
      <c r="N3307">
        <v>0</v>
      </c>
      <c r="O3307" t="s">
        <v>25</v>
      </c>
      <c r="P3307" t="s">
        <v>35</v>
      </c>
      <c r="Q3307">
        <v>3.3</v>
      </c>
      <c r="R3307">
        <v>21</v>
      </c>
      <c r="S3307" t="s">
        <v>36</v>
      </c>
    </row>
    <row r="3308" spans="1:19" x14ac:dyDescent="0.3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 t="str">
        <f t="shared" si="51"/>
        <v>15-30 days</v>
      </c>
      <c r="L3308">
        <v>28</v>
      </c>
      <c r="M3308">
        <v>2</v>
      </c>
      <c r="N3308">
        <v>0</v>
      </c>
      <c r="O3308" t="s">
        <v>54</v>
      </c>
      <c r="P3308" t="s">
        <v>55</v>
      </c>
      <c r="Q3308">
        <v>15.7</v>
      </c>
      <c r="R3308">
        <v>22</v>
      </c>
      <c r="S3308" t="s">
        <v>36</v>
      </c>
    </row>
    <row r="3309" spans="1:19" x14ac:dyDescent="0.3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 t="str">
        <f t="shared" si="51"/>
        <v>15-30 days</v>
      </c>
      <c r="L3309">
        <v>28</v>
      </c>
      <c r="M3309">
        <v>4</v>
      </c>
      <c r="N3309">
        <v>1</v>
      </c>
      <c r="O3309" t="s">
        <v>25</v>
      </c>
      <c r="P3309" t="s">
        <v>26</v>
      </c>
      <c r="Q3309">
        <v>25.5</v>
      </c>
      <c r="R3309">
        <v>54</v>
      </c>
      <c r="S3309" t="s">
        <v>27</v>
      </c>
    </row>
    <row r="3310" spans="1:19" x14ac:dyDescent="0.3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 t="str">
        <f t="shared" si="51"/>
        <v>31-60 days</v>
      </c>
      <c r="L3310">
        <v>43</v>
      </c>
      <c r="M3310">
        <v>4</v>
      </c>
      <c r="N3310">
        <v>0</v>
      </c>
      <c r="O3310" t="s">
        <v>54</v>
      </c>
      <c r="P3310" t="s">
        <v>55</v>
      </c>
      <c r="Q3310">
        <v>7.2</v>
      </c>
      <c r="R3310">
        <v>24</v>
      </c>
      <c r="S3310" t="s">
        <v>27</v>
      </c>
    </row>
    <row r="3311" spans="1:19" x14ac:dyDescent="0.3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 t="str">
        <f t="shared" si="51"/>
        <v>31-60 days</v>
      </c>
      <c r="L3311">
        <v>35</v>
      </c>
      <c r="M3311">
        <v>3</v>
      </c>
      <c r="N3311">
        <v>1</v>
      </c>
      <c r="O3311" t="s">
        <v>25</v>
      </c>
      <c r="P3311" t="s">
        <v>26</v>
      </c>
      <c r="Q3311">
        <v>8.4</v>
      </c>
      <c r="R3311">
        <v>33</v>
      </c>
      <c r="S3311" t="s">
        <v>36</v>
      </c>
    </row>
    <row r="3312" spans="1:19" x14ac:dyDescent="0.3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 t="str">
        <f t="shared" si="51"/>
        <v>0-7 days</v>
      </c>
      <c r="L3312">
        <v>3</v>
      </c>
      <c r="M3312">
        <v>5</v>
      </c>
      <c r="N3312">
        <v>1</v>
      </c>
      <c r="O3312" t="s">
        <v>25</v>
      </c>
      <c r="P3312" t="s">
        <v>35</v>
      </c>
      <c r="Q3312">
        <v>18.100000000000001</v>
      </c>
      <c r="R3312">
        <v>29</v>
      </c>
      <c r="S3312" t="s">
        <v>71</v>
      </c>
    </row>
    <row r="3313" spans="1:19" x14ac:dyDescent="0.3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 t="str">
        <f t="shared" si="51"/>
        <v>0-7 days</v>
      </c>
      <c r="L3313">
        <v>0</v>
      </c>
      <c r="M3313">
        <v>1</v>
      </c>
      <c r="N3313">
        <v>0</v>
      </c>
      <c r="O3313" t="s">
        <v>25</v>
      </c>
      <c r="P3313" t="s">
        <v>35</v>
      </c>
      <c r="Q3313">
        <v>15.2</v>
      </c>
      <c r="R3313">
        <v>13</v>
      </c>
      <c r="S3313" t="s">
        <v>36</v>
      </c>
    </row>
    <row r="3314" spans="1:19" x14ac:dyDescent="0.3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 t="str">
        <f t="shared" si="51"/>
        <v>15-30 days</v>
      </c>
      <c r="L3314">
        <v>25</v>
      </c>
      <c r="M3314">
        <v>1</v>
      </c>
      <c r="N3314">
        <v>0</v>
      </c>
      <c r="O3314" t="s">
        <v>54</v>
      </c>
      <c r="P3314" t="s">
        <v>55</v>
      </c>
      <c r="Q3314">
        <v>5</v>
      </c>
      <c r="R3314">
        <v>29</v>
      </c>
      <c r="S3314" t="s">
        <v>27</v>
      </c>
    </row>
    <row r="3315" spans="1:19" x14ac:dyDescent="0.3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 t="str">
        <f t="shared" si="51"/>
        <v>31-60 days</v>
      </c>
      <c r="L3315">
        <v>55</v>
      </c>
      <c r="M3315">
        <v>3</v>
      </c>
      <c r="N3315">
        <v>0</v>
      </c>
      <c r="O3315" t="s">
        <v>25</v>
      </c>
      <c r="P3315" t="s">
        <v>35</v>
      </c>
      <c r="Q3315">
        <v>1.5</v>
      </c>
      <c r="R3315">
        <v>17</v>
      </c>
      <c r="S3315" t="s">
        <v>27</v>
      </c>
    </row>
    <row r="3316" spans="1:19" x14ac:dyDescent="0.3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 t="str">
        <f t="shared" si="51"/>
        <v>0-7 days</v>
      </c>
      <c r="L3316">
        <v>2</v>
      </c>
      <c r="M3316">
        <v>2</v>
      </c>
      <c r="N3316">
        <v>0</v>
      </c>
      <c r="O3316" t="s">
        <v>25</v>
      </c>
      <c r="P3316" t="s">
        <v>50</v>
      </c>
      <c r="Q3316">
        <v>25.8</v>
      </c>
      <c r="R3316">
        <v>14</v>
      </c>
      <c r="S3316" t="s">
        <v>71</v>
      </c>
    </row>
    <row r="3317" spans="1:19" x14ac:dyDescent="0.3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 t="str">
        <f t="shared" si="51"/>
        <v>0-7 days</v>
      </c>
      <c r="L3317">
        <v>4</v>
      </c>
      <c r="M3317">
        <v>3</v>
      </c>
      <c r="N3317">
        <v>1</v>
      </c>
      <c r="O3317" t="s">
        <v>25</v>
      </c>
      <c r="P3317" t="s">
        <v>26</v>
      </c>
      <c r="Q3317">
        <v>6.7</v>
      </c>
      <c r="R3317">
        <v>31</v>
      </c>
      <c r="S3317" t="s">
        <v>36</v>
      </c>
    </row>
    <row r="3318" spans="1:19" x14ac:dyDescent="0.3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 t="str">
        <f t="shared" si="51"/>
        <v>31-60 days</v>
      </c>
      <c r="L3318">
        <v>41</v>
      </c>
      <c r="M3318">
        <v>2</v>
      </c>
      <c r="N3318">
        <v>1</v>
      </c>
      <c r="O3318" t="s">
        <v>54</v>
      </c>
      <c r="P3318" t="s">
        <v>55</v>
      </c>
      <c r="Q3318">
        <v>3.7</v>
      </c>
      <c r="R3318">
        <v>10</v>
      </c>
      <c r="S3318" t="s">
        <v>36</v>
      </c>
    </row>
    <row r="3319" spans="1:19" x14ac:dyDescent="0.3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 t="str">
        <f t="shared" si="51"/>
        <v>15-30 days</v>
      </c>
      <c r="L3319">
        <v>27</v>
      </c>
      <c r="M3319">
        <v>5</v>
      </c>
      <c r="N3319">
        <v>0</v>
      </c>
      <c r="O3319" t="s">
        <v>25</v>
      </c>
      <c r="P3319" t="s">
        <v>35</v>
      </c>
      <c r="Q3319">
        <v>5.3</v>
      </c>
      <c r="R3319">
        <v>34</v>
      </c>
      <c r="S3319" t="s">
        <v>27</v>
      </c>
    </row>
    <row r="3320" spans="1:19" x14ac:dyDescent="0.3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 t="str">
        <f t="shared" si="51"/>
        <v>8-14 days</v>
      </c>
      <c r="L3320">
        <v>14</v>
      </c>
      <c r="M3320">
        <v>1</v>
      </c>
      <c r="N3320">
        <v>0</v>
      </c>
      <c r="O3320" t="s">
        <v>25</v>
      </c>
      <c r="P3320" t="s">
        <v>35</v>
      </c>
      <c r="Q3320">
        <v>20.7</v>
      </c>
      <c r="R3320">
        <v>30</v>
      </c>
      <c r="S3320" t="s">
        <v>36</v>
      </c>
    </row>
    <row r="3321" spans="1:19" x14ac:dyDescent="0.3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 t="str">
        <f t="shared" si="51"/>
        <v>8-14 days</v>
      </c>
      <c r="L3321">
        <v>12</v>
      </c>
      <c r="M3321">
        <v>2</v>
      </c>
      <c r="N3321">
        <v>0</v>
      </c>
      <c r="O3321" t="s">
        <v>54</v>
      </c>
      <c r="P3321" t="s">
        <v>55</v>
      </c>
      <c r="Q3321">
        <v>0.5</v>
      </c>
      <c r="R3321">
        <v>38</v>
      </c>
      <c r="S3321" t="s">
        <v>27</v>
      </c>
    </row>
    <row r="3322" spans="1:19" x14ac:dyDescent="0.3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 t="str">
        <f t="shared" si="51"/>
        <v>31-60 days</v>
      </c>
      <c r="L3322">
        <v>40</v>
      </c>
      <c r="M3322">
        <v>2</v>
      </c>
      <c r="N3322">
        <v>0</v>
      </c>
      <c r="O3322" t="s">
        <v>25</v>
      </c>
      <c r="P3322" t="s">
        <v>35</v>
      </c>
      <c r="Q3322">
        <v>17.8</v>
      </c>
      <c r="R3322">
        <v>29</v>
      </c>
      <c r="S3322" t="s">
        <v>27</v>
      </c>
    </row>
    <row r="3323" spans="1:19" x14ac:dyDescent="0.3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 t="str">
        <f t="shared" si="51"/>
        <v>31-60 days</v>
      </c>
      <c r="L3323">
        <v>31</v>
      </c>
      <c r="M3323">
        <v>2</v>
      </c>
      <c r="N3323">
        <v>1</v>
      </c>
      <c r="O3323" t="s">
        <v>25</v>
      </c>
      <c r="P3323" t="s">
        <v>26</v>
      </c>
      <c r="Q3323">
        <v>12.4</v>
      </c>
      <c r="R3323">
        <v>13</v>
      </c>
      <c r="S3323" t="s">
        <v>36</v>
      </c>
    </row>
    <row r="3324" spans="1:19" x14ac:dyDescent="0.3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 t="str">
        <f t="shared" si="51"/>
        <v>31-60 days</v>
      </c>
      <c r="L3324">
        <v>38</v>
      </c>
      <c r="M3324">
        <v>3</v>
      </c>
      <c r="N3324">
        <v>0</v>
      </c>
      <c r="O3324" t="s">
        <v>25</v>
      </c>
      <c r="P3324" t="s">
        <v>26</v>
      </c>
      <c r="Q3324">
        <v>7.5</v>
      </c>
      <c r="R3324">
        <v>36</v>
      </c>
      <c r="S3324" t="s">
        <v>36</v>
      </c>
    </row>
    <row r="3325" spans="1:19" x14ac:dyDescent="0.3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 t="str">
        <f t="shared" si="51"/>
        <v>15-30 days</v>
      </c>
      <c r="L3325">
        <v>17</v>
      </c>
      <c r="M3325">
        <v>1</v>
      </c>
      <c r="N3325">
        <v>0</v>
      </c>
      <c r="O3325" t="s">
        <v>25</v>
      </c>
      <c r="P3325" t="s">
        <v>35</v>
      </c>
      <c r="Q3325">
        <v>9.8000000000000007</v>
      </c>
      <c r="R3325">
        <v>37</v>
      </c>
      <c r="S3325" t="s">
        <v>27</v>
      </c>
    </row>
    <row r="3326" spans="1:19" x14ac:dyDescent="0.3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 t="str">
        <f t="shared" si="51"/>
        <v>31-60 days</v>
      </c>
      <c r="L3326">
        <v>32</v>
      </c>
      <c r="M3326">
        <v>3</v>
      </c>
      <c r="N3326">
        <v>0</v>
      </c>
      <c r="O3326" t="s">
        <v>25</v>
      </c>
      <c r="P3326" t="s">
        <v>50</v>
      </c>
      <c r="Q3326">
        <v>14.6</v>
      </c>
      <c r="R3326">
        <v>34</v>
      </c>
      <c r="S3326" t="s">
        <v>71</v>
      </c>
    </row>
    <row r="3327" spans="1:19" x14ac:dyDescent="0.3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 t="str">
        <f t="shared" si="51"/>
        <v>31-60 days</v>
      </c>
      <c r="L3327">
        <v>52</v>
      </c>
      <c r="M3327">
        <v>5</v>
      </c>
      <c r="N3327">
        <v>1</v>
      </c>
      <c r="O3327" t="s">
        <v>54</v>
      </c>
      <c r="P3327" t="s">
        <v>55</v>
      </c>
      <c r="Q3327">
        <v>6.9</v>
      </c>
      <c r="R3327">
        <v>32</v>
      </c>
      <c r="S3327" t="s">
        <v>27</v>
      </c>
    </row>
    <row r="3328" spans="1:19" x14ac:dyDescent="0.3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 t="str">
        <f t="shared" si="51"/>
        <v>15-30 days</v>
      </c>
      <c r="L3328">
        <v>19</v>
      </c>
      <c r="M3328">
        <v>2</v>
      </c>
      <c r="N3328">
        <v>0</v>
      </c>
      <c r="O3328" t="s">
        <v>54</v>
      </c>
      <c r="P3328" t="s">
        <v>55</v>
      </c>
      <c r="Q3328">
        <v>5.3</v>
      </c>
      <c r="R3328">
        <v>8</v>
      </c>
      <c r="S3328" t="s">
        <v>36</v>
      </c>
    </row>
    <row r="3329" spans="1:19" x14ac:dyDescent="0.3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 t="str">
        <f t="shared" si="51"/>
        <v>15-30 days</v>
      </c>
      <c r="L3329">
        <v>24</v>
      </c>
      <c r="M3329">
        <v>2</v>
      </c>
      <c r="N3329">
        <v>1</v>
      </c>
      <c r="O3329" t="s">
        <v>25</v>
      </c>
      <c r="P3329" t="s">
        <v>35</v>
      </c>
      <c r="Q3329">
        <v>14</v>
      </c>
      <c r="R3329">
        <v>33</v>
      </c>
      <c r="S3329" t="s">
        <v>27</v>
      </c>
    </row>
    <row r="3330" spans="1:19" x14ac:dyDescent="0.3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 t="str">
        <f t="shared" si="51"/>
        <v>8-14 days</v>
      </c>
      <c r="L3330">
        <v>9</v>
      </c>
      <c r="M3330">
        <v>5</v>
      </c>
      <c r="N3330">
        <v>1</v>
      </c>
      <c r="O3330" t="s">
        <v>25</v>
      </c>
      <c r="P3330" t="s">
        <v>26</v>
      </c>
      <c r="Q3330">
        <v>10.6</v>
      </c>
      <c r="R3330">
        <v>10</v>
      </c>
      <c r="S3330" t="s">
        <v>36</v>
      </c>
    </row>
    <row r="3331" spans="1:19" x14ac:dyDescent="0.3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 t="str">
        <f t="shared" ref="K3331:K3394" si="52">IF(L3331&lt;=7,"0-7 days",IF(L3331&lt;=14,"8-14 days",IF(L3331&lt;=30,"15-30 days","31-60 days")))</f>
        <v>31-60 days</v>
      </c>
      <c r="L3331">
        <v>38</v>
      </c>
      <c r="M3331">
        <v>1</v>
      </c>
      <c r="N3331">
        <v>1</v>
      </c>
      <c r="O3331" t="s">
        <v>25</v>
      </c>
      <c r="P3331" t="s">
        <v>26</v>
      </c>
      <c r="Q3331">
        <v>21.5</v>
      </c>
      <c r="R3331">
        <v>17</v>
      </c>
      <c r="S3331" t="s">
        <v>27</v>
      </c>
    </row>
    <row r="3332" spans="1:19" x14ac:dyDescent="0.3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 t="str">
        <f t="shared" si="52"/>
        <v>0-7 days</v>
      </c>
      <c r="L3332">
        <v>1</v>
      </c>
      <c r="M3332">
        <v>5</v>
      </c>
      <c r="N3332">
        <v>0</v>
      </c>
      <c r="O3332" t="s">
        <v>25</v>
      </c>
      <c r="P3332" t="s">
        <v>26</v>
      </c>
      <c r="Q3332">
        <v>20.399999999999999</v>
      </c>
      <c r="R3332">
        <v>15</v>
      </c>
      <c r="S3332" t="s">
        <v>27</v>
      </c>
    </row>
    <row r="3333" spans="1:19" x14ac:dyDescent="0.3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 t="str">
        <f t="shared" si="52"/>
        <v>15-30 days</v>
      </c>
      <c r="L3333">
        <v>15</v>
      </c>
      <c r="M3333">
        <v>6</v>
      </c>
      <c r="N3333">
        <v>1</v>
      </c>
      <c r="O3333" t="s">
        <v>25</v>
      </c>
      <c r="P3333" t="s">
        <v>26</v>
      </c>
      <c r="Q3333">
        <v>7.5</v>
      </c>
      <c r="R3333">
        <v>7</v>
      </c>
      <c r="S3333" t="s">
        <v>27</v>
      </c>
    </row>
    <row r="3334" spans="1:19" x14ac:dyDescent="0.3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 t="str">
        <f t="shared" si="52"/>
        <v>31-60 days</v>
      </c>
      <c r="L3334">
        <v>43</v>
      </c>
      <c r="M3334">
        <v>4</v>
      </c>
      <c r="N3334">
        <v>1</v>
      </c>
      <c r="O3334" t="s">
        <v>25</v>
      </c>
      <c r="P3334" t="s">
        <v>50</v>
      </c>
      <c r="Q3334">
        <v>8.9</v>
      </c>
      <c r="S3334" t="s">
        <v>27</v>
      </c>
    </row>
    <row r="3335" spans="1:19" x14ac:dyDescent="0.3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 t="str">
        <f t="shared" si="52"/>
        <v>0-7 days</v>
      </c>
      <c r="L3335">
        <v>1</v>
      </c>
      <c r="M3335">
        <v>1</v>
      </c>
      <c r="N3335">
        <v>0</v>
      </c>
      <c r="O3335" t="s">
        <v>54</v>
      </c>
      <c r="P3335" t="s">
        <v>55</v>
      </c>
      <c r="Q3335">
        <v>19.600000000000001</v>
      </c>
      <c r="R3335">
        <v>24</v>
      </c>
      <c r="S3335" t="s">
        <v>36</v>
      </c>
    </row>
    <row r="3336" spans="1:19" x14ac:dyDescent="0.3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 t="str">
        <f t="shared" si="52"/>
        <v>31-60 days</v>
      </c>
      <c r="L3336">
        <v>60</v>
      </c>
      <c r="M3336">
        <v>2</v>
      </c>
      <c r="N3336">
        <v>2</v>
      </c>
      <c r="O3336" t="s">
        <v>25</v>
      </c>
      <c r="P3336" t="s">
        <v>35</v>
      </c>
      <c r="Q3336">
        <v>16.3</v>
      </c>
      <c r="R3336">
        <v>39</v>
      </c>
      <c r="S3336" t="s">
        <v>27</v>
      </c>
    </row>
    <row r="3337" spans="1:19" x14ac:dyDescent="0.3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 t="str">
        <f t="shared" si="52"/>
        <v>15-30 days</v>
      </c>
      <c r="L3337">
        <v>24</v>
      </c>
      <c r="M3337">
        <v>1</v>
      </c>
      <c r="N3337">
        <v>0</v>
      </c>
      <c r="O3337" t="s">
        <v>25</v>
      </c>
      <c r="P3337" t="s">
        <v>35</v>
      </c>
      <c r="Q3337">
        <v>12.7</v>
      </c>
      <c r="R3337">
        <v>37</v>
      </c>
      <c r="S3337" t="s">
        <v>36</v>
      </c>
    </row>
    <row r="3338" spans="1:19" x14ac:dyDescent="0.3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 t="str">
        <f t="shared" si="52"/>
        <v>15-30 days</v>
      </c>
      <c r="L3338">
        <v>24</v>
      </c>
      <c r="M3338">
        <v>2</v>
      </c>
      <c r="N3338">
        <v>1</v>
      </c>
      <c r="O3338" t="s">
        <v>25</v>
      </c>
      <c r="P3338" t="s">
        <v>26</v>
      </c>
      <c r="Q3338">
        <v>18.3</v>
      </c>
      <c r="R3338">
        <v>26</v>
      </c>
      <c r="S3338" t="s">
        <v>36</v>
      </c>
    </row>
    <row r="3339" spans="1:19" x14ac:dyDescent="0.3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 t="str">
        <f t="shared" si="52"/>
        <v>31-60 days</v>
      </c>
      <c r="L3339">
        <v>32</v>
      </c>
      <c r="M3339">
        <v>5</v>
      </c>
      <c r="N3339">
        <v>0</v>
      </c>
      <c r="O3339" t="s">
        <v>25</v>
      </c>
      <c r="P3339" t="s">
        <v>50</v>
      </c>
      <c r="Q3339">
        <v>3</v>
      </c>
      <c r="R3339">
        <v>33</v>
      </c>
      <c r="S3339" t="s">
        <v>27</v>
      </c>
    </row>
    <row r="3340" spans="1:19" x14ac:dyDescent="0.3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 t="str">
        <f t="shared" si="52"/>
        <v>31-60 days</v>
      </c>
      <c r="L3340">
        <v>38</v>
      </c>
      <c r="M3340">
        <v>4</v>
      </c>
      <c r="N3340">
        <v>0</v>
      </c>
      <c r="O3340" t="s">
        <v>25</v>
      </c>
      <c r="P3340" t="s">
        <v>50</v>
      </c>
      <c r="Q3340">
        <v>12.6</v>
      </c>
      <c r="R3340">
        <v>23</v>
      </c>
      <c r="S3340" t="s">
        <v>36</v>
      </c>
    </row>
    <row r="3341" spans="1:19" x14ac:dyDescent="0.3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 t="str">
        <f t="shared" si="52"/>
        <v>15-30 days</v>
      </c>
      <c r="L3341">
        <v>28</v>
      </c>
      <c r="M3341">
        <v>6</v>
      </c>
      <c r="N3341">
        <v>1</v>
      </c>
      <c r="O3341" t="s">
        <v>25</v>
      </c>
      <c r="P3341" t="s">
        <v>35</v>
      </c>
      <c r="R3341">
        <v>23</v>
      </c>
      <c r="S3341" t="s">
        <v>36</v>
      </c>
    </row>
    <row r="3342" spans="1:19" x14ac:dyDescent="0.3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 t="str">
        <f t="shared" si="52"/>
        <v>31-60 days</v>
      </c>
      <c r="L3342">
        <v>53</v>
      </c>
      <c r="M3342">
        <v>4</v>
      </c>
      <c r="N3342">
        <v>2</v>
      </c>
      <c r="O3342" t="s">
        <v>25</v>
      </c>
      <c r="P3342" t="s">
        <v>35</v>
      </c>
      <c r="Q3342">
        <v>15.5</v>
      </c>
      <c r="R3342">
        <v>25</v>
      </c>
      <c r="S3342" t="s">
        <v>27</v>
      </c>
    </row>
    <row r="3343" spans="1:19" x14ac:dyDescent="0.3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 t="str">
        <f t="shared" si="52"/>
        <v>31-60 days</v>
      </c>
      <c r="L3343">
        <v>58</v>
      </c>
      <c r="M3343">
        <v>4</v>
      </c>
      <c r="N3343">
        <v>0</v>
      </c>
      <c r="O3343" t="s">
        <v>25</v>
      </c>
      <c r="P3343" t="s">
        <v>35</v>
      </c>
      <c r="Q3343">
        <v>12.4</v>
      </c>
      <c r="R3343">
        <v>22</v>
      </c>
      <c r="S3343" t="s">
        <v>36</v>
      </c>
    </row>
    <row r="3344" spans="1:19" x14ac:dyDescent="0.3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 t="str">
        <f t="shared" si="52"/>
        <v>8-14 days</v>
      </c>
      <c r="L3344">
        <v>12</v>
      </c>
      <c r="M3344">
        <v>2</v>
      </c>
      <c r="N3344">
        <v>1</v>
      </c>
      <c r="O3344" t="s">
        <v>54</v>
      </c>
      <c r="P3344" t="s">
        <v>55</v>
      </c>
      <c r="Q3344">
        <v>17.8</v>
      </c>
      <c r="R3344">
        <v>26</v>
      </c>
      <c r="S3344" t="s">
        <v>36</v>
      </c>
    </row>
    <row r="3345" spans="1:19" x14ac:dyDescent="0.3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 t="str">
        <f t="shared" si="52"/>
        <v>31-60 days</v>
      </c>
      <c r="L3345">
        <v>43</v>
      </c>
      <c r="M3345">
        <v>2</v>
      </c>
      <c r="N3345">
        <v>0</v>
      </c>
      <c r="O3345" t="s">
        <v>25</v>
      </c>
      <c r="P3345" t="s">
        <v>35</v>
      </c>
      <c r="Q3345">
        <v>20.7</v>
      </c>
      <c r="R3345">
        <v>31</v>
      </c>
      <c r="S3345" t="s">
        <v>27</v>
      </c>
    </row>
    <row r="3346" spans="1:19" x14ac:dyDescent="0.3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 t="str">
        <f t="shared" si="52"/>
        <v>15-30 days</v>
      </c>
      <c r="L3346">
        <v>18</v>
      </c>
      <c r="M3346">
        <v>2</v>
      </c>
      <c r="N3346">
        <v>1</v>
      </c>
      <c r="O3346" t="s">
        <v>25</v>
      </c>
      <c r="P3346" t="s">
        <v>35</v>
      </c>
      <c r="Q3346">
        <v>3.5</v>
      </c>
      <c r="R3346">
        <v>11</v>
      </c>
      <c r="S3346" t="s">
        <v>27</v>
      </c>
    </row>
    <row r="3347" spans="1:19" x14ac:dyDescent="0.3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 t="str">
        <f t="shared" si="52"/>
        <v>31-60 days</v>
      </c>
      <c r="L3347">
        <v>60</v>
      </c>
      <c r="M3347">
        <v>3</v>
      </c>
      <c r="N3347">
        <v>2</v>
      </c>
      <c r="O3347" t="s">
        <v>54</v>
      </c>
      <c r="P3347" t="s">
        <v>55</v>
      </c>
      <c r="Q3347">
        <v>12.7</v>
      </c>
      <c r="R3347">
        <v>20</v>
      </c>
      <c r="S3347" t="s">
        <v>27</v>
      </c>
    </row>
    <row r="3348" spans="1:19" x14ac:dyDescent="0.3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 t="str">
        <f t="shared" si="52"/>
        <v>15-30 days</v>
      </c>
      <c r="L3348">
        <v>15</v>
      </c>
      <c r="M3348">
        <v>5</v>
      </c>
      <c r="N3348">
        <v>2</v>
      </c>
      <c r="O3348" t="s">
        <v>25</v>
      </c>
      <c r="P3348" t="s">
        <v>35</v>
      </c>
      <c r="Q3348">
        <v>6.2</v>
      </c>
      <c r="R3348">
        <v>33</v>
      </c>
      <c r="S3348" t="s">
        <v>27</v>
      </c>
    </row>
    <row r="3349" spans="1:19" x14ac:dyDescent="0.3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 t="str">
        <f t="shared" si="52"/>
        <v>15-30 days</v>
      </c>
      <c r="L3349">
        <v>17</v>
      </c>
      <c r="M3349">
        <v>4</v>
      </c>
      <c r="N3349">
        <v>0</v>
      </c>
      <c r="O3349" t="s">
        <v>25</v>
      </c>
      <c r="P3349" t="s">
        <v>35</v>
      </c>
      <c r="Q3349">
        <v>14.6</v>
      </c>
      <c r="R3349">
        <v>18</v>
      </c>
      <c r="S3349" t="s">
        <v>27</v>
      </c>
    </row>
    <row r="3350" spans="1:19" x14ac:dyDescent="0.3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 t="str">
        <f t="shared" si="52"/>
        <v>31-60 days</v>
      </c>
      <c r="L3350">
        <v>43</v>
      </c>
      <c r="M3350">
        <v>3</v>
      </c>
      <c r="N3350">
        <v>1</v>
      </c>
      <c r="O3350" t="s">
        <v>54</v>
      </c>
      <c r="P3350" t="s">
        <v>55</v>
      </c>
      <c r="Q3350">
        <v>6</v>
      </c>
      <c r="R3350">
        <v>18</v>
      </c>
      <c r="S3350" t="s">
        <v>36</v>
      </c>
    </row>
    <row r="3351" spans="1:19" x14ac:dyDescent="0.3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 t="str">
        <f t="shared" si="52"/>
        <v>31-60 days</v>
      </c>
      <c r="L3351">
        <v>48</v>
      </c>
      <c r="M3351">
        <v>6</v>
      </c>
      <c r="N3351">
        <v>1</v>
      </c>
      <c r="O3351" t="s">
        <v>54</v>
      </c>
      <c r="P3351" t="s">
        <v>55</v>
      </c>
      <c r="Q3351">
        <v>6.3</v>
      </c>
      <c r="R3351">
        <v>35</v>
      </c>
      <c r="S3351" t="s">
        <v>27</v>
      </c>
    </row>
    <row r="3352" spans="1:19" x14ac:dyDescent="0.3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 t="str">
        <f t="shared" si="52"/>
        <v>0-7 days</v>
      </c>
      <c r="L3352">
        <v>7</v>
      </c>
      <c r="M3352">
        <v>3</v>
      </c>
      <c r="N3352">
        <v>1</v>
      </c>
      <c r="O3352" t="s">
        <v>25</v>
      </c>
      <c r="P3352" t="s">
        <v>35</v>
      </c>
      <c r="Q3352">
        <v>10.3</v>
      </c>
      <c r="R3352">
        <v>16</v>
      </c>
      <c r="S3352" t="s">
        <v>36</v>
      </c>
    </row>
    <row r="3353" spans="1:19" x14ac:dyDescent="0.3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 t="str">
        <f t="shared" si="52"/>
        <v>31-60 days</v>
      </c>
      <c r="L3353">
        <v>33</v>
      </c>
      <c r="M3353">
        <v>4</v>
      </c>
      <c r="N3353">
        <v>0</v>
      </c>
      <c r="O3353" t="s">
        <v>25</v>
      </c>
      <c r="P3353" t="s">
        <v>26</v>
      </c>
      <c r="Q3353">
        <v>3.4</v>
      </c>
      <c r="R3353">
        <v>29</v>
      </c>
      <c r="S3353" t="s">
        <v>27</v>
      </c>
    </row>
    <row r="3354" spans="1:19" x14ac:dyDescent="0.3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 t="str">
        <f t="shared" si="52"/>
        <v>15-30 days</v>
      </c>
      <c r="L3354">
        <v>21</v>
      </c>
      <c r="M3354">
        <v>3</v>
      </c>
      <c r="N3354">
        <v>1</v>
      </c>
      <c r="O3354" t="s">
        <v>25</v>
      </c>
      <c r="P3354" t="s">
        <v>35</v>
      </c>
      <c r="Q3354">
        <v>4.8</v>
      </c>
      <c r="R3354">
        <v>26</v>
      </c>
      <c r="S3354" t="s">
        <v>27</v>
      </c>
    </row>
    <row r="3355" spans="1:19" x14ac:dyDescent="0.3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 t="str">
        <f t="shared" si="52"/>
        <v>31-60 days</v>
      </c>
      <c r="L3355">
        <v>37</v>
      </c>
      <c r="M3355">
        <v>6</v>
      </c>
      <c r="N3355">
        <v>1</v>
      </c>
      <c r="O3355" t="s">
        <v>54</v>
      </c>
      <c r="P3355" t="s">
        <v>55</v>
      </c>
      <c r="Q3355">
        <v>13.4</v>
      </c>
      <c r="R3355">
        <v>34</v>
      </c>
      <c r="S3355" t="s">
        <v>36</v>
      </c>
    </row>
    <row r="3356" spans="1:19" x14ac:dyDescent="0.3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 t="str">
        <f t="shared" si="52"/>
        <v>31-60 days</v>
      </c>
      <c r="L3356">
        <v>33</v>
      </c>
      <c r="M3356">
        <v>2</v>
      </c>
      <c r="N3356">
        <v>1</v>
      </c>
      <c r="O3356" t="s">
        <v>25</v>
      </c>
      <c r="P3356" t="s">
        <v>26</v>
      </c>
      <c r="Q3356">
        <v>23.8</v>
      </c>
      <c r="S3356" t="s">
        <v>27</v>
      </c>
    </row>
    <row r="3357" spans="1:19" x14ac:dyDescent="0.3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 t="str">
        <f t="shared" si="52"/>
        <v>31-60 days</v>
      </c>
      <c r="L3357">
        <v>60</v>
      </c>
      <c r="M3357">
        <v>5</v>
      </c>
      <c r="N3357">
        <v>1</v>
      </c>
      <c r="O3357" t="s">
        <v>25</v>
      </c>
      <c r="P3357" t="s">
        <v>35</v>
      </c>
      <c r="Q3357">
        <v>2</v>
      </c>
      <c r="R3357">
        <v>15</v>
      </c>
      <c r="S3357" t="s">
        <v>27</v>
      </c>
    </row>
    <row r="3358" spans="1:19" x14ac:dyDescent="0.3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 t="str">
        <f t="shared" si="52"/>
        <v>31-60 days</v>
      </c>
      <c r="L3358">
        <v>56</v>
      </c>
      <c r="M3358">
        <v>4</v>
      </c>
      <c r="N3358">
        <v>1</v>
      </c>
      <c r="O3358" t="s">
        <v>25</v>
      </c>
      <c r="P3358" t="s">
        <v>35</v>
      </c>
      <c r="Q3358">
        <v>5.7</v>
      </c>
      <c r="R3358">
        <v>17</v>
      </c>
      <c r="S3358" t="s">
        <v>27</v>
      </c>
    </row>
    <row r="3359" spans="1:19" x14ac:dyDescent="0.3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 t="str">
        <f t="shared" si="52"/>
        <v>31-60 days</v>
      </c>
      <c r="L3359">
        <v>39</v>
      </c>
      <c r="M3359">
        <v>3</v>
      </c>
      <c r="N3359">
        <v>0</v>
      </c>
      <c r="O3359" t="s">
        <v>25</v>
      </c>
      <c r="P3359" t="s">
        <v>35</v>
      </c>
      <c r="Q3359">
        <v>11.9</v>
      </c>
      <c r="R3359">
        <v>42</v>
      </c>
      <c r="S3359" t="s">
        <v>27</v>
      </c>
    </row>
    <row r="3360" spans="1:19" x14ac:dyDescent="0.3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 t="str">
        <f t="shared" si="52"/>
        <v>31-60 days</v>
      </c>
      <c r="L3360">
        <v>41</v>
      </c>
      <c r="M3360">
        <v>2</v>
      </c>
      <c r="N3360">
        <v>0</v>
      </c>
      <c r="O3360" t="s">
        <v>25</v>
      </c>
      <c r="P3360" t="s">
        <v>35</v>
      </c>
      <c r="Q3360">
        <v>2.4</v>
      </c>
      <c r="R3360">
        <v>18</v>
      </c>
      <c r="S3360" t="s">
        <v>36</v>
      </c>
    </row>
    <row r="3361" spans="1:19" x14ac:dyDescent="0.3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 t="str">
        <f t="shared" si="52"/>
        <v>31-60 days</v>
      </c>
      <c r="L3361">
        <v>54</v>
      </c>
      <c r="M3361">
        <v>4</v>
      </c>
      <c r="N3361">
        <v>2</v>
      </c>
      <c r="O3361" t="s">
        <v>25</v>
      </c>
      <c r="P3361" t="s">
        <v>35</v>
      </c>
      <c r="Q3361">
        <v>7.7</v>
      </c>
      <c r="R3361">
        <v>17</v>
      </c>
      <c r="S3361" t="s">
        <v>27</v>
      </c>
    </row>
    <row r="3362" spans="1:19" x14ac:dyDescent="0.3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 t="str">
        <f t="shared" si="52"/>
        <v>8-14 days</v>
      </c>
      <c r="L3362">
        <v>11</v>
      </c>
      <c r="M3362">
        <v>4</v>
      </c>
      <c r="N3362">
        <v>1</v>
      </c>
      <c r="O3362" t="s">
        <v>25</v>
      </c>
      <c r="P3362" t="s">
        <v>26</v>
      </c>
      <c r="Q3362">
        <v>11</v>
      </c>
      <c r="R3362">
        <v>19</v>
      </c>
      <c r="S3362" t="s">
        <v>36</v>
      </c>
    </row>
    <row r="3363" spans="1:19" x14ac:dyDescent="0.3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 t="str">
        <f t="shared" si="52"/>
        <v>31-60 days</v>
      </c>
      <c r="L3363">
        <v>44</v>
      </c>
      <c r="M3363">
        <v>1</v>
      </c>
      <c r="N3363">
        <v>0</v>
      </c>
      <c r="O3363" t="s">
        <v>25</v>
      </c>
      <c r="P3363" t="s">
        <v>35</v>
      </c>
      <c r="Q3363">
        <v>9.1999999999999993</v>
      </c>
      <c r="R3363">
        <v>21</v>
      </c>
      <c r="S3363" t="s">
        <v>36</v>
      </c>
    </row>
    <row r="3364" spans="1:19" x14ac:dyDescent="0.3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 t="str">
        <f t="shared" si="52"/>
        <v>31-60 days</v>
      </c>
      <c r="L3364">
        <v>47</v>
      </c>
      <c r="M3364">
        <v>4</v>
      </c>
      <c r="N3364">
        <v>1</v>
      </c>
      <c r="O3364" t="s">
        <v>25</v>
      </c>
      <c r="P3364" t="s">
        <v>35</v>
      </c>
      <c r="Q3364">
        <v>6.6</v>
      </c>
      <c r="R3364">
        <v>20</v>
      </c>
      <c r="S3364" t="s">
        <v>36</v>
      </c>
    </row>
    <row r="3365" spans="1:19" x14ac:dyDescent="0.3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 t="str">
        <f t="shared" si="52"/>
        <v>0-7 days</v>
      </c>
      <c r="L3365">
        <v>7</v>
      </c>
      <c r="M3365">
        <v>2</v>
      </c>
      <c r="N3365">
        <v>1</v>
      </c>
      <c r="O3365" t="s">
        <v>25</v>
      </c>
      <c r="P3365" t="s">
        <v>35</v>
      </c>
      <c r="Q3365">
        <v>3</v>
      </c>
      <c r="R3365">
        <v>30</v>
      </c>
      <c r="S3365" t="s">
        <v>36</v>
      </c>
    </row>
    <row r="3366" spans="1:19" x14ac:dyDescent="0.3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 t="str">
        <f t="shared" si="52"/>
        <v>31-60 days</v>
      </c>
      <c r="L3366">
        <v>53</v>
      </c>
      <c r="M3366">
        <v>3</v>
      </c>
      <c r="N3366">
        <v>1</v>
      </c>
      <c r="O3366" t="s">
        <v>25</v>
      </c>
      <c r="P3366" t="s">
        <v>26</v>
      </c>
      <c r="Q3366">
        <v>33.299999999999997</v>
      </c>
      <c r="R3366">
        <v>25</v>
      </c>
      <c r="S3366" t="s">
        <v>27</v>
      </c>
    </row>
    <row r="3367" spans="1:19" x14ac:dyDescent="0.3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 t="str">
        <f t="shared" si="52"/>
        <v>31-60 days</v>
      </c>
      <c r="L3367">
        <v>42</v>
      </c>
      <c r="M3367">
        <v>3</v>
      </c>
      <c r="N3367">
        <v>0</v>
      </c>
      <c r="O3367" t="s">
        <v>54</v>
      </c>
      <c r="P3367" t="s">
        <v>55</v>
      </c>
      <c r="Q3367">
        <v>5.5</v>
      </c>
      <c r="R3367">
        <v>18</v>
      </c>
      <c r="S3367" t="s">
        <v>71</v>
      </c>
    </row>
    <row r="3368" spans="1:19" x14ac:dyDescent="0.3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 t="str">
        <f t="shared" si="52"/>
        <v>15-30 days</v>
      </c>
      <c r="L3368">
        <v>21</v>
      </c>
      <c r="M3368">
        <v>7</v>
      </c>
      <c r="N3368">
        <v>2</v>
      </c>
      <c r="O3368" t="s">
        <v>54</v>
      </c>
      <c r="P3368" t="s">
        <v>55</v>
      </c>
      <c r="Q3368">
        <v>15.2</v>
      </c>
      <c r="R3368">
        <v>32</v>
      </c>
      <c r="S3368" t="s">
        <v>36</v>
      </c>
    </row>
    <row r="3369" spans="1:19" x14ac:dyDescent="0.3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 t="str">
        <f t="shared" si="52"/>
        <v>15-30 days</v>
      </c>
      <c r="L3369">
        <v>29</v>
      </c>
      <c r="M3369">
        <v>1</v>
      </c>
      <c r="N3369">
        <v>0</v>
      </c>
      <c r="O3369" t="s">
        <v>25</v>
      </c>
      <c r="P3369" t="s">
        <v>35</v>
      </c>
      <c r="Q3369">
        <v>13.6</v>
      </c>
      <c r="R3369">
        <v>27</v>
      </c>
      <c r="S3369" t="s">
        <v>36</v>
      </c>
    </row>
    <row r="3370" spans="1:19" x14ac:dyDescent="0.3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 t="str">
        <f t="shared" si="52"/>
        <v>15-30 days</v>
      </c>
      <c r="L3370">
        <v>29</v>
      </c>
      <c r="M3370">
        <v>2</v>
      </c>
      <c r="N3370">
        <v>0</v>
      </c>
      <c r="O3370" t="s">
        <v>54</v>
      </c>
      <c r="P3370" t="s">
        <v>55</v>
      </c>
      <c r="Q3370">
        <v>7.8</v>
      </c>
      <c r="R3370">
        <v>39</v>
      </c>
      <c r="S3370" t="s">
        <v>27</v>
      </c>
    </row>
    <row r="3371" spans="1:19" x14ac:dyDescent="0.3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 t="str">
        <f t="shared" si="52"/>
        <v>31-60 days</v>
      </c>
      <c r="L3371">
        <v>56</v>
      </c>
      <c r="M3371">
        <v>0</v>
      </c>
      <c r="N3371">
        <v>0</v>
      </c>
      <c r="O3371" t="s">
        <v>25</v>
      </c>
      <c r="P3371" t="s">
        <v>26</v>
      </c>
      <c r="Q3371">
        <v>6.7</v>
      </c>
      <c r="R3371">
        <v>27</v>
      </c>
      <c r="S3371" t="s">
        <v>27</v>
      </c>
    </row>
    <row r="3372" spans="1:19" x14ac:dyDescent="0.3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 t="str">
        <f t="shared" si="52"/>
        <v>31-60 days</v>
      </c>
      <c r="L3372">
        <v>59</v>
      </c>
      <c r="M3372">
        <v>2</v>
      </c>
      <c r="N3372">
        <v>0</v>
      </c>
      <c r="O3372" t="s">
        <v>25</v>
      </c>
      <c r="P3372" t="s">
        <v>50</v>
      </c>
      <c r="Q3372">
        <v>3.2</v>
      </c>
      <c r="R3372">
        <v>23</v>
      </c>
      <c r="S3372" t="s">
        <v>27</v>
      </c>
    </row>
    <row r="3373" spans="1:19" x14ac:dyDescent="0.3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 t="str">
        <f t="shared" si="52"/>
        <v>31-60 days</v>
      </c>
      <c r="L3373">
        <v>49</v>
      </c>
      <c r="M3373">
        <v>2</v>
      </c>
      <c r="N3373">
        <v>0</v>
      </c>
      <c r="O3373" t="s">
        <v>25</v>
      </c>
      <c r="P3373" t="s">
        <v>50</v>
      </c>
      <c r="Q3373">
        <v>16.8</v>
      </c>
      <c r="R3373">
        <v>22</v>
      </c>
      <c r="S3373" t="s">
        <v>27</v>
      </c>
    </row>
    <row r="3374" spans="1:19" x14ac:dyDescent="0.3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 t="str">
        <f t="shared" si="52"/>
        <v>31-60 days</v>
      </c>
      <c r="L3374">
        <v>39</v>
      </c>
      <c r="M3374">
        <v>1</v>
      </c>
      <c r="N3374">
        <v>0</v>
      </c>
      <c r="O3374" t="s">
        <v>25</v>
      </c>
      <c r="P3374" t="s">
        <v>26</v>
      </c>
      <c r="Q3374">
        <v>17.7</v>
      </c>
      <c r="R3374">
        <v>26</v>
      </c>
      <c r="S3374" t="s">
        <v>27</v>
      </c>
    </row>
    <row r="3375" spans="1:19" x14ac:dyDescent="0.3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 t="str">
        <f t="shared" si="52"/>
        <v>0-7 days</v>
      </c>
      <c r="L3375">
        <v>6</v>
      </c>
      <c r="M3375">
        <v>6</v>
      </c>
      <c r="N3375">
        <v>3</v>
      </c>
      <c r="O3375" t="s">
        <v>25</v>
      </c>
      <c r="P3375" t="s">
        <v>26</v>
      </c>
      <c r="Q3375">
        <v>8</v>
      </c>
      <c r="R3375">
        <v>28</v>
      </c>
      <c r="S3375" t="s">
        <v>36</v>
      </c>
    </row>
    <row r="3376" spans="1:19" x14ac:dyDescent="0.3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 t="str">
        <f t="shared" si="52"/>
        <v>31-60 days</v>
      </c>
      <c r="L3376">
        <v>55</v>
      </c>
      <c r="M3376">
        <v>4</v>
      </c>
      <c r="N3376">
        <v>2</v>
      </c>
      <c r="O3376" t="s">
        <v>25</v>
      </c>
      <c r="P3376" t="s">
        <v>26</v>
      </c>
      <c r="Q3376">
        <v>5.8</v>
      </c>
      <c r="R3376">
        <v>24</v>
      </c>
      <c r="S3376" t="s">
        <v>27</v>
      </c>
    </row>
    <row r="3377" spans="1:19" x14ac:dyDescent="0.3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 t="str">
        <f t="shared" si="52"/>
        <v>8-14 days</v>
      </c>
      <c r="L3377">
        <v>8</v>
      </c>
      <c r="M3377">
        <v>6</v>
      </c>
      <c r="N3377">
        <v>2</v>
      </c>
      <c r="O3377" t="s">
        <v>25</v>
      </c>
      <c r="P3377" t="s">
        <v>35</v>
      </c>
      <c r="Q3377">
        <v>4.4000000000000004</v>
      </c>
      <c r="R3377">
        <v>19</v>
      </c>
      <c r="S3377" t="s">
        <v>27</v>
      </c>
    </row>
    <row r="3378" spans="1:19" x14ac:dyDescent="0.3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 t="str">
        <f t="shared" si="52"/>
        <v>8-14 days</v>
      </c>
      <c r="L3378">
        <v>10</v>
      </c>
      <c r="M3378">
        <v>0</v>
      </c>
      <c r="N3378">
        <v>0</v>
      </c>
      <c r="O3378" t="s">
        <v>54</v>
      </c>
      <c r="P3378" t="s">
        <v>55</v>
      </c>
      <c r="Q3378">
        <v>8.5</v>
      </c>
      <c r="R3378">
        <v>31</v>
      </c>
      <c r="S3378" t="s">
        <v>36</v>
      </c>
    </row>
    <row r="3379" spans="1:19" x14ac:dyDescent="0.3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 t="str">
        <f t="shared" si="52"/>
        <v>0-7 days</v>
      </c>
      <c r="L3379">
        <v>4</v>
      </c>
      <c r="M3379">
        <v>2</v>
      </c>
      <c r="N3379">
        <v>0</v>
      </c>
      <c r="O3379" t="s">
        <v>25</v>
      </c>
      <c r="P3379" t="s">
        <v>26</v>
      </c>
      <c r="Q3379">
        <v>5</v>
      </c>
      <c r="R3379">
        <v>29</v>
      </c>
      <c r="S3379" t="s">
        <v>27</v>
      </c>
    </row>
    <row r="3380" spans="1:19" x14ac:dyDescent="0.3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 t="str">
        <f t="shared" si="52"/>
        <v>31-60 days</v>
      </c>
      <c r="L3380">
        <v>57</v>
      </c>
      <c r="M3380">
        <v>6</v>
      </c>
      <c r="N3380">
        <v>1</v>
      </c>
      <c r="O3380" t="s">
        <v>25</v>
      </c>
      <c r="P3380" t="s">
        <v>50</v>
      </c>
      <c r="Q3380">
        <v>10.199999999999999</v>
      </c>
      <c r="R3380">
        <v>24</v>
      </c>
      <c r="S3380" t="s">
        <v>36</v>
      </c>
    </row>
    <row r="3381" spans="1:19" x14ac:dyDescent="0.3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 t="str">
        <f t="shared" si="52"/>
        <v>15-30 days</v>
      </c>
      <c r="L3381">
        <v>30</v>
      </c>
      <c r="M3381">
        <v>3</v>
      </c>
      <c r="N3381">
        <v>0</v>
      </c>
      <c r="O3381" t="s">
        <v>25</v>
      </c>
      <c r="P3381" t="s">
        <v>35</v>
      </c>
      <c r="Q3381">
        <v>11.2</v>
      </c>
      <c r="R3381">
        <v>31</v>
      </c>
      <c r="S3381" t="s">
        <v>36</v>
      </c>
    </row>
    <row r="3382" spans="1:19" x14ac:dyDescent="0.3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 t="str">
        <f t="shared" si="52"/>
        <v>8-14 days</v>
      </c>
      <c r="L3382">
        <v>14</v>
      </c>
      <c r="M3382">
        <v>1</v>
      </c>
      <c r="N3382">
        <v>0</v>
      </c>
      <c r="O3382" t="s">
        <v>25</v>
      </c>
      <c r="P3382" t="s">
        <v>35</v>
      </c>
      <c r="Q3382">
        <v>11.3</v>
      </c>
      <c r="R3382">
        <v>23</v>
      </c>
      <c r="S3382" t="s">
        <v>36</v>
      </c>
    </row>
    <row r="3383" spans="1:19" x14ac:dyDescent="0.3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 t="str">
        <f t="shared" si="52"/>
        <v>0-7 days</v>
      </c>
      <c r="L3383">
        <v>4</v>
      </c>
      <c r="M3383">
        <v>1</v>
      </c>
      <c r="N3383">
        <v>0</v>
      </c>
      <c r="O3383" t="s">
        <v>25</v>
      </c>
      <c r="P3383" t="s">
        <v>26</v>
      </c>
      <c r="Q3383">
        <v>4.5</v>
      </c>
      <c r="R3383">
        <v>24</v>
      </c>
      <c r="S3383" t="s">
        <v>36</v>
      </c>
    </row>
    <row r="3384" spans="1:19" x14ac:dyDescent="0.3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 t="str">
        <f t="shared" si="52"/>
        <v>15-30 days</v>
      </c>
      <c r="L3384">
        <v>25</v>
      </c>
      <c r="M3384">
        <v>3</v>
      </c>
      <c r="N3384">
        <v>0</v>
      </c>
      <c r="O3384" t="s">
        <v>25</v>
      </c>
      <c r="P3384" t="s">
        <v>50</v>
      </c>
      <c r="Q3384">
        <v>4.9000000000000004</v>
      </c>
      <c r="R3384">
        <v>31</v>
      </c>
      <c r="S3384" t="s">
        <v>36</v>
      </c>
    </row>
    <row r="3385" spans="1:19" x14ac:dyDescent="0.3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 t="str">
        <f t="shared" si="52"/>
        <v>31-60 days</v>
      </c>
      <c r="L3385">
        <v>44</v>
      </c>
      <c r="M3385">
        <v>5</v>
      </c>
      <c r="N3385">
        <v>0</v>
      </c>
      <c r="O3385" t="s">
        <v>25</v>
      </c>
      <c r="P3385" t="s">
        <v>35</v>
      </c>
      <c r="Q3385">
        <v>8</v>
      </c>
      <c r="R3385">
        <v>33</v>
      </c>
      <c r="S3385" t="s">
        <v>27</v>
      </c>
    </row>
    <row r="3386" spans="1:19" x14ac:dyDescent="0.3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 t="str">
        <f t="shared" si="52"/>
        <v>31-60 days</v>
      </c>
      <c r="L3386">
        <v>60</v>
      </c>
      <c r="M3386">
        <v>3</v>
      </c>
      <c r="N3386">
        <v>0</v>
      </c>
      <c r="O3386" t="s">
        <v>25</v>
      </c>
      <c r="P3386" t="s">
        <v>35</v>
      </c>
      <c r="Q3386">
        <v>16.5</v>
      </c>
      <c r="R3386">
        <v>31</v>
      </c>
      <c r="S3386" t="s">
        <v>36</v>
      </c>
    </row>
    <row r="3387" spans="1:19" x14ac:dyDescent="0.3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 t="str">
        <f t="shared" si="52"/>
        <v>31-60 days</v>
      </c>
      <c r="L3387">
        <v>33</v>
      </c>
      <c r="M3387">
        <v>6</v>
      </c>
      <c r="N3387">
        <v>2</v>
      </c>
      <c r="O3387" t="s">
        <v>25</v>
      </c>
      <c r="P3387" t="s">
        <v>35</v>
      </c>
      <c r="Q3387">
        <v>11.2</v>
      </c>
      <c r="R3387">
        <v>16</v>
      </c>
      <c r="S3387" t="s">
        <v>27</v>
      </c>
    </row>
    <row r="3388" spans="1:19" x14ac:dyDescent="0.3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 t="str">
        <f t="shared" si="52"/>
        <v>31-60 days</v>
      </c>
      <c r="L3388">
        <v>37</v>
      </c>
      <c r="M3388">
        <v>1</v>
      </c>
      <c r="N3388">
        <v>1</v>
      </c>
      <c r="O3388" t="s">
        <v>25</v>
      </c>
      <c r="P3388" t="s">
        <v>26</v>
      </c>
      <c r="Q3388">
        <v>4.3</v>
      </c>
      <c r="R3388">
        <v>28</v>
      </c>
      <c r="S3388" t="s">
        <v>27</v>
      </c>
    </row>
    <row r="3389" spans="1:19" x14ac:dyDescent="0.3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 t="str">
        <f t="shared" si="52"/>
        <v>31-60 days</v>
      </c>
      <c r="L3389">
        <v>50</v>
      </c>
      <c r="M3389">
        <v>2</v>
      </c>
      <c r="N3389">
        <v>0</v>
      </c>
      <c r="O3389" t="s">
        <v>54</v>
      </c>
      <c r="P3389" t="s">
        <v>55</v>
      </c>
      <c r="Q3389">
        <v>11.5</v>
      </c>
      <c r="R3389">
        <v>24</v>
      </c>
      <c r="S3389" t="s">
        <v>27</v>
      </c>
    </row>
    <row r="3390" spans="1:19" x14ac:dyDescent="0.3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 t="str">
        <f t="shared" si="52"/>
        <v>31-60 days</v>
      </c>
      <c r="L3390">
        <v>55</v>
      </c>
      <c r="M3390">
        <v>2</v>
      </c>
      <c r="N3390">
        <v>0</v>
      </c>
      <c r="O3390" t="s">
        <v>54</v>
      </c>
      <c r="P3390" t="s">
        <v>55</v>
      </c>
      <c r="Q3390">
        <v>0.5</v>
      </c>
      <c r="R3390">
        <v>28</v>
      </c>
      <c r="S3390" t="s">
        <v>27</v>
      </c>
    </row>
    <row r="3391" spans="1:19" x14ac:dyDescent="0.3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 t="str">
        <f t="shared" si="52"/>
        <v>15-30 days</v>
      </c>
      <c r="L3391">
        <v>17</v>
      </c>
      <c r="M3391">
        <v>1</v>
      </c>
      <c r="N3391">
        <v>0</v>
      </c>
      <c r="O3391" t="s">
        <v>25</v>
      </c>
      <c r="P3391" t="s">
        <v>50</v>
      </c>
      <c r="Q3391">
        <v>14.3</v>
      </c>
      <c r="R3391">
        <v>44</v>
      </c>
      <c r="S3391" t="s">
        <v>36</v>
      </c>
    </row>
    <row r="3392" spans="1:19" x14ac:dyDescent="0.3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 t="str">
        <f t="shared" si="52"/>
        <v>31-60 days</v>
      </c>
      <c r="L3392">
        <v>60</v>
      </c>
      <c r="M3392">
        <v>1</v>
      </c>
      <c r="N3392">
        <v>0</v>
      </c>
      <c r="O3392" t="s">
        <v>25</v>
      </c>
      <c r="P3392" t="s">
        <v>26</v>
      </c>
      <c r="Q3392">
        <v>18.2</v>
      </c>
      <c r="R3392">
        <v>22</v>
      </c>
      <c r="S3392" t="s">
        <v>27</v>
      </c>
    </row>
    <row r="3393" spans="1:19" x14ac:dyDescent="0.3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 t="str">
        <f t="shared" si="52"/>
        <v>31-60 days</v>
      </c>
      <c r="L3393">
        <v>31</v>
      </c>
      <c r="M3393">
        <v>4</v>
      </c>
      <c r="N3393">
        <v>0</v>
      </c>
      <c r="O3393" t="s">
        <v>54</v>
      </c>
      <c r="P3393" t="s">
        <v>55</v>
      </c>
      <c r="Q3393">
        <v>6.4</v>
      </c>
      <c r="R3393">
        <v>24</v>
      </c>
      <c r="S3393" t="s">
        <v>27</v>
      </c>
    </row>
    <row r="3394" spans="1:19" x14ac:dyDescent="0.3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 t="str">
        <f t="shared" si="52"/>
        <v>31-60 days</v>
      </c>
      <c r="L3394">
        <v>56</v>
      </c>
      <c r="M3394">
        <v>1</v>
      </c>
      <c r="N3394">
        <v>0</v>
      </c>
      <c r="O3394" t="s">
        <v>25</v>
      </c>
      <c r="P3394" t="s">
        <v>35</v>
      </c>
      <c r="Q3394">
        <v>9.5</v>
      </c>
      <c r="R3394">
        <v>18</v>
      </c>
      <c r="S3394" t="s">
        <v>27</v>
      </c>
    </row>
    <row r="3395" spans="1:19" x14ac:dyDescent="0.3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 t="str">
        <f t="shared" ref="K3395:K3458" si="53">IF(L3395&lt;=7,"0-7 days",IF(L3395&lt;=14,"8-14 days",IF(L3395&lt;=30,"15-30 days","31-60 days")))</f>
        <v>0-7 days</v>
      </c>
      <c r="L3395">
        <v>7</v>
      </c>
      <c r="M3395">
        <v>6</v>
      </c>
      <c r="N3395">
        <v>0</v>
      </c>
      <c r="O3395" t="s">
        <v>54</v>
      </c>
      <c r="P3395" t="s">
        <v>55</v>
      </c>
      <c r="Q3395">
        <v>4.8</v>
      </c>
      <c r="R3395">
        <v>22</v>
      </c>
      <c r="S3395" t="s">
        <v>36</v>
      </c>
    </row>
    <row r="3396" spans="1:19" x14ac:dyDescent="0.3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 t="str">
        <f t="shared" si="53"/>
        <v>0-7 days</v>
      </c>
      <c r="L3396">
        <v>5</v>
      </c>
      <c r="M3396">
        <v>3</v>
      </c>
      <c r="N3396">
        <v>1</v>
      </c>
      <c r="O3396" t="s">
        <v>54</v>
      </c>
      <c r="P3396" t="s">
        <v>55</v>
      </c>
      <c r="Q3396">
        <v>3.8</v>
      </c>
      <c r="R3396">
        <v>17</v>
      </c>
      <c r="S3396" t="s">
        <v>36</v>
      </c>
    </row>
    <row r="3397" spans="1:19" x14ac:dyDescent="0.3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 t="str">
        <f t="shared" si="53"/>
        <v>31-60 days</v>
      </c>
      <c r="L3397">
        <v>53</v>
      </c>
      <c r="M3397">
        <v>1</v>
      </c>
      <c r="N3397">
        <v>0</v>
      </c>
      <c r="O3397" t="s">
        <v>25</v>
      </c>
      <c r="P3397" t="s">
        <v>35</v>
      </c>
      <c r="Q3397">
        <v>16.2</v>
      </c>
      <c r="R3397">
        <v>12</v>
      </c>
      <c r="S3397" t="s">
        <v>27</v>
      </c>
    </row>
    <row r="3398" spans="1:19" x14ac:dyDescent="0.3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 t="str">
        <f t="shared" si="53"/>
        <v>31-60 days</v>
      </c>
      <c r="L3398">
        <v>41</v>
      </c>
      <c r="M3398">
        <v>3</v>
      </c>
      <c r="N3398">
        <v>0</v>
      </c>
      <c r="O3398" t="s">
        <v>25</v>
      </c>
      <c r="P3398" t="s">
        <v>35</v>
      </c>
      <c r="Q3398">
        <v>4.9000000000000004</v>
      </c>
      <c r="R3398">
        <v>2</v>
      </c>
      <c r="S3398" t="s">
        <v>36</v>
      </c>
    </row>
    <row r="3399" spans="1:19" x14ac:dyDescent="0.3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 t="str">
        <f t="shared" si="53"/>
        <v>8-14 days</v>
      </c>
      <c r="L3399">
        <v>10</v>
      </c>
      <c r="M3399">
        <v>1</v>
      </c>
      <c r="N3399">
        <v>1</v>
      </c>
      <c r="O3399" t="s">
        <v>54</v>
      </c>
      <c r="P3399" t="s">
        <v>55</v>
      </c>
      <c r="Q3399">
        <v>9.3000000000000007</v>
      </c>
      <c r="R3399">
        <v>16</v>
      </c>
      <c r="S3399" t="s">
        <v>36</v>
      </c>
    </row>
    <row r="3400" spans="1:19" x14ac:dyDescent="0.3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 t="str">
        <f t="shared" si="53"/>
        <v>31-60 days</v>
      </c>
      <c r="L3400">
        <v>54</v>
      </c>
      <c r="M3400">
        <v>1</v>
      </c>
      <c r="N3400">
        <v>0</v>
      </c>
      <c r="O3400" t="s">
        <v>25</v>
      </c>
      <c r="P3400" t="s">
        <v>26</v>
      </c>
      <c r="Q3400">
        <v>12.8</v>
      </c>
      <c r="R3400">
        <v>17</v>
      </c>
      <c r="S3400" t="s">
        <v>36</v>
      </c>
    </row>
    <row r="3401" spans="1:19" x14ac:dyDescent="0.3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 t="str">
        <f t="shared" si="53"/>
        <v>0-7 days</v>
      </c>
      <c r="L3401">
        <v>6</v>
      </c>
      <c r="M3401">
        <v>3</v>
      </c>
      <c r="N3401">
        <v>0</v>
      </c>
      <c r="O3401" t="s">
        <v>25</v>
      </c>
      <c r="P3401" t="s">
        <v>35</v>
      </c>
      <c r="Q3401">
        <v>10.199999999999999</v>
      </c>
      <c r="R3401">
        <v>23</v>
      </c>
      <c r="S3401" t="s">
        <v>27</v>
      </c>
    </row>
    <row r="3402" spans="1:19" x14ac:dyDescent="0.3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 t="str">
        <f t="shared" si="53"/>
        <v>31-60 days</v>
      </c>
      <c r="L3402">
        <v>41</v>
      </c>
      <c r="M3402">
        <v>2</v>
      </c>
      <c r="N3402">
        <v>0</v>
      </c>
      <c r="O3402" t="s">
        <v>25</v>
      </c>
      <c r="P3402" t="s">
        <v>35</v>
      </c>
      <c r="Q3402">
        <v>2.9</v>
      </c>
      <c r="R3402">
        <v>18</v>
      </c>
      <c r="S3402" t="s">
        <v>27</v>
      </c>
    </row>
    <row r="3403" spans="1:19" x14ac:dyDescent="0.3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 t="str">
        <f t="shared" si="53"/>
        <v>8-14 days</v>
      </c>
      <c r="L3403">
        <v>12</v>
      </c>
      <c r="M3403">
        <v>5</v>
      </c>
      <c r="N3403">
        <v>1</v>
      </c>
      <c r="O3403" t="s">
        <v>25</v>
      </c>
      <c r="P3403" t="s">
        <v>26</v>
      </c>
      <c r="R3403">
        <v>35</v>
      </c>
      <c r="S3403" t="s">
        <v>36</v>
      </c>
    </row>
    <row r="3404" spans="1:19" x14ac:dyDescent="0.3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 t="str">
        <f t="shared" si="53"/>
        <v>0-7 days</v>
      </c>
      <c r="L3404">
        <v>4</v>
      </c>
      <c r="M3404">
        <v>4</v>
      </c>
      <c r="N3404">
        <v>2</v>
      </c>
      <c r="O3404" t="s">
        <v>25</v>
      </c>
      <c r="P3404" t="s">
        <v>35</v>
      </c>
      <c r="Q3404">
        <v>14</v>
      </c>
      <c r="R3404">
        <v>26</v>
      </c>
      <c r="S3404" t="s">
        <v>27</v>
      </c>
    </row>
    <row r="3405" spans="1:19" x14ac:dyDescent="0.3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 t="str">
        <f t="shared" si="53"/>
        <v>31-60 days</v>
      </c>
      <c r="L3405">
        <v>49</v>
      </c>
      <c r="M3405">
        <v>4</v>
      </c>
      <c r="N3405">
        <v>0</v>
      </c>
      <c r="O3405" t="s">
        <v>25</v>
      </c>
      <c r="P3405" t="s">
        <v>26</v>
      </c>
      <c r="Q3405">
        <v>8.1999999999999993</v>
      </c>
      <c r="R3405">
        <v>32</v>
      </c>
      <c r="S3405" t="s">
        <v>27</v>
      </c>
    </row>
    <row r="3406" spans="1:19" x14ac:dyDescent="0.3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 t="str">
        <f t="shared" si="53"/>
        <v>31-60 days</v>
      </c>
      <c r="L3406">
        <v>51</v>
      </c>
      <c r="M3406">
        <v>3</v>
      </c>
      <c r="N3406">
        <v>1</v>
      </c>
      <c r="O3406" t="s">
        <v>54</v>
      </c>
      <c r="P3406" t="s">
        <v>55</v>
      </c>
      <c r="Q3406">
        <v>8.4</v>
      </c>
      <c r="R3406">
        <v>35</v>
      </c>
      <c r="S3406" t="s">
        <v>36</v>
      </c>
    </row>
    <row r="3407" spans="1:19" x14ac:dyDescent="0.3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 t="str">
        <f t="shared" si="53"/>
        <v>0-7 days</v>
      </c>
      <c r="L3407">
        <v>6</v>
      </c>
      <c r="M3407">
        <v>3</v>
      </c>
      <c r="N3407">
        <v>1</v>
      </c>
      <c r="O3407" t="s">
        <v>25</v>
      </c>
      <c r="P3407" t="s">
        <v>35</v>
      </c>
      <c r="Q3407">
        <v>15.4</v>
      </c>
      <c r="R3407">
        <v>39</v>
      </c>
      <c r="S3407" t="s">
        <v>27</v>
      </c>
    </row>
    <row r="3408" spans="1:19" x14ac:dyDescent="0.3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 t="str">
        <f t="shared" si="53"/>
        <v>0-7 days</v>
      </c>
      <c r="L3408">
        <v>5</v>
      </c>
      <c r="M3408">
        <v>2</v>
      </c>
      <c r="N3408">
        <v>1</v>
      </c>
      <c r="O3408" t="s">
        <v>54</v>
      </c>
      <c r="P3408" t="s">
        <v>55</v>
      </c>
      <c r="Q3408">
        <v>13.3</v>
      </c>
      <c r="R3408">
        <v>35</v>
      </c>
      <c r="S3408" t="s">
        <v>27</v>
      </c>
    </row>
    <row r="3409" spans="1:19" x14ac:dyDescent="0.3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 t="str">
        <f t="shared" si="53"/>
        <v>31-60 days</v>
      </c>
      <c r="L3409">
        <v>37</v>
      </c>
      <c r="M3409">
        <v>5</v>
      </c>
      <c r="N3409">
        <v>0</v>
      </c>
      <c r="O3409" t="s">
        <v>54</v>
      </c>
      <c r="P3409" t="s">
        <v>55</v>
      </c>
      <c r="Q3409">
        <v>6.5</v>
      </c>
      <c r="R3409">
        <v>14</v>
      </c>
      <c r="S3409" t="s">
        <v>71</v>
      </c>
    </row>
    <row r="3410" spans="1:19" x14ac:dyDescent="0.3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 t="str">
        <f t="shared" si="53"/>
        <v>0-7 days</v>
      </c>
      <c r="L3410">
        <v>1</v>
      </c>
      <c r="M3410">
        <v>1</v>
      </c>
      <c r="N3410">
        <v>0</v>
      </c>
      <c r="O3410" t="s">
        <v>25</v>
      </c>
      <c r="P3410" t="s">
        <v>35</v>
      </c>
      <c r="Q3410">
        <v>20.9</v>
      </c>
      <c r="R3410">
        <v>33</v>
      </c>
      <c r="S3410" t="s">
        <v>36</v>
      </c>
    </row>
    <row r="3411" spans="1:19" x14ac:dyDescent="0.3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 t="str">
        <f t="shared" si="53"/>
        <v>31-60 days</v>
      </c>
      <c r="L3411">
        <v>45</v>
      </c>
      <c r="M3411">
        <v>5</v>
      </c>
      <c r="N3411">
        <v>2</v>
      </c>
      <c r="O3411" t="s">
        <v>54</v>
      </c>
      <c r="P3411" t="s">
        <v>55</v>
      </c>
      <c r="Q3411">
        <v>5.0999999999999996</v>
      </c>
      <c r="R3411">
        <v>28</v>
      </c>
      <c r="S3411" t="s">
        <v>27</v>
      </c>
    </row>
    <row r="3412" spans="1:19" x14ac:dyDescent="0.3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 t="str">
        <f t="shared" si="53"/>
        <v>31-60 days</v>
      </c>
      <c r="L3412">
        <v>55</v>
      </c>
      <c r="M3412">
        <v>4</v>
      </c>
      <c r="N3412">
        <v>1</v>
      </c>
      <c r="O3412" t="s">
        <v>25</v>
      </c>
      <c r="P3412" t="s">
        <v>35</v>
      </c>
      <c r="Q3412">
        <v>6.3</v>
      </c>
      <c r="R3412">
        <v>39</v>
      </c>
      <c r="S3412" t="s">
        <v>36</v>
      </c>
    </row>
    <row r="3413" spans="1:19" x14ac:dyDescent="0.3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 t="str">
        <f t="shared" si="53"/>
        <v>31-60 days</v>
      </c>
      <c r="L3413">
        <v>45</v>
      </c>
      <c r="M3413">
        <v>3</v>
      </c>
      <c r="N3413">
        <v>2</v>
      </c>
      <c r="O3413" t="s">
        <v>25</v>
      </c>
      <c r="P3413" t="s">
        <v>26</v>
      </c>
      <c r="Q3413">
        <v>9.1999999999999993</v>
      </c>
      <c r="R3413">
        <v>24</v>
      </c>
      <c r="S3413" t="s">
        <v>27</v>
      </c>
    </row>
    <row r="3414" spans="1:19" x14ac:dyDescent="0.3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 t="str">
        <f t="shared" si="53"/>
        <v>8-14 days</v>
      </c>
      <c r="L3414">
        <v>14</v>
      </c>
      <c r="M3414">
        <v>2</v>
      </c>
      <c r="N3414">
        <v>0</v>
      </c>
      <c r="O3414" t="s">
        <v>25</v>
      </c>
      <c r="P3414" t="s">
        <v>35</v>
      </c>
      <c r="Q3414">
        <v>12.8</v>
      </c>
      <c r="R3414">
        <v>37</v>
      </c>
      <c r="S3414" t="s">
        <v>36</v>
      </c>
    </row>
    <row r="3415" spans="1:19" x14ac:dyDescent="0.3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 t="str">
        <f t="shared" si="53"/>
        <v>8-14 days</v>
      </c>
      <c r="L3415">
        <v>11</v>
      </c>
      <c r="M3415">
        <v>2</v>
      </c>
      <c r="N3415">
        <v>0</v>
      </c>
      <c r="O3415" t="s">
        <v>25</v>
      </c>
      <c r="P3415" t="s">
        <v>35</v>
      </c>
      <c r="Q3415">
        <v>19</v>
      </c>
      <c r="R3415">
        <v>25</v>
      </c>
      <c r="S3415" t="s">
        <v>36</v>
      </c>
    </row>
    <row r="3416" spans="1:19" x14ac:dyDescent="0.3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 t="str">
        <f t="shared" si="53"/>
        <v>31-60 days</v>
      </c>
      <c r="L3416">
        <v>41</v>
      </c>
      <c r="M3416">
        <v>2</v>
      </c>
      <c r="N3416">
        <v>2</v>
      </c>
      <c r="O3416" t="s">
        <v>54</v>
      </c>
      <c r="P3416" t="s">
        <v>55</v>
      </c>
      <c r="Q3416">
        <v>6.4</v>
      </c>
      <c r="R3416">
        <v>26</v>
      </c>
      <c r="S3416" t="s">
        <v>71</v>
      </c>
    </row>
    <row r="3417" spans="1:19" x14ac:dyDescent="0.3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 t="str">
        <f t="shared" si="53"/>
        <v>0-7 days</v>
      </c>
      <c r="L3417">
        <v>3</v>
      </c>
      <c r="M3417">
        <v>4</v>
      </c>
      <c r="N3417">
        <v>1</v>
      </c>
      <c r="O3417" t="s">
        <v>25</v>
      </c>
      <c r="P3417" t="s">
        <v>35</v>
      </c>
      <c r="Q3417">
        <v>9.4</v>
      </c>
      <c r="R3417">
        <v>31</v>
      </c>
      <c r="S3417" t="s">
        <v>27</v>
      </c>
    </row>
    <row r="3418" spans="1:19" x14ac:dyDescent="0.3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 t="str">
        <f t="shared" si="53"/>
        <v>31-60 days</v>
      </c>
      <c r="L3418">
        <v>32</v>
      </c>
      <c r="M3418">
        <v>5</v>
      </c>
      <c r="N3418">
        <v>0</v>
      </c>
      <c r="O3418" t="s">
        <v>25</v>
      </c>
      <c r="P3418" t="s">
        <v>50</v>
      </c>
      <c r="Q3418">
        <v>21</v>
      </c>
      <c r="R3418">
        <v>21</v>
      </c>
      <c r="S3418" t="s">
        <v>27</v>
      </c>
    </row>
    <row r="3419" spans="1:19" x14ac:dyDescent="0.3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 t="str">
        <f t="shared" si="53"/>
        <v>15-30 days</v>
      </c>
      <c r="L3419">
        <v>27</v>
      </c>
      <c r="M3419">
        <v>3</v>
      </c>
      <c r="N3419">
        <v>1</v>
      </c>
      <c r="O3419" t="s">
        <v>54</v>
      </c>
      <c r="P3419" t="s">
        <v>55</v>
      </c>
      <c r="Q3419">
        <v>16.100000000000001</v>
      </c>
      <c r="R3419">
        <v>30</v>
      </c>
      <c r="S3419" t="s">
        <v>27</v>
      </c>
    </row>
    <row r="3420" spans="1:19" x14ac:dyDescent="0.3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 t="str">
        <f t="shared" si="53"/>
        <v>31-60 days</v>
      </c>
      <c r="L3420">
        <v>45</v>
      </c>
      <c r="M3420">
        <v>5</v>
      </c>
      <c r="N3420">
        <v>0</v>
      </c>
      <c r="O3420" t="s">
        <v>54</v>
      </c>
      <c r="P3420" t="s">
        <v>55</v>
      </c>
      <c r="Q3420">
        <v>11.6</v>
      </c>
      <c r="R3420">
        <v>7</v>
      </c>
      <c r="S3420" t="s">
        <v>27</v>
      </c>
    </row>
    <row r="3421" spans="1:19" x14ac:dyDescent="0.3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 t="str">
        <f t="shared" si="53"/>
        <v>8-14 days</v>
      </c>
      <c r="L3421">
        <v>12</v>
      </c>
      <c r="M3421">
        <v>4</v>
      </c>
      <c r="N3421">
        <v>1</v>
      </c>
      <c r="O3421" t="s">
        <v>54</v>
      </c>
      <c r="P3421" t="s">
        <v>55</v>
      </c>
      <c r="Q3421">
        <v>10.199999999999999</v>
      </c>
      <c r="R3421">
        <v>29</v>
      </c>
      <c r="S3421" t="s">
        <v>27</v>
      </c>
    </row>
    <row r="3422" spans="1:19" x14ac:dyDescent="0.3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 t="str">
        <f t="shared" si="53"/>
        <v>31-60 days</v>
      </c>
      <c r="L3422">
        <v>46</v>
      </c>
      <c r="M3422">
        <v>5</v>
      </c>
      <c r="N3422">
        <v>0</v>
      </c>
      <c r="O3422" t="s">
        <v>25</v>
      </c>
      <c r="P3422" t="s">
        <v>35</v>
      </c>
      <c r="Q3422">
        <v>2.6</v>
      </c>
      <c r="R3422">
        <v>10</v>
      </c>
      <c r="S3422" t="s">
        <v>36</v>
      </c>
    </row>
    <row r="3423" spans="1:19" x14ac:dyDescent="0.3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 t="str">
        <f t="shared" si="53"/>
        <v>31-60 days</v>
      </c>
      <c r="L3423">
        <v>42</v>
      </c>
      <c r="M3423">
        <v>2</v>
      </c>
      <c r="N3423">
        <v>2</v>
      </c>
      <c r="O3423" t="s">
        <v>25</v>
      </c>
      <c r="P3423" t="s">
        <v>26</v>
      </c>
      <c r="Q3423">
        <v>12.7</v>
      </c>
      <c r="R3423">
        <v>30</v>
      </c>
      <c r="S3423" t="s">
        <v>27</v>
      </c>
    </row>
    <row r="3424" spans="1:19" x14ac:dyDescent="0.3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 t="str">
        <f t="shared" si="53"/>
        <v>8-14 days</v>
      </c>
      <c r="L3424">
        <v>14</v>
      </c>
      <c r="M3424">
        <v>3</v>
      </c>
      <c r="N3424">
        <v>2</v>
      </c>
      <c r="O3424" t="s">
        <v>25</v>
      </c>
      <c r="P3424" t="s">
        <v>35</v>
      </c>
      <c r="Q3424">
        <v>6.8</v>
      </c>
      <c r="R3424">
        <v>2</v>
      </c>
      <c r="S3424" t="s">
        <v>36</v>
      </c>
    </row>
    <row r="3425" spans="1:19" x14ac:dyDescent="0.3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 t="str">
        <f t="shared" si="53"/>
        <v>15-30 days</v>
      </c>
      <c r="L3425">
        <v>21</v>
      </c>
      <c r="M3425">
        <v>4</v>
      </c>
      <c r="N3425">
        <v>2</v>
      </c>
      <c r="O3425" t="s">
        <v>25</v>
      </c>
      <c r="P3425" t="s">
        <v>26</v>
      </c>
      <c r="Q3425">
        <v>17.399999999999999</v>
      </c>
      <c r="R3425">
        <v>4</v>
      </c>
      <c r="S3425" t="s">
        <v>36</v>
      </c>
    </row>
    <row r="3426" spans="1:19" x14ac:dyDescent="0.3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 t="str">
        <f t="shared" si="53"/>
        <v>0-7 days</v>
      </c>
      <c r="L3426">
        <v>4</v>
      </c>
      <c r="M3426">
        <v>3</v>
      </c>
      <c r="N3426">
        <v>0</v>
      </c>
      <c r="O3426" t="s">
        <v>54</v>
      </c>
      <c r="P3426" t="s">
        <v>55</v>
      </c>
      <c r="Q3426">
        <v>9.9</v>
      </c>
      <c r="R3426">
        <v>25</v>
      </c>
      <c r="S3426" t="s">
        <v>27</v>
      </c>
    </row>
    <row r="3427" spans="1:19" x14ac:dyDescent="0.3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 t="str">
        <f t="shared" si="53"/>
        <v>15-30 days</v>
      </c>
      <c r="L3427">
        <v>27</v>
      </c>
      <c r="M3427">
        <v>4</v>
      </c>
      <c r="N3427">
        <v>1</v>
      </c>
      <c r="O3427" t="s">
        <v>25</v>
      </c>
      <c r="P3427" t="s">
        <v>35</v>
      </c>
      <c r="Q3427">
        <v>3.3</v>
      </c>
      <c r="R3427">
        <v>25</v>
      </c>
      <c r="S3427" t="s">
        <v>27</v>
      </c>
    </row>
    <row r="3428" spans="1:19" x14ac:dyDescent="0.3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 t="str">
        <f t="shared" si="53"/>
        <v>15-30 days</v>
      </c>
      <c r="L3428">
        <v>15</v>
      </c>
      <c r="M3428">
        <v>4</v>
      </c>
      <c r="N3428">
        <v>0</v>
      </c>
      <c r="O3428" t="s">
        <v>54</v>
      </c>
      <c r="P3428" t="s">
        <v>55</v>
      </c>
      <c r="Q3428">
        <v>4.3</v>
      </c>
      <c r="R3428">
        <v>21</v>
      </c>
      <c r="S3428" t="s">
        <v>27</v>
      </c>
    </row>
    <row r="3429" spans="1:19" x14ac:dyDescent="0.3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 t="str">
        <f t="shared" si="53"/>
        <v>0-7 days</v>
      </c>
      <c r="L3429">
        <v>6</v>
      </c>
      <c r="M3429">
        <v>3</v>
      </c>
      <c r="N3429">
        <v>0</v>
      </c>
      <c r="O3429" t="s">
        <v>25</v>
      </c>
      <c r="P3429" t="s">
        <v>35</v>
      </c>
      <c r="Q3429">
        <v>28.4</v>
      </c>
      <c r="S3429" t="s">
        <v>36</v>
      </c>
    </row>
    <row r="3430" spans="1:19" x14ac:dyDescent="0.3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 t="str">
        <f t="shared" si="53"/>
        <v>31-60 days</v>
      </c>
      <c r="L3430">
        <v>34</v>
      </c>
      <c r="M3430">
        <v>2</v>
      </c>
      <c r="N3430">
        <v>1</v>
      </c>
      <c r="O3430" t="s">
        <v>25</v>
      </c>
      <c r="P3430" t="s">
        <v>26</v>
      </c>
      <c r="Q3430">
        <v>13.2</v>
      </c>
      <c r="R3430">
        <v>34</v>
      </c>
      <c r="S3430" t="s">
        <v>27</v>
      </c>
    </row>
    <row r="3431" spans="1:19" x14ac:dyDescent="0.3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 t="str">
        <f t="shared" si="53"/>
        <v>31-60 days</v>
      </c>
      <c r="L3431">
        <v>34</v>
      </c>
      <c r="M3431">
        <v>8</v>
      </c>
      <c r="N3431">
        <v>0</v>
      </c>
      <c r="O3431" t="s">
        <v>25</v>
      </c>
      <c r="P3431" t="s">
        <v>35</v>
      </c>
      <c r="Q3431">
        <v>6.2</v>
      </c>
      <c r="R3431">
        <v>52</v>
      </c>
      <c r="S3431" t="s">
        <v>27</v>
      </c>
    </row>
    <row r="3432" spans="1:19" x14ac:dyDescent="0.3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 t="str">
        <f t="shared" si="53"/>
        <v>0-7 days</v>
      </c>
      <c r="L3432">
        <v>5</v>
      </c>
      <c r="M3432">
        <v>2</v>
      </c>
      <c r="N3432">
        <v>0</v>
      </c>
      <c r="O3432" t="s">
        <v>25</v>
      </c>
      <c r="P3432" t="s">
        <v>50</v>
      </c>
      <c r="Q3432">
        <v>10.3</v>
      </c>
      <c r="R3432">
        <v>24</v>
      </c>
      <c r="S3432" t="s">
        <v>36</v>
      </c>
    </row>
    <row r="3433" spans="1:19" x14ac:dyDescent="0.3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 t="str">
        <f t="shared" si="53"/>
        <v>8-14 days</v>
      </c>
      <c r="L3433">
        <v>11</v>
      </c>
      <c r="M3433">
        <v>0</v>
      </c>
      <c r="N3433">
        <v>0</v>
      </c>
      <c r="O3433" t="s">
        <v>54</v>
      </c>
      <c r="P3433" t="s">
        <v>55</v>
      </c>
      <c r="Q3433">
        <v>7.9</v>
      </c>
      <c r="R3433">
        <v>35</v>
      </c>
      <c r="S3433" t="s">
        <v>36</v>
      </c>
    </row>
    <row r="3434" spans="1:19" x14ac:dyDescent="0.3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 t="str">
        <f t="shared" si="53"/>
        <v>0-7 days</v>
      </c>
      <c r="L3434">
        <v>5</v>
      </c>
      <c r="M3434">
        <v>3</v>
      </c>
      <c r="N3434">
        <v>1</v>
      </c>
      <c r="O3434" t="s">
        <v>25</v>
      </c>
      <c r="P3434" t="s">
        <v>26</v>
      </c>
      <c r="Q3434">
        <v>17.2</v>
      </c>
      <c r="R3434">
        <v>15</v>
      </c>
      <c r="S3434" t="s">
        <v>71</v>
      </c>
    </row>
    <row r="3435" spans="1:19" x14ac:dyDescent="0.3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 t="str">
        <f t="shared" si="53"/>
        <v>31-60 days</v>
      </c>
      <c r="L3435">
        <v>41</v>
      </c>
      <c r="M3435">
        <v>2</v>
      </c>
      <c r="N3435">
        <v>0</v>
      </c>
      <c r="O3435" t="s">
        <v>54</v>
      </c>
      <c r="P3435" t="s">
        <v>55</v>
      </c>
      <c r="Q3435">
        <v>14.1</v>
      </c>
      <c r="R3435">
        <v>18</v>
      </c>
      <c r="S3435" t="s">
        <v>27</v>
      </c>
    </row>
    <row r="3436" spans="1:19" x14ac:dyDescent="0.3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 t="str">
        <f t="shared" si="53"/>
        <v>15-30 days</v>
      </c>
      <c r="L3436">
        <v>20</v>
      </c>
      <c r="M3436">
        <v>1</v>
      </c>
      <c r="N3436">
        <v>0</v>
      </c>
      <c r="O3436" t="s">
        <v>54</v>
      </c>
      <c r="P3436" t="s">
        <v>55</v>
      </c>
      <c r="Q3436">
        <v>36.700000000000003</v>
      </c>
      <c r="R3436">
        <v>15</v>
      </c>
      <c r="S3436" t="s">
        <v>27</v>
      </c>
    </row>
    <row r="3437" spans="1:19" x14ac:dyDescent="0.3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 t="str">
        <f t="shared" si="53"/>
        <v>0-7 days</v>
      </c>
      <c r="L3437">
        <v>4</v>
      </c>
      <c r="M3437">
        <v>3</v>
      </c>
      <c r="N3437">
        <v>1</v>
      </c>
      <c r="O3437" t="s">
        <v>25</v>
      </c>
      <c r="P3437" t="s">
        <v>35</v>
      </c>
      <c r="Q3437">
        <v>11.2</v>
      </c>
      <c r="R3437">
        <v>23</v>
      </c>
      <c r="S3437" t="s">
        <v>36</v>
      </c>
    </row>
    <row r="3438" spans="1:19" x14ac:dyDescent="0.3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 t="str">
        <f t="shared" si="53"/>
        <v>8-14 days</v>
      </c>
      <c r="L3438">
        <v>11</v>
      </c>
      <c r="M3438">
        <v>6</v>
      </c>
      <c r="N3438">
        <v>0</v>
      </c>
      <c r="O3438" t="s">
        <v>25</v>
      </c>
      <c r="P3438" t="s">
        <v>35</v>
      </c>
      <c r="Q3438">
        <v>3.8</v>
      </c>
      <c r="R3438">
        <v>26</v>
      </c>
      <c r="S3438" t="s">
        <v>36</v>
      </c>
    </row>
    <row r="3439" spans="1:19" x14ac:dyDescent="0.3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 t="str">
        <f t="shared" si="53"/>
        <v>31-60 days</v>
      </c>
      <c r="L3439">
        <v>59</v>
      </c>
      <c r="M3439">
        <v>2</v>
      </c>
      <c r="N3439">
        <v>1</v>
      </c>
      <c r="O3439" t="s">
        <v>25</v>
      </c>
      <c r="P3439" t="s">
        <v>35</v>
      </c>
      <c r="Q3439">
        <v>1.9</v>
      </c>
      <c r="R3439">
        <v>35</v>
      </c>
      <c r="S3439" t="s">
        <v>27</v>
      </c>
    </row>
    <row r="3440" spans="1:19" x14ac:dyDescent="0.3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 t="str">
        <f t="shared" si="53"/>
        <v>15-30 days</v>
      </c>
      <c r="L3440">
        <v>15</v>
      </c>
      <c r="M3440">
        <v>3</v>
      </c>
      <c r="N3440">
        <v>1</v>
      </c>
      <c r="O3440" t="s">
        <v>25</v>
      </c>
      <c r="P3440" t="s">
        <v>26</v>
      </c>
      <c r="Q3440">
        <v>1.2</v>
      </c>
      <c r="R3440">
        <v>28</v>
      </c>
      <c r="S3440" t="s">
        <v>71</v>
      </c>
    </row>
    <row r="3441" spans="1:19" x14ac:dyDescent="0.3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 t="str">
        <f t="shared" si="53"/>
        <v>31-60 days</v>
      </c>
      <c r="L3441">
        <v>41</v>
      </c>
      <c r="M3441">
        <v>4</v>
      </c>
      <c r="N3441">
        <v>0</v>
      </c>
      <c r="O3441" t="s">
        <v>25</v>
      </c>
      <c r="P3441" t="s">
        <v>35</v>
      </c>
      <c r="Q3441">
        <v>16.2</v>
      </c>
      <c r="R3441">
        <v>39</v>
      </c>
      <c r="S3441" t="s">
        <v>27</v>
      </c>
    </row>
    <row r="3442" spans="1:19" x14ac:dyDescent="0.3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 t="str">
        <f t="shared" si="53"/>
        <v>15-30 days</v>
      </c>
      <c r="L3442">
        <v>28</v>
      </c>
      <c r="M3442">
        <v>3</v>
      </c>
      <c r="N3442">
        <v>0</v>
      </c>
      <c r="O3442" t="s">
        <v>25</v>
      </c>
      <c r="P3442" t="s">
        <v>35</v>
      </c>
      <c r="Q3442">
        <v>9.8000000000000007</v>
      </c>
      <c r="R3442">
        <v>39</v>
      </c>
      <c r="S3442" t="s">
        <v>36</v>
      </c>
    </row>
    <row r="3443" spans="1:19" x14ac:dyDescent="0.3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 t="str">
        <f t="shared" si="53"/>
        <v>8-14 days</v>
      </c>
      <c r="L3443">
        <v>11</v>
      </c>
      <c r="M3443">
        <v>4</v>
      </c>
      <c r="N3443">
        <v>0</v>
      </c>
      <c r="O3443" t="s">
        <v>54</v>
      </c>
      <c r="P3443" t="s">
        <v>55</v>
      </c>
      <c r="Q3443">
        <v>7.9</v>
      </c>
      <c r="R3443">
        <v>24</v>
      </c>
      <c r="S3443" t="s">
        <v>36</v>
      </c>
    </row>
    <row r="3444" spans="1:19" x14ac:dyDescent="0.3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 t="str">
        <f t="shared" si="53"/>
        <v>15-30 days</v>
      </c>
      <c r="L3444">
        <v>18</v>
      </c>
      <c r="M3444">
        <v>4</v>
      </c>
      <c r="N3444">
        <v>1</v>
      </c>
      <c r="O3444" t="s">
        <v>54</v>
      </c>
      <c r="P3444" t="s">
        <v>55</v>
      </c>
      <c r="Q3444">
        <v>4.5999999999999996</v>
      </c>
      <c r="R3444">
        <v>23</v>
      </c>
      <c r="S3444" t="s">
        <v>27</v>
      </c>
    </row>
    <row r="3445" spans="1:19" x14ac:dyDescent="0.3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 t="str">
        <f t="shared" si="53"/>
        <v>0-7 days</v>
      </c>
      <c r="L3445">
        <v>0</v>
      </c>
      <c r="M3445">
        <v>5</v>
      </c>
      <c r="N3445">
        <v>1</v>
      </c>
      <c r="O3445" t="s">
        <v>25</v>
      </c>
      <c r="P3445" t="s">
        <v>35</v>
      </c>
      <c r="Q3445">
        <v>8.6999999999999993</v>
      </c>
      <c r="R3445">
        <v>7</v>
      </c>
      <c r="S3445" t="s">
        <v>36</v>
      </c>
    </row>
    <row r="3446" spans="1:19" x14ac:dyDescent="0.3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 t="str">
        <f t="shared" si="53"/>
        <v>31-60 days</v>
      </c>
      <c r="L3446">
        <v>45</v>
      </c>
      <c r="M3446">
        <v>3</v>
      </c>
      <c r="N3446">
        <v>0</v>
      </c>
      <c r="O3446" t="s">
        <v>25</v>
      </c>
      <c r="P3446" t="s">
        <v>26</v>
      </c>
      <c r="Q3446">
        <v>14</v>
      </c>
      <c r="R3446">
        <v>18</v>
      </c>
      <c r="S3446" t="s">
        <v>27</v>
      </c>
    </row>
    <row r="3447" spans="1:19" x14ac:dyDescent="0.3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 t="str">
        <f t="shared" si="53"/>
        <v>15-30 days</v>
      </c>
      <c r="L3447">
        <v>20</v>
      </c>
      <c r="M3447">
        <v>1</v>
      </c>
      <c r="N3447">
        <v>0</v>
      </c>
      <c r="O3447" t="s">
        <v>25</v>
      </c>
      <c r="P3447" t="s">
        <v>35</v>
      </c>
      <c r="Q3447">
        <v>8.1</v>
      </c>
      <c r="R3447">
        <v>15</v>
      </c>
      <c r="S3447" t="s">
        <v>27</v>
      </c>
    </row>
    <row r="3448" spans="1:19" x14ac:dyDescent="0.3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 t="str">
        <f t="shared" si="53"/>
        <v>15-30 days</v>
      </c>
      <c r="L3448">
        <v>30</v>
      </c>
      <c r="M3448">
        <v>5</v>
      </c>
      <c r="N3448">
        <v>2</v>
      </c>
      <c r="O3448" t="s">
        <v>25</v>
      </c>
      <c r="P3448" t="s">
        <v>50</v>
      </c>
      <c r="Q3448">
        <v>17.899999999999999</v>
      </c>
      <c r="R3448">
        <v>16</v>
      </c>
      <c r="S3448" t="s">
        <v>27</v>
      </c>
    </row>
    <row r="3449" spans="1:19" x14ac:dyDescent="0.3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 t="str">
        <f t="shared" si="53"/>
        <v>8-14 days</v>
      </c>
      <c r="L3449">
        <v>9</v>
      </c>
      <c r="M3449">
        <v>2</v>
      </c>
      <c r="N3449">
        <v>0</v>
      </c>
      <c r="O3449" t="s">
        <v>25</v>
      </c>
      <c r="P3449" t="s">
        <v>26</v>
      </c>
      <c r="Q3449">
        <v>24.4</v>
      </c>
      <c r="R3449">
        <v>19</v>
      </c>
      <c r="S3449" t="s">
        <v>27</v>
      </c>
    </row>
    <row r="3450" spans="1:19" x14ac:dyDescent="0.3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 t="str">
        <f t="shared" si="53"/>
        <v>31-60 days</v>
      </c>
      <c r="L3450">
        <v>50</v>
      </c>
      <c r="M3450">
        <v>3</v>
      </c>
      <c r="N3450">
        <v>0</v>
      </c>
      <c r="O3450" t="s">
        <v>25</v>
      </c>
      <c r="P3450" t="s">
        <v>35</v>
      </c>
      <c r="Q3450">
        <v>10.3</v>
      </c>
      <c r="R3450">
        <v>30</v>
      </c>
      <c r="S3450" t="s">
        <v>27</v>
      </c>
    </row>
    <row r="3451" spans="1:19" x14ac:dyDescent="0.3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 t="str">
        <f t="shared" si="53"/>
        <v>8-14 days</v>
      </c>
      <c r="L3451">
        <v>13</v>
      </c>
      <c r="M3451">
        <v>3</v>
      </c>
      <c r="N3451">
        <v>2</v>
      </c>
      <c r="O3451" t="s">
        <v>54</v>
      </c>
      <c r="P3451" t="s">
        <v>55</v>
      </c>
      <c r="Q3451">
        <v>7.5</v>
      </c>
      <c r="R3451">
        <v>27</v>
      </c>
      <c r="S3451" t="s">
        <v>27</v>
      </c>
    </row>
    <row r="3452" spans="1:19" x14ac:dyDescent="0.3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 t="str">
        <f t="shared" si="53"/>
        <v>31-60 days</v>
      </c>
      <c r="L3452">
        <v>34</v>
      </c>
      <c r="M3452">
        <v>6</v>
      </c>
      <c r="N3452">
        <v>0</v>
      </c>
      <c r="O3452" t="s">
        <v>25</v>
      </c>
      <c r="P3452" t="s">
        <v>35</v>
      </c>
      <c r="Q3452">
        <v>7.1</v>
      </c>
      <c r="R3452">
        <v>35</v>
      </c>
      <c r="S3452" t="s">
        <v>36</v>
      </c>
    </row>
    <row r="3453" spans="1:19" x14ac:dyDescent="0.3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 t="str">
        <f t="shared" si="53"/>
        <v>31-60 days</v>
      </c>
      <c r="L3453">
        <v>53</v>
      </c>
      <c r="M3453">
        <v>1</v>
      </c>
      <c r="N3453">
        <v>0</v>
      </c>
      <c r="O3453" t="s">
        <v>25</v>
      </c>
      <c r="P3453" t="s">
        <v>26</v>
      </c>
      <c r="Q3453">
        <v>10</v>
      </c>
      <c r="R3453">
        <v>28</v>
      </c>
      <c r="S3453" t="s">
        <v>36</v>
      </c>
    </row>
    <row r="3454" spans="1:19" x14ac:dyDescent="0.3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 t="str">
        <f t="shared" si="53"/>
        <v>31-60 days</v>
      </c>
      <c r="L3454">
        <v>43</v>
      </c>
      <c r="M3454">
        <v>2</v>
      </c>
      <c r="N3454">
        <v>0</v>
      </c>
      <c r="O3454" t="s">
        <v>54</v>
      </c>
      <c r="P3454" t="s">
        <v>55</v>
      </c>
      <c r="Q3454">
        <v>10.199999999999999</v>
      </c>
      <c r="R3454">
        <v>17</v>
      </c>
      <c r="S3454" t="s">
        <v>36</v>
      </c>
    </row>
    <row r="3455" spans="1:19" x14ac:dyDescent="0.3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 t="str">
        <f t="shared" si="53"/>
        <v>31-60 days</v>
      </c>
      <c r="L3455">
        <v>36</v>
      </c>
      <c r="M3455">
        <v>4</v>
      </c>
      <c r="N3455">
        <v>0</v>
      </c>
      <c r="O3455" t="s">
        <v>25</v>
      </c>
      <c r="P3455" t="s">
        <v>35</v>
      </c>
      <c r="Q3455">
        <v>11.3</v>
      </c>
      <c r="R3455">
        <v>32</v>
      </c>
      <c r="S3455" t="s">
        <v>27</v>
      </c>
    </row>
    <row r="3456" spans="1:19" x14ac:dyDescent="0.3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 t="str">
        <f t="shared" si="53"/>
        <v>31-60 days</v>
      </c>
      <c r="L3456">
        <v>54</v>
      </c>
      <c r="M3456">
        <v>2</v>
      </c>
      <c r="N3456">
        <v>0</v>
      </c>
      <c r="O3456" t="s">
        <v>25</v>
      </c>
      <c r="P3456" t="s">
        <v>35</v>
      </c>
      <c r="Q3456">
        <v>2.6</v>
      </c>
      <c r="R3456">
        <v>9</v>
      </c>
      <c r="S3456" t="s">
        <v>27</v>
      </c>
    </row>
    <row r="3457" spans="1:19" x14ac:dyDescent="0.3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 t="str">
        <f t="shared" si="53"/>
        <v>8-14 days</v>
      </c>
      <c r="L3457">
        <v>10</v>
      </c>
      <c r="M3457">
        <v>2</v>
      </c>
      <c r="N3457">
        <v>1</v>
      </c>
      <c r="O3457" t="s">
        <v>25</v>
      </c>
      <c r="P3457" t="s">
        <v>35</v>
      </c>
      <c r="Q3457">
        <v>11</v>
      </c>
      <c r="R3457">
        <v>35</v>
      </c>
      <c r="S3457" t="s">
        <v>36</v>
      </c>
    </row>
    <row r="3458" spans="1:19" x14ac:dyDescent="0.3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 t="str">
        <f t="shared" si="53"/>
        <v>31-60 days</v>
      </c>
      <c r="L3458">
        <v>58</v>
      </c>
      <c r="M3458">
        <v>5</v>
      </c>
      <c r="N3458">
        <v>1</v>
      </c>
      <c r="O3458" t="s">
        <v>25</v>
      </c>
      <c r="P3458" t="s">
        <v>35</v>
      </c>
      <c r="Q3458">
        <v>10.8</v>
      </c>
      <c r="R3458">
        <v>16</v>
      </c>
      <c r="S3458" t="s">
        <v>27</v>
      </c>
    </row>
    <row r="3459" spans="1:19" x14ac:dyDescent="0.3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 t="str">
        <f t="shared" ref="K3459:K3522" si="54">IF(L3459&lt;=7,"0-7 days",IF(L3459&lt;=14,"8-14 days",IF(L3459&lt;=30,"15-30 days","31-60 days")))</f>
        <v>31-60 days</v>
      </c>
      <c r="L3459">
        <v>33</v>
      </c>
      <c r="M3459">
        <v>5</v>
      </c>
      <c r="N3459">
        <v>0</v>
      </c>
      <c r="O3459" t="s">
        <v>25</v>
      </c>
      <c r="P3459" t="s">
        <v>35</v>
      </c>
      <c r="Q3459">
        <v>13.8</v>
      </c>
      <c r="R3459">
        <v>2</v>
      </c>
      <c r="S3459" t="s">
        <v>27</v>
      </c>
    </row>
    <row r="3460" spans="1:19" x14ac:dyDescent="0.3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 t="str">
        <f t="shared" si="54"/>
        <v>15-30 days</v>
      </c>
      <c r="L3460">
        <v>25</v>
      </c>
      <c r="M3460">
        <v>2</v>
      </c>
      <c r="N3460">
        <v>1</v>
      </c>
      <c r="O3460" t="s">
        <v>54</v>
      </c>
      <c r="P3460" t="s">
        <v>55</v>
      </c>
      <c r="Q3460">
        <v>15.1</v>
      </c>
      <c r="R3460">
        <v>30</v>
      </c>
      <c r="S3460" t="s">
        <v>36</v>
      </c>
    </row>
    <row r="3461" spans="1:19" x14ac:dyDescent="0.3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 t="str">
        <f t="shared" si="54"/>
        <v>15-30 days</v>
      </c>
      <c r="L3461">
        <v>15</v>
      </c>
      <c r="M3461">
        <v>1</v>
      </c>
      <c r="N3461">
        <v>0</v>
      </c>
      <c r="O3461" t="s">
        <v>25</v>
      </c>
      <c r="P3461" t="s">
        <v>35</v>
      </c>
      <c r="Q3461">
        <v>18.7</v>
      </c>
      <c r="R3461">
        <v>21</v>
      </c>
      <c r="S3461" t="s">
        <v>36</v>
      </c>
    </row>
    <row r="3462" spans="1:19" x14ac:dyDescent="0.3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 t="str">
        <f t="shared" si="54"/>
        <v>31-60 days</v>
      </c>
      <c r="L3462">
        <v>45</v>
      </c>
      <c r="M3462">
        <v>5</v>
      </c>
      <c r="N3462">
        <v>1</v>
      </c>
      <c r="O3462" t="s">
        <v>25</v>
      </c>
      <c r="P3462" t="s">
        <v>35</v>
      </c>
      <c r="Q3462">
        <v>11.6</v>
      </c>
      <c r="R3462">
        <v>37</v>
      </c>
      <c r="S3462" t="s">
        <v>27</v>
      </c>
    </row>
    <row r="3463" spans="1:19" x14ac:dyDescent="0.3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 t="str">
        <f t="shared" si="54"/>
        <v>31-60 days</v>
      </c>
      <c r="L3463">
        <v>59</v>
      </c>
      <c r="M3463">
        <v>3</v>
      </c>
      <c r="N3463">
        <v>0</v>
      </c>
      <c r="O3463" t="s">
        <v>25</v>
      </c>
      <c r="P3463" t="s">
        <v>35</v>
      </c>
      <c r="Q3463">
        <v>15.2</v>
      </c>
      <c r="R3463">
        <v>35</v>
      </c>
      <c r="S3463" t="s">
        <v>36</v>
      </c>
    </row>
    <row r="3464" spans="1:19" x14ac:dyDescent="0.3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 t="str">
        <f t="shared" si="54"/>
        <v>31-60 days</v>
      </c>
      <c r="L3464">
        <v>42</v>
      </c>
      <c r="M3464">
        <v>3</v>
      </c>
      <c r="N3464">
        <v>0</v>
      </c>
      <c r="O3464" t="s">
        <v>54</v>
      </c>
      <c r="P3464" t="s">
        <v>55</v>
      </c>
      <c r="Q3464">
        <v>11.6</v>
      </c>
      <c r="R3464">
        <v>13</v>
      </c>
      <c r="S3464" t="s">
        <v>36</v>
      </c>
    </row>
    <row r="3465" spans="1:19" x14ac:dyDescent="0.3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 t="str">
        <f t="shared" si="54"/>
        <v>0-7 days</v>
      </c>
      <c r="L3465">
        <v>1</v>
      </c>
      <c r="M3465">
        <v>4</v>
      </c>
      <c r="N3465">
        <v>0</v>
      </c>
      <c r="O3465" t="s">
        <v>25</v>
      </c>
      <c r="P3465" t="s">
        <v>50</v>
      </c>
      <c r="Q3465">
        <v>18.5</v>
      </c>
      <c r="R3465">
        <v>41</v>
      </c>
      <c r="S3465" t="s">
        <v>36</v>
      </c>
    </row>
    <row r="3466" spans="1:19" x14ac:dyDescent="0.3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 t="str">
        <f t="shared" si="54"/>
        <v>15-30 days</v>
      </c>
      <c r="L3466">
        <v>28</v>
      </c>
      <c r="M3466">
        <v>1</v>
      </c>
      <c r="N3466">
        <v>0</v>
      </c>
      <c r="O3466" t="s">
        <v>54</v>
      </c>
      <c r="P3466" t="s">
        <v>55</v>
      </c>
      <c r="R3466">
        <v>3</v>
      </c>
      <c r="S3466" t="s">
        <v>36</v>
      </c>
    </row>
    <row r="3467" spans="1:19" x14ac:dyDescent="0.3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 t="str">
        <f t="shared" si="54"/>
        <v>31-60 days</v>
      </c>
      <c r="L3467">
        <v>44</v>
      </c>
      <c r="M3467">
        <v>3</v>
      </c>
      <c r="N3467">
        <v>1</v>
      </c>
      <c r="O3467" t="s">
        <v>54</v>
      </c>
      <c r="P3467" t="s">
        <v>55</v>
      </c>
      <c r="Q3467">
        <v>6.3</v>
      </c>
      <c r="R3467">
        <v>29</v>
      </c>
      <c r="S3467" t="s">
        <v>27</v>
      </c>
    </row>
    <row r="3468" spans="1:19" x14ac:dyDescent="0.3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 t="str">
        <f t="shared" si="54"/>
        <v>15-30 days</v>
      </c>
      <c r="L3468">
        <v>24</v>
      </c>
      <c r="M3468">
        <v>5</v>
      </c>
      <c r="N3468">
        <v>2</v>
      </c>
      <c r="O3468" t="s">
        <v>25</v>
      </c>
      <c r="P3468" t="s">
        <v>50</v>
      </c>
      <c r="Q3468">
        <v>9.6999999999999993</v>
      </c>
      <c r="R3468">
        <v>40</v>
      </c>
      <c r="S3468" t="s">
        <v>27</v>
      </c>
    </row>
    <row r="3469" spans="1:19" x14ac:dyDescent="0.3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 t="str">
        <f t="shared" si="54"/>
        <v>31-60 days</v>
      </c>
      <c r="L3469">
        <v>47</v>
      </c>
      <c r="M3469">
        <v>3</v>
      </c>
      <c r="N3469">
        <v>1</v>
      </c>
      <c r="O3469" t="s">
        <v>25</v>
      </c>
      <c r="P3469" t="s">
        <v>35</v>
      </c>
      <c r="Q3469">
        <v>21.1</v>
      </c>
      <c r="R3469">
        <v>13</v>
      </c>
      <c r="S3469" t="s">
        <v>27</v>
      </c>
    </row>
    <row r="3470" spans="1:19" x14ac:dyDescent="0.3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 t="str">
        <f t="shared" si="54"/>
        <v>31-60 days</v>
      </c>
      <c r="L3470">
        <v>43</v>
      </c>
      <c r="M3470">
        <v>2</v>
      </c>
      <c r="N3470">
        <v>1</v>
      </c>
      <c r="O3470" t="s">
        <v>25</v>
      </c>
      <c r="P3470" t="s">
        <v>26</v>
      </c>
      <c r="Q3470">
        <v>6.6</v>
      </c>
      <c r="R3470">
        <v>47</v>
      </c>
      <c r="S3470" t="s">
        <v>27</v>
      </c>
    </row>
    <row r="3471" spans="1:19" x14ac:dyDescent="0.3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 t="str">
        <f t="shared" si="54"/>
        <v>0-7 days</v>
      </c>
      <c r="L3471">
        <v>4</v>
      </c>
      <c r="M3471">
        <v>2</v>
      </c>
      <c r="N3471">
        <v>1</v>
      </c>
      <c r="O3471" t="s">
        <v>25</v>
      </c>
      <c r="P3471" t="s">
        <v>35</v>
      </c>
      <c r="Q3471">
        <v>20.9</v>
      </c>
      <c r="R3471">
        <v>26</v>
      </c>
      <c r="S3471" t="s">
        <v>27</v>
      </c>
    </row>
    <row r="3472" spans="1:19" x14ac:dyDescent="0.3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 t="str">
        <f t="shared" si="54"/>
        <v>31-60 days</v>
      </c>
      <c r="L3472">
        <v>34</v>
      </c>
      <c r="M3472">
        <v>1</v>
      </c>
      <c r="N3472">
        <v>1</v>
      </c>
      <c r="O3472" t="s">
        <v>25</v>
      </c>
      <c r="P3472" t="s">
        <v>26</v>
      </c>
      <c r="Q3472">
        <v>11.9</v>
      </c>
      <c r="R3472">
        <v>28</v>
      </c>
      <c r="S3472" t="s">
        <v>27</v>
      </c>
    </row>
    <row r="3473" spans="1:19" x14ac:dyDescent="0.3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 t="str">
        <f t="shared" si="54"/>
        <v>8-14 days</v>
      </c>
      <c r="L3473">
        <v>10</v>
      </c>
      <c r="M3473">
        <v>5</v>
      </c>
      <c r="N3473">
        <v>1</v>
      </c>
      <c r="O3473" t="s">
        <v>25</v>
      </c>
      <c r="P3473" t="s">
        <v>26</v>
      </c>
      <c r="Q3473">
        <v>16.100000000000001</v>
      </c>
      <c r="R3473">
        <v>37</v>
      </c>
      <c r="S3473" t="s">
        <v>36</v>
      </c>
    </row>
    <row r="3474" spans="1:19" x14ac:dyDescent="0.3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 t="str">
        <f t="shared" si="54"/>
        <v>15-30 days</v>
      </c>
      <c r="L3474">
        <v>29</v>
      </c>
      <c r="M3474">
        <v>2</v>
      </c>
      <c r="N3474">
        <v>1</v>
      </c>
      <c r="O3474" t="s">
        <v>25</v>
      </c>
      <c r="P3474" t="s">
        <v>35</v>
      </c>
      <c r="Q3474">
        <v>12.6</v>
      </c>
      <c r="R3474">
        <v>29</v>
      </c>
      <c r="S3474" t="s">
        <v>27</v>
      </c>
    </row>
    <row r="3475" spans="1:19" x14ac:dyDescent="0.3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 t="str">
        <f t="shared" si="54"/>
        <v>15-30 days</v>
      </c>
      <c r="L3475">
        <v>23</v>
      </c>
      <c r="M3475">
        <v>3</v>
      </c>
      <c r="N3475">
        <v>1</v>
      </c>
      <c r="O3475" t="s">
        <v>54</v>
      </c>
      <c r="P3475" t="s">
        <v>55</v>
      </c>
      <c r="Q3475">
        <v>10.199999999999999</v>
      </c>
      <c r="R3475">
        <v>9</v>
      </c>
      <c r="S3475" t="s">
        <v>27</v>
      </c>
    </row>
    <row r="3476" spans="1:19" x14ac:dyDescent="0.3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 t="str">
        <f t="shared" si="54"/>
        <v>31-60 days</v>
      </c>
      <c r="L3476">
        <v>49</v>
      </c>
      <c r="M3476">
        <v>4</v>
      </c>
      <c r="N3476">
        <v>0</v>
      </c>
      <c r="O3476" t="s">
        <v>25</v>
      </c>
      <c r="P3476" t="s">
        <v>35</v>
      </c>
      <c r="Q3476">
        <v>6.3</v>
      </c>
      <c r="R3476">
        <v>2</v>
      </c>
      <c r="S3476" t="s">
        <v>36</v>
      </c>
    </row>
    <row r="3477" spans="1:19" x14ac:dyDescent="0.3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 t="str">
        <f t="shared" si="54"/>
        <v>31-60 days</v>
      </c>
      <c r="L3477">
        <v>52</v>
      </c>
      <c r="M3477">
        <v>0</v>
      </c>
      <c r="N3477">
        <v>0</v>
      </c>
      <c r="O3477" t="s">
        <v>25</v>
      </c>
      <c r="P3477" t="s">
        <v>26</v>
      </c>
      <c r="Q3477">
        <v>34.6</v>
      </c>
      <c r="R3477">
        <v>13</v>
      </c>
      <c r="S3477" t="s">
        <v>27</v>
      </c>
    </row>
    <row r="3478" spans="1:19" x14ac:dyDescent="0.3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 t="str">
        <f t="shared" si="54"/>
        <v>15-30 days</v>
      </c>
      <c r="L3478">
        <v>28</v>
      </c>
      <c r="M3478">
        <v>7</v>
      </c>
      <c r="N3478">
        <v>2</v>
      </c>
      <c r="O3478" t="s">
        <v>25</v>
      </c>
      <c r="P3478" t="s">
        <v>35</v>
      </c>
      <c r="Q3478">
        <v>3.1</v>
      </c>
      <c r="R3478">
        <v>14</v>
      </c>
      <c r="S3478" t="s">
        <v>27</v>
      </c>
    </row>
    <row r="3479" spans="1:19" x14ac:dyDescent="0.3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 t="str">
        <f t="shared" si="54"/>
        <v>31-60 days</v>
      </c>
      <c r="L3479">
        <v>32</v>
      </c>
      <c r="M3479">
        <v>2</v>
      </c>
      <c r="N3479">
        <v>0</v>
      </c>
      <c r="O3479" t="s">
        <v>25</v>
      </c>
      <c r="P3479" t="s">
        <v>35</v>
      </c>
      <c r="Q3479">
        <v>17.600000000000001</v>
      </c>
      <c r="R3479">
        <v>14</v>
      </c>
      <c r="S3479" t="s">
        <v>36</v>
      </c>
    </row>
    <row r="3480" spans="1:19" x14ac:dyDescent="0.3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 t="str">
        <f t="shared" si="54"/>
        <v>31-60 days</v>
      </c>
      <c r="L3480">
        <v>38</v>
      </c>
      <c r="M3480">
        <v>8</v>
      </c>
      <c r="N3480">
        <v>1</v>
      </c>
      <c r="O3480" t="s">
        <v>54</v>
      </c>
      <c r="P3480" t="s">
        <v>55</v>
      </c>
      <c r="R3480">
        <v>17</v>
      </c>
      <c r="S3480" t="s">
        <v>27</v>
      </c>
    </row>
    <row r="3481" spans="1:19" x14ac:dyDescent="0.3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 t="str">
        <f t="shared" si="54"/>
        <v>31-60 days</v>
      </c>
      <c r="L3481">
        <v>39</v>
      </c>
      <c r="M3481">
        <v>6</v>
      </c>
      <c r="N3481">
        <v>0</v>
      </c>
      <c r="O3481" t="s">
        <v>25</v>
      </c>
      <c r="P3481" t="s">
        <v>26</v>
      </c>
      <c r="Q3481">
        <v>23.2</v>
      </c>
      <c r="R3481">
        <v>2</v>
      </c>
      <c r="S3481" t="s">
        <v>27</v>
      </c>
    </row>
    <row r="3482" spans="1:19" x14ac:dyDescent="0.3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 t="str">
        <f t="shared" si="54"/>
        <v>31-60 days</v>
      </c>
      <c r="L3482">
        <v>38</v>
      </c>
      <c r="M3482">
        <v>6</v>
      </c>
      <c r="N3482">
        <v>0</v>
      </c>
      <c r="O3482" t="s">
        <v>25</v>
      </c>
      <c r="P3482" t="s">
        <v>50</v>
      </c>
      <c r="Q3482">
        <v>14.1</v>
      </c>
      <c r="R3482">
        <v>11</v>
      </c>
      <c r="S3482" t="s">
        <v>36</v>
      </c>
    </row>
    <row r="3483" spans="1:19" x14ac:dyDescent="0.3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 t="str">
        <f t="shared" si="54"/>
        <v>31-60 days</v>
      </c>
      <c r="L3483">
        <v>47</v>
      </c>
      <c r="M3483">
        <v>1</v>
      </c>
      <c r="N3483">
        <v>0</v>
      </c>
      <c r="O3483" t="s">
        <v>25</v>
      </c>
      <c r="P3483" t="s">
        <v>26</v>
      </c>
      <c r="Q3483">
        <v>5.0999999999999996</v>
      </c>
      <c r="R3483">
        <v>30</v>
      </c>
      <c r="S3483" t="s">
        <v>27</v>
      </c>
    </row>
    <row r="3484" spans="1:19" x14ac:dyDescent="0.3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 t="str">
        <f t="shared" si="54"/>
        <v>31-60 days</v>
      </c>
      <c r="L3484">
        <v>59</v>
      </c>
      <c r="M3484">
        <v>6</v>
      </c>
      <c r="N3484">
        <v>1</v>
      </c>
      <c r="O3484" t="s">
        <v>54</v>
      </c>
      <c r="P3484" t="s">
        <v>55</v>
      </c>
      <c r="Q3484">
        <v>5.4</v>
      </c>
      <c r="R3484">
        <v>35</v>
      </c>
      <c r="S3484" t="s">
        <v>27</v>
      </c>
    </row>
    <row r="3485" spans="1:19" x14ac:dyDescent="0.3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 t="str">
        <f t="shared" si="54"/>
        <v>31-60 days</v>
      </c>
      <c r="L3485">
        <v>50</v>
      </c>
      <c r="M3485">
        <v>3</v>
      </c>
      <c r="N3485">
        <v>1</v>
      </c>
      <c r="O3485" t="s">
        <v>25</v>
      </c>
      <c r="P3485" t="s">
        <v>35</v>
      </c>
      <c r="Q3485">
        <v>9.6999999999999993</v>
      </c>
      <c r="R3485">
        <v>16</v>
      </c>
      <c r="S3485" t="s">
        <v>27</v>
      </c>
    </row>
    <row r="3486" spans="1:19" x14ac:dyDescent="0.3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 t="str">
        <f t="shared" si="54"/>
        <v>8-14 days</v>
      </c>
      <c r="L3486">
        <v>8</v>
      </c>
      <c r="M3486">
        <v>0</v>
      </c>
      <c r="N3486">
        <v>0</v>
      </c>
      <c r="O3486" t="s">
        <v>25</v>
      </c>
      <c r="P3486" t="s">
        <v>35</v>
      </c>
      <c r="Q3486">
        <v>2.1</v>
      </c>
      <c r="R3486">
        <v>32</v>
      </c>
      <c r="S3486" t="s">
        <v>36</v>
      </c>
    </row>
    <row r="3487" spans="1:19" x14ac:dyDescent="0.3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 t="str">
        <f t="shared" si="54"/>
        <v>15-30 days</v>
      </c>
      <c r="L3487">
        <v>29</v>
      </c>
      <c r="M3487">
        <v>2</v>
      </c>
      <c r="N3487">
        <v>0</v>
      </c>
      <c r="O3487" t="s">
        <v>25</v>
      </c>
      <c r="P3487" t="s">
        <v>50</v>
      </c>
      <c r="Q3487">
        <v>18.3</v>
      </c>
      <c r="R3487">
        <v>2</v>
      </c>
      <c r="S3487" t="s">
        <v>27</v>
      </c>
    </row>
    <row r="3488" spans="1:19" x14ac:dyDescent="0.3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 t="str">
        <f t="shared" si="54"/>
        <v>15-30 days</v>
      </c>
      <c r="L3488">
        <v>28</v>
      </c>
      <c r="M3488">
        <v>1</v>
      </c>
      <c r="N3488">
        <v>0</v>
      </c>
      <c r="O3488" t="s">
        <v>25</v>
      </c>
      <c r="P3488" t="s">
        <v>35</v>
      </c>
      <c r="Q3488">
        <v>5.9</v>
      </c>
      <c r="R3488">
        <v>27</v>
      </c>
      <c r="S3488" t="s">
        <v>36</v>
      </c>
    </row>
    <row r="3489" spans="1:19" x14ac:dyDescent="0.3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 t="str">
        <f t="shared" si="54"/>
        <v>31-60 days</v>
      </c>
      <c r="L3489">
        <v>31</v>
      </c>
      <c r="M3489">
        <v>2</v>
      </c>
      <c r="N3489">
        <v>0</v>
      </c>
      <c r="O3489" t="s">
        <v>25</v>
      </c>
      <c r="P3489" t="s">
        <v>50</v>
      </c>
      <c r="Q3489">
        <v>3.4</v>
      </c>
      <c r="R3489">
        <v>37</v>
      </c>
      <c r="S3489" t="s">
        <v>36</v>
      </c>
    </row>
    <row r="3490" spans="1:19" x14ac:dyDescent="0.3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 t="str">
        <f t="shared" si="54"/>
        <v>31-60 days</v>
      </c>
      <c r="L3490">
        <v>32</v>
      </c>
      <c r="M3490">
        <v>2</v>
      </c>
      <c r="N3490">
        <v>0</v>
      </c>
      <c r="O3490" t="s">
        <v>25</v>
      </c>
      <c r="P3490" t="s">
        <v>26</v>
      </c>
      <c r="Q3490">
        <v>16.5</v>
      </c>
      <c r="R3490">
        <v>30</v>
      </c>
      <c r="S3490" t="s">
        <v>36</v>
      </c>
    </row>
    <row r="3491" spans="1:19" x14ac:dyDescent="0.3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 t="str">
        <f t="shared" si="54"/>
        <v>31-60 days</v>
      </c>
      <c r="L3491">
        <v>43</v>
      </c>
      <c r="M3491">
        <v>3</v>
      </c>
      <c r="N3491">
        <v>1</v>
      </c>
      <c r="O3491" t="s">
        <v>25</v>
      </c>
      <c r="P3491" t="s">
        <v>35</v>
      </c>
      <c r="Q3491">
        <v>1.8</v>
      </c>
      <c r="R3491">
        <v>24</v>
      </c>
      <c r="S3491" t="s">
        <v>36</v>
      </c>
    </row>
    <row r="3492" spans="1:19" x14ac:dyDescent="0.3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 t="str">
        <f t="shared" si="54"/>
        <v>15-30 days</v>
      </c>
      <c r="L3492">
        <v>25</v>
      </c>
      <c r="M3492">
        <v>3</v>
      </c>
      <c r="N3492">
        <v>1</v>
      </c>
      <c r="O3492" t="s">
        <v>25</v>
      </c>
      <c r="P3492" t="s">
        <v>35</v>
      </c>
      <c r="Q3492">
        <v>9</v>
      </c>
      <c r="R3492">
        <v>2</v>
      </c>
      <c r="S3492" t="s">
        <v>36</v>
      </c>
    </row>
    <row r="3493" spans="1:19" x14ac:dyDescent="0.3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 t="str">
        <f t="shared" si="54"/>
        <v>15-30 days</v>
      </c>
      <c r="L3493">
        <v>16</v>
      </c>
      <c r="M3493">
        <v>6</v>
      </c>
      <c r="N3493">
        <v>0</v>
      </c>
      <c r="O3493" t="s">
        <v>25</v>
      </c>
      <c r="P3493" t="s">
        <v>26</v>
      </c>
      <c r="Q3493">
        <v>4.3</v>
      </c>
      <c r="R3493">
        <v>45</v>
      </c>
      <c r="S3493" t="s">
        <v>27</v>
      </c>
    </row>
    <row r="3494" spans="1:19" x14ac:dyDescent="0.3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 t="str">
        <f t="shared" si="54"/>
        <v>15-30 days</v>
      </c>
      <c r="L3494">
        <v>27</v>
      </c>
      <c r="M3494">
        <v>3</v>
      </c>
      <c r="N3494">
        <v>0</v>
      </c>
      <c r="O3494" t="s">
        <v>54</v>
      </c>
      <c r="P3494" t="s">
        <v>55</v>
      </c>
      <c r="Q3494">
        <v>12.4</v>
      </c>
      <c r="R3494">
        <v>45</v>
      </c>
      <c r="S3494" t="s">
        <v>27</v>
      </c>
    </row>
    <row r="3495" spans="1:19" x14ac:dyDescent="0.3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 t="str">
        <f t="shared" si="54"/>
        <v>31-60 days</v>
      </c>
      <c r="L3495">
        <v>52</v>
      </c>
      <c r="M3495">
        <v>2</v>
      </c>
      <c r="N3495">
        <v>1</v>
      </c>
      <c r="O3495" t="s">
        <v>25</v>
      </c>
      <c r="P3495" t="s">
        <v>35</v>
      </c>
      <c r="Q3495">
        <v>18.600000000000001</v>
      </c>
      <c r="R3495">
        <v>32</v>
      </c>
      <c r="S3495" t="s">
        <v>36</v>
      </c>
    </row>
    <row r="3496" spans="1:19" x14ac:dyDescent="0.3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 t="str">
        <f t="shared" si="54"/>
        <v>15-30 days</v>
      </c>
      <c r="L3496">
        <v>18</v>
      </c>
      <c r="M3496">
        <v>2</v>
      </c>
      <c r="N3496">
        <v>1</v>
      </c>
      <c r="O3496" t="s">
        <v>25</v>
      </c>
      <c r="P3496" t="s">
        <v>35</v>
      </c>
      <c r="Q3496">
        <v>2</v>
      </c>
      <c r="R3496">
        <v>39</v>
      </c>
      <c r="S3496" t="s">
        <v>36</v>
      </c>
    </row>
    <row r="3497" spans="1:19" x14ac:dyDescent="0.3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 t="str">
        <f t="shared" si="54"/>
        <v>0-7 days</v>
      </c>
      <c r="L3497">
        <v>1</v>
      </c>
      <c r="M3497">
        <v>4</v>
      </c>
      <c r="N3497">
        <v>1</v>
      </c>
      <c r="O3497" t="s">
        <v>25</v>
      </c>
      <c r="P3497" t="s">
        <v>35</v>
      </c>
      <c r="Q3497">
        <v>18.7</v>
      </c>
      <c r="R3497">
        <v>24</v>
      </c>
      <c r="S3497" t="s">
        <v>36</v>
      </c>
    </row>
    <row r="3498" spans="1:19" x14ac:dyDescent="0.3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 t="str">
        <f t="shared" si="54"/>
        <v>31-60 days</v>
      </c>
      <c r="L3498">
        <v>59</v>
      </c>
      <c r="M3498">
        <v>1</v>
      </c>
      <c r="N3498">
        <v>0</v>
      </c>
      <c r="O3498" t="s">
        <v>25</v>
      </c>
      <c r="P3498" t="s">
        <v>35</v>
      </c>
      <c r="Q3498">
        <v>8.1999999999999993</v>
      </c>
      <c r="R3498">
        <v>32</v>
      </c>
      <c r="S3498" t="s">
        <v>27</v>
      </c>
    </row>
    <row r="3499" spans="1:19" x14ac:dyDescent="0.3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 t="str">
        <f t="shared" si="54"/>
        <v>8-14 days</v>
      </c>
      <c r="L3499">
        <v>11</v>
      </c>
      <c r="M3499">
        <v>1</v>
      </c>
      <c r="N3499">
        <v>0</v>
      </c>
      <c r="O3499" t="s">
        <v>25</v>
      </c>
      <c r="P3499" t="s">
        <v>35</v>
      </c>
      <c r="Q3499">
        <v>3.9</v>
      </c>
      <c r="R3499">
        <v>33</v>
      </c>
      <c r="S3499" t="s">
        <v>27</v>
      </c>
    </row>
    <row r="3500" spans="1:19" x14ac:dyDescent="0.3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 t="str">
        <f t="shared" si="54"/>
        <v>31-60 days</v>
      </c>
      <c r="L3500">
        <v>36</v>
      </c>
      <c r="M3500">
        <v>4</v>
      </c>
      <c r="N3500">
        <v>1</v>
      </c>
      <c r="O3500" t="s">
        <v>54</v>
      </c>
      <c r="P3500" t="s">
        <v>55</v>
      </c>
      <c r="Q3500">
        <v>3.7</v>
      </c>
      <c r="R3500">
        <v>23</v>
      </c>
      <c r="S3500" t="s">
        <v>27</v>
      </c>
    </row>
    <row r="3501" spans="1:19" x14ac:dyDescent="0.3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 t="str">
        <f t="shared" si="54"/>
        <v>31-60 days</v>
      </c>
      <c r="L3501">
        <v>48</v>
      </c>
      <c r="M3501">
        <v>3</v>
      </c>
      <c r="N3501">
        <v>0</v>
      </c>
      <c r="O3501" t="s">
        <v>25</v>
      </c>
      <c r="P3501" t="s">
        <v>35</v>
      </c>
      <c r="Q3501">
        <v>8.1999999999999993</v>
      </c>
      <c r="R3501">
        <v>15</v>
      </c>
      <c r="S3501" t="s">
        <v>36</v>
      </c>
    </row>
    <row r="3502" spans="1:19" x14ac:dyDescent="0.3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 t="str">
        <f t="shared" si="54"/>
        <v>15-30 days</v>
      </c>
      <c r="L3502">
        <v>16</v>
      </c>
      <c r="M3502">
        <v>4</v>
      </c>
      <c r="N3502">
        <v>1</v>
      </c>
      <c r="O3502" t="s">
        <v>25</v>
      </c>
      <c r="P3502" t="s">
        <v>26</v>
      </c>
      <c r="Q3502">
        <v>1.8</v>
      </c>
      <c r="R3502">
        <v>34</v>
      </c>
      <c r="S3502" t="s">
        <v>27</v>
      </c>
    </row>
    <row r="3503" spans="1:19" x14ac:dyDescent="0.3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 t="str">
        <f t="shared" si="54"/>
        <v>15-30 days</v>
      </c>
      <c r="L3503">
        <v>20</v>
      </c>
      <c r="M3503">
        <v>4</v>
      </c>
      <c r="N3503">
        <v>0</v>
      </c>
      <c r="O3503" t="s">
        <v>25</v>
      </c>
      <c r="P3503" t="s">
        <v>35</v>
      </c>
      <c r="Q3503">
        <v>7.9</v>
      </c>
      <c r="R3503">
        <v>45</v>
      </c>
      <c r="S3503" t="s">
        <v>36</v>
      </c>
    </row>
    <row r="3504" spans="1:19" x14ac:dyDescent="0.3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 t="str">
        <f t="shared" si="54"/>
        <v>15-30 days</v>
      </c>
      <c r="L3504">
        <v>17</v>
      </c>
      <c r="M3504">
        <v>3</v>
      </c>
      <c r="N3504">
        <v>2</v>
      </c>
      <c r="O3504" t="s">
        <v>25</v>
      </c>
      <c r="P3504" t="s">
        <v>26</v>
      </c>
      <c r="Q3504">
        <v>8.6999999999999993</v>
      </c>
      <c r="R3504">
        <v>38</v>
      </c>
      <c r="S3504" t="s">
        <v>36</v>
      </c>
    </row>
    <row r="3505" spans="1:19" x14ac:dyDescent="0.3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 t="str">
        <f t="shared" si="54"/>
        <v>8-14 days</v>
      </c>
      <c r="L3505">
        <v>9</v>
      </c>
      <c r="M3505">
        <v>1</v>
      </c>
      <c r="N3505">
        <v>0</v>
      </c>
      <c r="O3505" t="s">
        <v>54</v>
      </c>
      <c r="P3505" t="s">
        <v>55</v>
      </c>
      <c r="Q3505">
        <v>13</v>
      </c>
      <c r="R3505">
        <v>28</v>
      </c>
      <c r="S3505" t="s">
        <v>36</v>
      </c>
    </row>
    <row r="3506" spans="1:19" x14ac:dyDescent="0.3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 t="str">
        <f t="shared" si="54"/>
        <v>8-14 days</v>
      </c>
      <c r="L3506">
        <v>9</v>
      </c>
      <c r="M3506">
        <v>3</v>
      </c>
      <c r="N3506">
        <v>2</v>
      </c>
      <c r="O3506" t="s">
        <v>25</v>
      </c>
      <c r="P3506" t="s">
        <v>35</v>
      </c>
      <c r="Q3506">
        <v>17.600000000000001</v>
      </c>
      <c r="R3506">
        <v>27</v>
      </c>
      <c r="S3506" t="s">
        <v>27</v>
      </c>
    </row>
    <row r="3507" spans="1:19" x14ac:dyDescent="0.3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 t="str">
        <f t="shared" si="54"/>
        <v>8-14 days</v>
      </c>
      <c r="L3507">
        <v>11</v>
      </c>
      <c r="M3507">
        <v>2</v>
      </c>
      <c r="N3507">
        <v>1</v>
      </c>
      <c r="O3507" t="s">
        <v>25</v>
      </c>
      <c r="P3507" t="s">
        <v>35</v>
      </c>
      <c r="Q3507">
        <v>13.7</v>
      </c>
      <c r="R3507">
        <v>28</v>
      </c>
      <c r="S3507" t="s">
        <v>36</v>
      </c>
    </row>
    <row r="3508" spans="1:19" x14ac:dyDescent="0.3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 t="str">
        <f t="shared" si="54"/>
        <v>15-30 days</v>
      </c>
      <c r="L3508">
        <v>27</v>
      </c>
      <c r="M3508">
        <v>3</v>
      </c>
      <c r="N3508">
        <v>0</v>
      </c>
      <c r="O3508" t="s">
        <v>54</v>
      </c>
      <c r="P3508" t="s">
        <v>55</v>
      </c>
      <c r="Q3508">
        <v>21.2</v>
      </c>
      <c r="R3508">
        <v>2</v>
      </c>
      <c r="S3508" t="s">
        <v>36</v>
      </c>
    </row>
    <row r="3509" spans="1:19" x14ac:dyDescent="0.3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 t="str">
        <f t="shared" si="54"/>
        <v>31-60 days</v>
      </c>
      <c r="L3509">
        <v>32</v>
      </c>
      <c r="M3509">
        <v>2</v>
      </c>
      <c r="N3509">
        <v>0</v>
      </c>
      <c r="O3509" t="s">
        <v>25</v>
      </c>
      <c r="P3509" t="s">
        <v>35</v>
      </c>
      <c r="Q3509">
        <v>4.4000000000000004</v>
      </c>
      <c r="R3509">
        <v>23</v>
      </c>
      <c r="S3509" t="s">
        <v>36</v>
      </c>
    </row>
    <row r="3510" spans="1:19" x14ac:dyDescent="0.3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 t="str">
        <f t="shared" si="54"/>
        <v>0-7 days</v>
      </c>
      <c r="L3510">
        <v>0</v>
      </c>
      <c r="M3510">
        <v>2</v>
      </c>
      <c r="N3510">
        <v>1</v>
      </c>
      <c r="O3510" t="s">
        <v>54</v>
      </c>
      <c r="P3510" t="s">
        <v>55</v>
      </c>
      <c r="Q3510">
        <v>11.9</v>
      </c>
      <c r="R3510">
        <v>22</v>
      </c>
      <c r="S3510" t="s">
        <v>27</v>
      </c>
    </row>
    <row r="3511" spans="1:19" x14ac:dyDescent="0.3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 t="str">
        <f t="shared" si="54"/>
        <v>31-60 days</v>
      </c>
      <c r="L3511">
        <v>51</v>
      </c>
      <c r="M3511">
        <v>1</v>
      </c>
      <c r="N3511">
        <v>0</v>
      </c>
      <c r="O3511" t="s">
        <v>25</v>
      </c>
      <c r="P3511" t="s">
        <v>35</v>
      </c>
      <c r="Q3511">
        <v>12.6</v>
      </c>
      <c r="R3511">
        <v>11</v>
      </c>
      <c r="S3511" t="s">
        <v>27</v>
      </c>
    </row>
    <row r="3512" spans="1:19" x14ac:dyDescent="0.3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 t="str">
        <f t="shared" si="54"/>
        <v>31-60 days</v>
      </c>
      <c r="L3512">
        <v>41</v>
      </c>
      <c r="M3512">
        <v>6</v>
      </c>
      <c r="N3512">
        <v>0</v>
      </c>
      <c r="O3512" t="s">
        <v>54</v>
      </c>
      <c r="P3512" t="s">
        <v>55</v>
      </c>
      <c r="Q3512">
        <v>20.9</v>
      </c>
      <c r="R3512">
        <v>36</v>
      </c>
      <c r="S3512" t="s">
        <v>27</v>
      </c>
    </row>
    <row r="3513" spans="1:19" x14ac:dyDescent="0.3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 t="str">
        <f t="shared" si="54"/>
        <v>0-7 days</v>
      </c>
      <c r="L3513">
        <v>4</v>
      </c>
      <c r="M3513">
        <v>3</v>
      </c>
      <c r="N3513">
        <v>0</v>
      </c>
      <c r="O3513" t="s">
        <v>25</v>
      </c>
      <c r="P3513" t="s">
        <v>35</v>
      </c>
      <c r="Q3513">
        <v>12.5</v>
      </c>
      <c r="R3513">
        <v>27</v>
      </c>
      <c r="S3513" t="s">
        <v>27</v>
      </c>
    </row>
    <row r="3514" spans="1:19" x14ac:dyDescent="0.3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 t="str">
        <f t="shared" si="54"/>
        <v>31-60 days</v>
      </c>
      <c r="L3514">
        <v>51</v>
      </c>
      <c r="M3514">
        <v>3</v>
      </c>
      <c r="N3514">
        <v>0</v>
      </c>
      <c r="O3514" t="s">
        <v>25</v>
      </c>
      <c r="P3514" t="s">
        <v>26</v>
      </c>
      <c r="Q3514">
        <v>5.4</v>
      </c>
      <c r="R3514">
        <v>2</v>
      </c>
      <c r="S3514" t="s">
        <v>27</v>
      </c>
    </row>
    <row r="3515" spans="1:19" x14ac:dyDescent="0.3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 t="str">
        <f t="shared" si="54"/>
        <v>0-7 days</v>
      </c>
      <c r="L3515">
        <v>1</v>
      </c>
      <c r="M3515">
        <v>3</v>
      </c>
      <c r="N3515">
        <v>1</v>
      </c>
      <c r="O3515" t="s">
        <v>25</v>
      </c>
      <c r="P3515" t="s">
        <v>50</v>
      </c>
      <c r="Q3515">
        <v>9.1</v>
      </c>
      <c r="R3515">
        <v>27</v>
      </c>
      <c r="S3515" t="s">
        <v>71</v>
      </c>
    </row>
    <row r="3516" spans="1:19" x14ac:dyDescent="0.3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 t="str">
        <f t="shared" si="54"/>
        <v>31-60 days</v>
      </c>
      <c r="L3516">
        <v>34</v>
      </c>
      <c r="M3516">
        <v>3</v>
      </c>
      <c r="N3516">
        <v>0</v>
      </c>
      <c r="O3516" t="s">
        <v>25</v>
      </c>
      <c r="P3516" t="s">
        <v>35</v>
      </c>
      <c r="Q3516">
        <v>12</v>
      </c>
      <c r="R3516">
        <v>38</v>
      </c>
      <c r="S3516" t="s">
        <v>36</v>
      </c>
    </row>
    <row r="3517" spans="1:19" x14ac:dyDescent="0.3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 t="str">
        <f t="shared" si="54"/>
        <v>15-30 days</v>
      </c>
      <c r="L3517">
        <v>28</v>
      </c>
      <c r="M3517">
        <v>4</v>
      </c>
      <c r="N3517">
        <v>0</v>
      </c>
      <c r="O3517" t="s">
        <v>54</v>
      </c>
      <c r="P3517" t="s">
        <v>55</v>
      </c>
      <c r="Q3517">
        <v>2.8</v>
      </c>
      <c r="R3517">
        <v>17</v>
      </c>
      <c r="S3517" t="s">
        <v>36</v>
      </c>
    </row>
    <row r="3518" spans="1:19" x14ac:dyDescent="0.3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 t="str">
        <f t="shared" si="54"/>
        <v>15-30 days</v>
      </c>
      <c r="L3518">
        <v>30</v>
      </c>
      <c r="M3518">
        <v>4</v>
      </c>
      <c r="N3518">
        <v>1</v>
      </c>
      <c r="O3518" t="s">
        <v>25</v>
      </c>
      <c r="P3518" t="s">
        <v>35</v>
      </c>
      <c r="Q3518">
        <v>22.7</v>
      </c>
      <c r="R3518">
        <v>13</v>
      </c>
      <c r="S3518" t="s">
        <v>36</v>
      </c>
    </row>
    <row r="3519" spans="1:19" x14ac:dyDescent="0.3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 t="str">
        <f t="shared" si="54"/>
        <v>31-60 days</v>
      </c>
      <c r="L3519">
        <v>58</v>
      </c>
      <c r="M3519">
        <v>1</v>
      </c>
      <c r="N3519">
        <v>1</v>
      </c>
      <c r="O3519" t="s">
        <v>25</v>
      </c>
      <c r="P3519" t="s">
        <v>35</v>
      </c>
      <c r="Q3519">
        <v>9.3000000000000007</v>
      </c>
      <c r="R3519">
        <v>10</v>
      </c>
      <c r="S3519" t="s">
        <v>27</v>
      </c>
    </row>
    <row r="3520" spans="1:19" x14ac:dyDescent="0.3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 t="str">
        <f t="shared" si="54"/>
        <v>31-60 days</v>
      </c>
      <c r="L3520">
        <v>56</v>
      </c>
      <c r="M3520">
        <v>6</v>
      </c>
      <c r="N3520">
        <v>0</v>
      </c>
      <c r="O3520" t="s">
        <v>25</v>
      </c>
      <c r="P3520" t="s">
        <v>26</v>
      </c>
      <c r="Q3520">
        <v>28.8</v>
      </c>
      <c r="R3520">
        <v>25</v>
      </c>
      <c r="S3520" t="s">
        <v>27</v>
      </c>
    </row>
    <row r="3521" spans="1:19" x14ac:dyDescent="0.3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 t="str">
        <f t="shared" si="54"/>
        <v>15-30 days</v>
      </c>
      <c r="L3521">
        <v>17</v>
      </c>
      <c r="M3521">
        <v>2</v>
      </c>
      <c r="N3521">
        <v>1</v>
      </c>
      <c r="O3521" t="s">
        <v>25</v>
      </c>
      <c r="P3521" t="s">
        <v>35</v>
      </c>
      <c r="Q3521">
        <v>3.2</v>
      </c>
      <c r="R3521">
        <v>16</v>
      </c>
      <c r="S3521" t="s">
        <v>36</v>
      </c>
    </row>
    <row r="3522" spans="1:19" x14ac:dyDescent="0.3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 t="str">
        <f t="shared" si="54"/>
        <v>31-60 days</v>
      </c>
      <c r="L3522">
        <v>35</v>
      </c>
      <c r="M3522">
        <v>0</v>
      </c>
      <c r="N3522">
        <v>0</v>
      </c>
      <c r="O3522" t="s">
        <v>25</v>
      </c>
      <c r="P3522" t="s">
        <v>50</v>
      </c>
      <c r="Q3522">
        <v>4.5999999999999996</v>
      </c>
      <c r="R3522">
        <v>8</v>
      </c>
      <c r="S3522" t="s">
        <v>27</v>
      </c>
    </row>
    <row r="3523" spans="1:19" x14ac:dyDescent="0.3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 t="str">
        <f t="shared" ref="K3523:K3586" si="55">IF(L3523&lt;=7,"0-7 days",IF(L3523&lt;=14,"8-14 days",IF(L3523&lt;=30,"15-30 days","31-60 days")))</f>
        <v>31-60 days</v>
      </c>
      <c r="L3523">
        <v>58</v>
      </c>
      <c r="M3523">
        <v>3</v>
      </c>
      <c r="N3523">
        <v>0</v>
      </c>
      <c r="O3523" t="s">
        <v>54</v>
      </c>
      <c r="P3523" t="s">
        <v>55</v>
      </c>
      <c r="Q3523">
        <v>12.9</v>
      </c>
      <c r="R3523">
        <v>42</v>
      </c>
      <c r="S3523" t="s">
        <v>27</v>
      </c>
    </row>
    <row r="3524" spans="1:19" x14ac:dyDescent="0.3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 t="str">
        <f t="shared" si="55"/>
        <v>31-60 days</v>
      </c>
      <c r="L3524">
        <v>44</v>
      </c>
      <c r="M3524">
        <v>3</v>
      </c>
      <c r="N3524">
        <v>1</v>
      </c>
      <c r="O3524" t="s">
        <v>54</v>
      </c>
      <c r="P3524" t="s">
        <v>55</v>
      </c>
      <c r="Q3524">
        <v>7.1</v>
      </c>
      <c r="R3524">
        <v>26</v>
      </c>
      <c r="S3524" t="s">
        <v>27</v>
      </c>
    </row>
    <row r="3525" spans="1:19" x14ac:dyDescent="0.3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 t="str">
        <f t="shared" si="55"/>
        <v>31-60 days</v>
      </c>
      <c r="L3525">
        <v>54</v>
      </c>
      <c r="M3525">
        <v>3</v>
      </c>
      <c r="N3525">
        <v>0</v>
      </c>
      <c r="O3525" t="s">
        <v>54</v>
      </c>
      <c r="P3525" t="s">
        <v>55</v>
      </c>
      <c r="Q3525">
        <v>17.100000000000001</v>
      </c>
      <c r="R3525">
        <v>18</v>
      </c>
      <c r="S3525" t="s">
        <v>27</v>
      </c>
    </row>
    <row r="3526" spans="1:19" x14ac:dyDescent="0.3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 t="str">
        <f t="shared" si="55"/>
        <v>15-30 days</v>
      </c>
      <c r="L3526">
        <v>26</v>
      </c>
      <c r="M3526">
        <v>4</v>
      </c>
      <c r="N3526">
        <v>1</v>
      </c>
      <c r="O3526" t="s">
        <v>25</v>
      </c>
      <c r="P3526" t="s">
        <v>26</v>
      </c>
      <c r="Q3526">
        <v>9.6999999999999993</v>
      </c>
      <c r="R3526">
        <v>42</v>
      </c>
      <c r="S3526" t="s">
        <v>36</v>
      </c>
    </row>
    <row r="3527" spans="1:19" x14ac:dyDescent="0.3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 t="str">
        <f t="shared" si="55"/>
        <v>15-30 days</v>
      </c>
      <c r="L3527">
        <v>17</v>
      </c>
      <c r="M3527">
        <v>5</v>
      </c>
      <c r="N3527">
        <v>2</v>
      </c>
      <c r="O3527" t="s">
        <v>25</v>
      </c>
      <c r="P3527" t="s">
        <v>35</v>
      </c>
      <c r="Q3527">
        <v>9.4</v>
      </c>
      <c r="R3527">
        <v>27</v>
      </c>
      <c r="S3527" t="s">
        <v>36</v>
      </c>
    </row>
    <row r="3528" spans="1:19" x14ac:dyDescent="0.3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 t="str">
        <f t="shared" si="55"/>
        <v>31-60 days</v>
      </c>
      <c r="L3528">
        <v>31</v>
      </c>
      <c r="M3528">
        <v>2</v>
      </c>
      <c r="N3528">
        <v>0</v>
      </c>
      <c r="O3528" t="s">
        <v>25</v>
      </c>
      <c r="P3528" t="s">
        <v>26</v>
      </c>
      <c r="Q3528">
        <v>9.1999999999999993</v>
      </c>
      <c r="R3528">
        <v>23</v>
      </c>
      <c r="S3528" t="s">
        <v>36</v>
      </c>
    </row>
    <row r="3529" spans="1:19" x14ac:dyDescent="0.3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 t="str">
        <f t="shared" si="55"/>
        <v>31-60 days</v>
      </c>
      <c r="L3529">
        <v>49</v>
      </c>
      <c r="M3529">
        <v>2</v>
      </c>
      <c r="N3529">
        <v>1</v>
      </c>
      <c r="O3529" t="s">
        <v>54</v>
      </c>
      <c r="P3529" t="s">
        <v>55</v>
      </c>
      <c r="Q3529">
        <v>3.5</v>
      </c>
      <c r="R3529">
        <v>26</v>
      </c>
      <c r="S3529" t="s">
        <v>27</v>
      </c>
    </row>
    <row r="3530" spans="1:19" x14ac:dyDescent="0.3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 t="str">
        <f t="shared" si="55"/>
        <v>31-60 days</v>
      </c>
      <c r="L3530">
        <v>56</v>
      </c>
      <c r="M3530">
        <v>4</v>
      </c>
      <c r="N3530">
        <v>0</v>
      </c>
      <c r="O3530" t="s">
        <v>25</v>
      </c>
      <c r="P3530" t="s">
        <v>35</v>
      </c>
      <c r="Q3530">
        <v>9.9</v>
      </c>
      <c r="R3530">
        <v>18</v>
      </c>
      <c r="S3530" t="s">
        <v>27</v>
      </c>
    </row>
    <row r="3531" spans="1:19" x14ac:dyDescent="0.3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 t="str">
        <f t="shared" si="55"/>
        <v>31-60 days</v>
      </c>
      <c r="L3531">
        <v>41</v>
      </c>
      <c r="M3531">
        <v>0</v>
      </c>
      <c r="N3531">
        <v>0</v>
      </c>
      <c r="O3531" t="s">
        <v>25</v>
      </c>
      <c r="P3531" t="s">
        <v>50</v>
      </c>
      <c r="Q3531">
        <v>4.4000000000000004</v>
      </c>
      <c r="R3531">
        <v>22</v>
      </c>
      <c r="S3531" t="s">
        <v>36</v>
      </c>
    </row>
    <row r="3532" spans="1:19" x14ac:dyDescent="0.3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 t="str">
        <f t="shared" si="55"/>
        <v>31-60 days</v>
      </c>
      <c r="L3532">
        <v>43</v>
      </c>
      <c r="M3532">
        <v>3</v>
      </c>
      <c r="N3532">
        <v>0</v>
      </c>
      <c r="O3532" t="s">
        <v>25</v>
      </c>
      <c r="P3532" t="s">
        <v>50</v>
      </c>
      <c r="Q3532">
        <v>29.5</v>
      </c>
      <c r="R3532">
        <v>30</v>
      </c>
      <c r="S3532" t="s">
        <v>36</v>
      </c>
    </row>
    <row r="3533" spans="1:19" x14ac:dyDescent="0.3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 t="str">
        <f t="shared" si="55"/>
        <v>31-60 days</v>
      </c>
      <c r="L3533">
        <v>31</v>
      </c>
      <c r="M3533">
        <v>4</v>
      </c>
      <c r="N3533">
        <v>0</v>
      </c>
      <c r="O3533" t="s">
        <v>25</v>
      </c>
      <c r="P3533" t="s">
        <v>35</v>
      </c>
      <c r="Q3533">
        <v>1.4</v>
      </c>
      <c r="R3533">
        <v>42</v>
      </c>
      <c r="S3533" t="s">
        <v>36</v>
      </c>
    </row>
    <row r="3534" spans="1:19" x14ac:dyDescent="0.3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 t="str">
        <f t="shared" si="55"/>
        <v>15-30 days</v>
      </c>
      <c r="L3534">
        <v>19</v>
      </c>
      <c r="M3534">
        <v>3</v>
      </c>
      <c r="N3534">
        <v>2</v>
      </c>
      <c r="O3534" t="s">
        <v>25</v>
      </c>
      <c r="P3534" t="s">
        <v>35</v>
      </c>
      <c r="Q3534">
        <v>10.8</v>
      </c>
      <c r="R3534">
        <v>18</v>
      </c>
      <c r="S3534" t="s">
        <v>36</v>
      </c>
    </row>
    <row r="3535" spans="1:19" x14ac:dyDescent="0.3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 t="str">
        <f t="shared" si="55"/>
        <v>15-30 days</v>
      </c>
      <c r="L3535">
        <v>25</v>
      </c>
      <c r="M3535">
        <v>1</v>
      </c>
      <c r="N3535">
        <v>0</v>
      </c>
      <c r="O3535" t="s">
        <v>25</v>
      </c>
      <c r="P3535" t="s">
        <v>26</v>
      </c>
      <c r="Q3535">
        <v>11.7</v>
      </c>
      <c r="R3535">
        <v>31</v>
      </c>
      <c r="S3535" t="s">
        <v>36</v>
      </c>
    </row>
    <row r="3536" spans="1:19" x14ac:dyDescent="0.3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 t="str">
        <f t="shared" si="55"/>
        <v>15-30 days</v>
      </c>
      <c r="L3536">
        <v>30</v>
      </c>
      <c r="M3536">
        <v>2</v>
      </c>
      <c r="N3536">
        <v>0</v>
      </c>
      <c r="O3536" t="s">
        <v>54</v>
      </c>
      <c r="P3536" t="s">
        <v>55</v>
      </c>
      <c r="R3536">
        <v>8</v>
      </c>
      <c r="S3536" t="s">
        <v>71</v>
      </c>
    </row>
    <row r="3537" spans="1:19" x14ac:dyDescent="0.3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 t="str">
        <f t="shared" si="55"/>
        <v>31-60 days</v>
      </c>
      <c r="L3537">
        <v>49</v>
      </c>
      <c r="M3537">
        <v>3</v>
      </c>
      <c r="N3537">
        <v>1</v>
      </c>
      <c r="O3537" t="s">
        <v>25</v>
      </c>
      <c r="P3537" t="s">
        <v>26</v>
      </c>
      <c r="Q3537">
        <v>15.2</v>
      </c>
      <c r="R3537">
        <v>30</v>
      </c>
      <c r="S3537" t="s">
        <v>27</v>
      </c>
    </row>
    <row r="3538" spans="1:19" x14ac:dyDescent="0.3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 t="str">
        <f t="shared" si="55"/>
        <v>31-60 days</v>
      </c>
      <c r="L3538">
        <v>33</v>
      </c>
      <c r="M3538">
        <v>4</v>
      </c>
      <c r="N3538">
        <v>0</v>
      </c>
      <c r="O3538" t="s">
        <v>25</v>
      </c>
      <c r="P3538" t="s">
        <v>35</v>
      </c>
      <c r="Q3538">
        <v>2.2999999999999998</v>
      </c>
      <c r="R3538">
        <v>44</v>
      </c>
      <c r="S3538" t="s">
        <v>27</v>
      </c>
    </row>
    <row r="3539" spans="1:19" x14ac:dyDescent="0.3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 t="str">
        <f t="shared" si="55"/>
        <v>31-60 days</v>
      </c>
      <c r="L3539">
        <v>48</v>
      </c>
      <c r="M3539">
        <v>4</v>
      </c>
      <c r="N3539">
        <v>2</v>
      </c>
      <c r="O3539" t="s">
        <v>25</v>
      </c>
      <c r="P3539" t="s">
        <v>35</v>
      </c>
      <c r="Q3539">
        <v>12</v>
      </c>
      <c r="R3539">
        <v>24</v>
      </c>
      <c r="S3539" t="s">
        <v>71</v>
      </c>
    </row>
    <row r="3540" spans="1:19" x14ac:dyDescent="0.3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 t="str">
        <f t="shared" si="55"/>
        <v>0-7 days</v>
      </c>
      <c r="L3540">
        <v>1</v>
      </c>
      <c r="M3540">
        <v>4</v>
      </c>
      <c r="N3540">
        <v>0</v>
      </c>
      <c r="O3540" t="s">
        <v>25</v>
      </c>
      <c r="P3540" t="s">
        <v>35</v>
      </c>
      <c r="Q3540">
        <v>8.8000000000000007</v>
      </c>
      <c r="R3540">
        <v>18</v>
      </c>
      <c r="S3540" t="s">
        <v>36</v>
      </c>
    </row>
    <row r="3541" spans="1:19" x14ac:dyDescent="0.3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 t="str">
        <f t="shared" si="55"/>
        <v>31-60 days</v>
      </c>
      <c r="L3541">
        <v>46</v>
      </c>
      <c r="M3541">
        <v>1</v>
      </c>
      <c r="N3541">
        <v>0</v>
      </c>
      <c r="O3541" t="s">
        <v>25</v>
      </c>
      <c r="P3541" t="s">
        <v>35</v>
      </c>
      <c r="R3541">
        <v>18</v>
      </c>
      <c r="S3541" t="s">
        <v>27</v>
      </c>
    </row>
    <row r="3542" spans="1:19" x14ac:dyDescent="0.3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 t="str">
        <f t="shared" si="55"/>
        <v>15-30 days</v>
      </c>
      <c r="L3542">
        <v>30</v>
      </c>
      <c r="M3542">
        <v>2</v>
      </c>
      <c r="N3542">
        <v>0</v>
      </c>
      <c r="O3542" t="s">
        <v>25</v>
      </c>
      <c r="P3542" t="s">
        <v>26</v>
      </c>
      <c r="Q3542">
        <v>16.5</v>
      </c>
      <c r="R3542">
        <v>29</v>
      </c>
      <c r="S3542" t="s">
        <v>27</v>
      </c>
    </row>
    <row r="3543" spans="1:19" x14ac:dyDescent="0.3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 t="str">
        <f t="shared" si="55"/>
        <v>31-60 days</v>
      </c>
      <c r="L3543">
        <v>60</v>
      </c>
      <c r="M3543">
        <v>5</v>
      </c>
      <c r="N3543">
        <v>1</v>
      </c>
      <c r="O3543" t="s">
        <v>25</v>
      </c>
      <c r="P3543" t="s">
        <v>35</v>
      </c>
      <c r="Q3543">
        <v>19.7</v>
      </c>
      <c r="R3543">
        <v>25</v>
      </c>
      <c r="S3543" t="s">
        <v>36</v>
      </c>
    </row>
    <row r="3544" spans="1:19" x14ac:dyDescent="0.3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 t="str">
        <f t="shared" si="55"/>
        <v>15-30 days</v>
      </c>
      <c r="L3544">
        <v>28</v>
      </c>
      <c r="M3544">
        <v>5</v>
      </c>
      <c r="N3544">
        <v>1</v>
      </c>
      <c r="O3544" t="s">
        <v>25</v>
      </c>
      <c r="P3544" t="s">
        <v>26</v>
      </c>
      <c r="Q3544">
        <v>3.1</v>
      </c>
      <c r="R3544">
        <v>20</v>
      </c>
      <c r="S3544" t="s">
        <v>36</v>
      </c>
    </row>
    <row r="3545" spans="1:19" x14ac:dyDescent="0.3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 t="str">
        <f t="shared" si="55"/>
        <v>15-30 days</v>
      </c>
      <c r="L3545">
        <v>29</v>
      </c>
      <c r="M3545">
        <v>5</v>
      </c>
      <c r="N3545">
        <v>1</v>
      </c>
      <c r="O3545" t="s">
        <v>25</v>
      </c>
      <c r="P3545" t="s">
        <v>50</v>
      </c>
      <c r="Q3545">
        <v>9.1999999999999993</v>
      </c>
      <c r="R3545">
        <v>31</v>
      </c>
      <c r="S3545" t="s">
        <v>36</v>
      </c>
    </row>
    <row r="3546" spans="1:19" x14ac:dyDescent="0.3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 t="str">
        <f t="shared" si="55"/>
        <v>0-7 days</v>
      </c>
      <c r="L3546">
        <v>7</v>
      </c>
      <c r="M3546">
        <v>0</v>
      </c>
      <c r="N3546">
        <v>0</v>
      </c>
      <c r="O3546" t="s">
        <v>25</v>
      </c>
      <c r="P3546" t="s">
        <v>35</v>
      </c>
      <c r="Q3546">
        <v>14.7</v>
      </c>
      <c r="R3546">
        <v>14</v>
      </c>
      <c r="S3546" t="s">
        <v>27</v>
      </c>
    </row>
    <row r="3547" spans="1:19" x14ac:dyDescent="0.3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 t="str">
        <f t="shared" si="55"/>
        <v>31-60 days</v>
      </c>
      <c r="L3547">
        <v>49</v>
      </c>
      <c r="M3547">
        <v>1</v>
      </c>
      <c r="N3547">
        <v>0</v>
      </c>
      <c r="O3547" t="s">
        <v>54</v>
      </c>
      <c r="P3547" t="s">
        <v>55</v>
      </c>
      <c r="Q3547">
        <v>9.8000000000000007</v>
      </c>
      <c r="R3547">
        <v>34</v>
      </c>
      <c r="S3547" t="s">
        <v>27</v>
      </c>
    </row>
    <row r="3548" spans="1:19" x14ac:dyDescent="0.3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 t="str">
        <f t="shared" si="55"/>
        <v>31-60 days</v>
      </c>
      <c r="L3548">
        <v>42</v>
      </c>
      <c r="M3548">
        <v>6</v>
      </c>
      <c r="N3548">
        <v>2</v>
      </c>
      <c r="O3548" t="s">
        <v>25</v>
      </c>
      <c r="P3548" t="s">
        <v>26</v>
      </c>
      <c r="Q3548">
        <v>18.8</v>
      </c>
      <c r="R3548">
        <v>21</v>
      </c>
      <c r="S3548" t="s">
        <v>27</v>
      </c>
    </row>
    <row r="3549" spans="1:19" x14ac:dyDescent="0.3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 t="str">
        <f t="shared" si="55"/>
        <v>31-60 days</v>
      </c>
      <c r="L3549">
        <v>52</v>
      </c>
      <c r="M3549">
        <v>0</v>
      </c>
      <c r="N3549">
        <v>0</v>
      </c>
      <c r="O3549" t="s">
        <v>25</v>
      </c>
      <c r="P3549" t="s">
        <v>35</v>
      </c>
      <c r="Q3549">
        <v>5.3</v>
      </c>
      <c r="R3549">
        <v>31</v>
      </c>
      <c r="S3549" t="s">
        <v>27</v>
      </c>
    </row>
    <row r="3550" spans="1:19" x14ac:dyDescent="0.3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 t="str">
        <f t="shared" si="55"/>
        <v>0-7 days</v>
      </c>
      <c r="L3550">
        <v>5</v>
      </c>
      <c r="M3550">
        <v>8</v>
      </c>
      <c r="N3550">
        <v>3</v>
      </c>
      <c r="O3550" t="s">
        <v>25</v>
      </c>
      <c r="P3550" t="s">
        <v>35</v>
      </c>
      <c r="Q3550">
        <v>17.8</v>
      </c>
      <c r="R3550">
        <v>33</v>
      </c>
      <c r="S3550" t="s">
        <v>27</v>
      </c>
    </row>
    <row r="3551" spans="1:19" x14ac:dyDescent="0.3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 t="str">
        <f t="shared" si="55"/>
        <v>8-14 days</v>
      </c>
      <c r="L3551">
        <v>12</v>
      </c>
      <c r="M3551">
        <v>1</v>
      </c>
      <c r="N3551">
        <v>0</v>
      </c>
      <c r="O3551" t="s">
        <v>25</v>
      </c>
      <c r="P3551" t="s">
        <v>35</v>
      </c>
      <c r="Q3551">
        <v>7.2</v>
      </c>
      <c r="R3551">
        <v>3</v>
      </c>
      <c r="S3551" t="s">
        <v>36</v>
      </c>
    </row>
    <row r="3552" spans="1:19" x14ac:dyDescent="0.3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 t="str">
        <f t="shared" si="55"/>
        <v>31-60 days</v>
      </c>
      <c r="L3552">
        <v>53</v>
      </c>
      <c r="M3552">
        <v>5</v>
      </c>
      <c r="N3552">
        <v>2</v>
      </c>
      <c r="O3552" t="s">
        <v>25</v>
      </c>
      <c r="P3552" t="s">
        <v>26</v>
      </c>
      <c r="Q3552">
        <v>4.4000000000000004</v>
      </c>
      <c r="R3552">
        <v>23</v>
      </c>
      <c r="S3552" t="s">
        <v>27</v>
      </c>
    </row>
    <row r="3553" spans="1:19" x14ac:dyDescent="0.3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 t="str">
        <f t="shared" si="55"/>
        <v>0-7 days</v>
      </c>
      <c r="L3553">
        <v>2</v>
      </c>
      <c r="M3553">
        <v>3</v>
      </c>
      <c r="N3553">
        <v>0</v>
      </c>
      <c r="O3553" t="s">
        <v>54</v>
      </c>
      <c r="P3553" t="s">
        <v>55</v>
      </c>
      <c r="Q3553">
        <v>9.9</v>
      </c>
      <c r="R3553">
        <v>7</v>
      </c>
      <c r="S3553" t="s">
        <v>36</v>
      </c>
    </row>
    <row r="3554" spans="1:19" x14ac:dyDescent="0.3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 t="str">
        <f t="shared" si="55"/>
        <v>31-60 days</v>
      </c>
      <c r="L3554">
        <v>31</v>
      </c>
      <c r="M3554">
        <v>3</v>
      </c>
      <c r="N3554">
        <v>1</v>
      </c>
      <c r="O3554" t="s">
        <v>25</v>
      </c>
      <c r="P3554" t="s">
        <v>26</v>
      </c>
      <c r="Q3554">
        <v>8.1999999999999993</v>
      </c>
      <c r="R3554">
        <v>5</v>
      </c>
      <c r="S3554" t="s">
        <v>27</v>
      </c>
    </row>
    <row r="3555" spans="1:19" x14ac:dyDescent="0.3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 t="str">
        <f t="shared" si="55"/>
        <v>15-30 days</v>
      </c>
      <c r="L3555">
        <v>24</v>
      </c>
      <c r="M3555">
        <v>4</v>
      </c>
      <c r="N3555">
        <v>1</v>
      </c>
      <c r="O3555" t="s">
        <v>25</v>
      </c>
      <c r="P3555" t="s">
        <v>35</v>
      </c>
      <c r="Q3555">
        <v>2.8</v>
      </c>
      <c r="R3555">
        <v>21</v>
      </c>
      <c r="S3555" t="s">
        <v>27</v>
      </c>
    </row>
    <row r="3556" spans="1:19" x14ac:dyDescent="0.3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 t="str">
        <f t="shared" si="55"/>
        <v>31-60 days</v>
      </c>
      <c r="L3556">
        <v>57</v>
      </c>
      <c r="M3556">
        <v>4</v>
      </c>
      <c r="N3556">
        <v>2</v>
      </c>
      <c r="O3556" t="s">
        <v>54</v>
      </c>
      <c r="P3556" t="s">
        <v>55</v>
      </c>
      <c r="Q3556">
        <v>9.3000000000000007</v>
      </c>
      <c r="R3556">
        <v>27</v>
      </c>
      <c r="S3556" t="s">
        <v>36</v>
      </c>
    </row>
    <row r="3557" spans="1:19" x14ac:dyDescent="0.3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 t="str">
        <f t="shared" si="55"/>
        <v>31-60 days</v>
      </c>
      <c r="L3557">
        <v>52</v>
      </c>
      <c r="M3557">
        <v>5</v>
      </c>
      <c r="N3557">
        <v>0</v>
      </c>
      <c r="O3557" t="s">
        <v>25</v>
      </c>
      <c r="P3557" t="s">
        <v>35</v>
      </c>
      <c r="Q3557">
        <v>16</v>
      </c>
      <c r="R3557">
        <v>7</v>
      </c>
      <c r="S3557" t="s">
        <v>36</v>
      </c>
    </row>
    <row r="3558" spans="1:19" x14ac:dyDescent="0.3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 t="str">
        <f t="shared" si="55"/>
        <v>31-60 days</v>
      </c>
      <c r="L3558">
        <v>54</v>
      </c>
      <c r="M3558">
        <v>4</v>
      </c>
      <c r="N3558">
        <v>1</v>
      </c>
      <c r="O3558" t="s">
        <v>25</v>
      </c>
      <c r="P3558" t="s">
        <v>50</v>
      </c>
      <c r="Q3558">
        <v>20.399999999999999</v>
      </c>
      <c r="R3558">
        <v>27</v>
      </c>
      <c r="S3558" t="s">
        <v>27</v>
      </c>
    </row>
    <row r="3559" spans="1:19" x14ac:dyDescent="0.3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 t="str">
        <f t="shared" si="55"/>
        <v>15-30 days</v>
      </c>
      <c r="L3559">
        <v>17</v>
      </c>
      <c r="M3559">
        <v>5</v>
      </c>
      <c r="N3559">
        <v>1</v>
      </c>
      <c r="O3559" t="s">
        <v>54</v>
      </c>
      <c r="P3559" t="s">
        <v>55</v>
      </c>
      <c r="Q3559">
        <v>14.6</v>
      </c>
      <c r="R3559">
        <v>14</v>
      </c>
      <c r="S3559" t="s">
        <v>27</v>
      </c>
    </row>
    <row r="3560" spans="1:19" x14ac:dyDescent="0.3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 t="str">
        <f t="shared" si="55"/>
        <v>31-60 days</v>
      </c>
      <c r="L3560">
        <v>35</v>
      </c>
      <c r="M3560">
        <v>2</v>
      </c>
      <c r="N3560">
        <v>2</v>
      </c>
      <c r="O3560" t="s">
        <v>25</v>
      </c>
      <c r="P3560" t="s">
        <v>35</v>
      </c>
      <c r="Q3560">
        <v>5</v>
      </c>
      <c r="R3560">
        <v>25</v>
      </c>
      <c r="S3560" t="s">
        <v>36</v>
      </c>
    </row>
    <row r="3561" spans="1:19" x14ac:dyDescent="0.3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 t="str">
        <f t="shared" si="55"/>
        <v>31-60 days</v>
      </c>
      <c r="L3561">
        <v>42</v>
      </c>
      <c r="M3561">
        <v>5</v>
      </c>
      <c r="N3561">
        <v>1</v>
      </c>
      <c r="O3561" t="s">
        <v>54</v>
      </c>
      <c r="P3561" t="s">
        <v>55</v>
      </c>
      <c r="Q3561">
        <v>11.6</v>
      </c>
      <c r="R3561">
        <v>52</v>
      </c>
      <c r="S3561" t="s">
        <v>36</v>
      </c>
    </row>
    <row r="3562" spans="1:19" x14ac:dyDescent="0.3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 t="str">
        <f t="shared" si="55"/>
        <v>31-60 days</v>
      </c>
      <c r="L3562">
        <v>59</v>
      </c>
      <c r="M3562">
        <v>7</v>
      </c>
      <c r="N3562">
        <v>1</v>
      </c>
      <c r="O3562" t="s">
        <v>25</v>
      </c>
      <c r="P3562" t="s">
        <v>35</v>
      </c>
      <c r="Q3562">
        <v>2.4</v>
      </c>
      <c r="R3562">
        <v>21</v>
      </c>
      <c r="S3562" t="s">
        <v>36</v>
      </c>
    </row>
    <row r="3563" spans="1:19" x14ac:dyDescent="0.3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 t="str">
        <f t="shared" si="55"/>
        <v>0-7 days</v>
      </c>
      <c r="L3563">
        <v>0</v>
      </c>
      <c r="M3563">
        <v>2</v>
      </c>
      <c r="N3563">
        <v>1</v>
      </c>
      <c r="O3563" t="s">
        <v>25</v>
      </c>
      <c r="P3563" t="s">
        <v>26</v>
      </c>
      <c r="Q3563">
        <v>13.4</v>
      </c>
      <c r="R3563">
        <v>11</v>
      </c>
      <c r="S3563" t="s">
        <v>36</v>
      </c>
    </row>
    <row r="3564" spans="1:19" x14ac:dyDescent="0.3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 t="str">
        <f t="shared" si="55"/>
        <v>31-60 days</v>
      </c>
      <c r="L3564">
        <v>59</v>
      </c>
      <c r="M3564">
        <v>2</v>
      </c>
      <c r="N3564">
        <v>0</v>
      </c>
      <c r="O3564" t="s">
        <v>25</v>
      </c>
      <c r="P3564" t="s">
        <v>35</v>
      </c>
      <c r="Q3564">
        <v>12.7</v>
      </c>
      <c r="R3564">
        <v>24</v>
      </c>
      <c r="S3564" t="s">
        <v>36</v>
      </c>
    </row>
    <row r="3565" spans="1:19" x14ac:dyDescent="0.3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 t="str">
        <f t="shared" si="55"/>
        <v>15-30 days</v>
      </c>
      <c r="L3565">
        <v>21</v>
      </c>
      <c r="M3565">
        <v>1</v>
      </c>
      <c r="N3565">
        <v>0</v>
      </c>
      <c r="O3565" t="s">
        <v>54</v>
      </c>
      <c r="P3565" t="s">
        <v>55</v>
      </c>
      <c r="Q3565">
        <v>5</v>
      </c>
      <c r="R3565">
        <v>22</v>
      </c>
      <c r="S3565" t="s">
        <v>27</v>
      </c>
    </row>
    <row r="3566" spans="1:19" x14ac:dyDescent="0.3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 t="str">
        <f t="shared" si="55"/>
        <v>0-7 days</v>
      </c>
      <c r="L3566">
        <v>7</v>
      </c>
      <c r="M3566">
        <v>5</v>
      </c>
      <c r="N3566">
        <v>0</v>
      </c>
      <c r="O3566" t="s">
        <v>25</v>
      </c>
      <c r="P3566" t="s">
        <v>26</v>
      </c>
      <c r="Q3566">
        <v>7.1</v>
      </c>
      <c r="R3566">
        <v>20</v>
      </c>
      <c r="S3566" t="s">
        <v>36</v>
      </c>
    </row>
    <row r="3567" spans="1:19" x14ac:dyDescent="0.3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 t="str">
        <f t="shared" si="55"/>
        <v>31-60 days</v>
      </c>
      <c r="L3567">
        <v>37</v>
      </c>
      <c r="M3567">
        <v>4</v>
      </c>
      <c r="N3567">
        <v>2</v>
      </c>
      <c r="O3567" t="s">
        <v>25</v>
      </c>
      <c r="P3567" t="s">
        <v>35</v>
      </c>
      <c r="R3567">
        <v>24</v>
      </c>
      <c r="S3567" t="s">
        <v>27</v>
      </c>
    </row>
    <row r="3568" spans="1:19" x14ac:dyDescent="0.3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 t="str">
        <f t="shared" si="55"/>
        <v>31-60 days</v>
      </c>
      <c r="L3568">
        <v>47</v>
      </c>
      <c r="M3568">
        <v>4</v>
      </c>
      <c r="N3568">
        <v>1</v>
      </c>
      <c r="O3568" t="s">
        <v>54</v>
      </c>
      <c r="P3568" t="s">
        <v>55</v>
      </c>
      <c r="Q3568">
        <v>12.6</v>
      </c>
      <c r="R3568">
        <v>22</v>
      </c>
      <c r="S3568" t="s">
        <v>27</v>
      </c>
    </row>
    <row r="3569" spans="1:19" x14ac:dyDescent="0.3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 t="str">
        <f t="shared" si="55"/>
        <v>0-7 days</v>
      </c>
      <c r="L3569">
        <v>7</v>
      </c>
      <c r="M3569">
        <v>3</v>
      </c>
      <c r="N3569">
        <v>0</v>
      </c>
      <c r="O3569" t="s">
        <v>25</v>
      </c>
      <c r="P3569" t="s">
        <v>35</v>
      </c>
      <c r="Q3569">
        <v>16.399999999999999</v>
      </c>
      <c r="R3569">
        <v>10</v>
      </c>
      <c r="S3569" t="s">
        <v>27</v>
      </c>
    </row>
    <row r="3570" spans="1:19" x14ac:dyDescent="0.3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 t="str">
        <f t="shared" si="55"/>
        <v>0-7 days</v>
      </c>
      <c r="L3570">
        <v>2</v>
      </c>
      <c r="M3570">
        <v>3</v>
      </c>
      <c r="N3570">
        <v>1</v>
      </c>
      <c r="O3570" t="s">
        <v>25</v>
      </c>
      <c r="P3570" t="s">
        <v>26</v>
      </c>
      <c r="Q3570">
        <v>2.4</v>
      </c>
      <c r="R3570">
        <v>33</v>
      </c>
      <c r="S3570" t="s">
        <v>36</v>
      </c>
    </row>
    <row r="3571" spans="1:19" x14ac:dyDescent="0.3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 t="str">
        <f t="shared" si="55"/>
        <v>31-60 days</v>
      </c>
      <c r="L3571">
        <v>54</v>
      </c>
      <c r="M3571">
        <v>4</v>
      </c>
      <c r="N3571">
        <v>0</v>
      </c>
      <c r="O3571" t="s">
        <v>25</v>
      </c>
      <c r="P3571" t="s">
        <v>26</v>
      </c>
      <c r="Q3571">
        <v>2.2000000000000002</v>
      </c>
      <c r="R3571">
        <v>38</v>
      </c>
      <c r="S3571" t="s">
        <v>27</v>
      </c>
    </row>
    <row r="3572" spans="1:19" x14ac:dyDescent="0.3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 t="str">
        <f t="shared" si="55"/>
        <v>31-60 days</v>
      </c>
      <c r="L3572">
        <v>56</v>
      </c>
      <c r="M3572">
        <v>3</v>
      </c>
      <c r="N3572">
        <v>0</v>
      </c>
      <c r="O3572" t="s">
        <v>54</v>
      </c>
      <c r="P3572" t="s">
        <v>55</v>
      </c>
      <c r="Q3572">
        <v>2</v>
      </c>
      <c r="R3572">
        <v>20</v>
      </c>
      <c r="S3572" t="s">
        <v>27</v>
      </c>
    </row>
    <row r="3573" spans="1:19" x14ac:dyDescent="0.3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 t="str">
        <f t="shared" si="55"/>
        <v>8-14 days</v>
      </c>
      <c r="L3573">
        <v>9</v>
      </c>
      <c r="M3573">
        <v>1</v>
      </c>
      <c r="N3573">
        <v>1</v>
      </c>
      <c r="O3573" t="s">
        <v>25</v>
      </c>
      <c r="P3573" t="s">
        <v>35</v>
      </c>
      <c r="Q3573">
        <v>11</v>
      </c>
      <c r="R3573">
        <v>28</v>
      </c>
      <c r="S3573" t="s">
        <v>71</v>
      </c>
    </row>
    <row r="3574" spans="1:19" x14ac:dyDescent="0.3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 t="str">
        <f t="shared" si="55"/>
        <v>31-60 days</v>
      </c>
      <c r="L3574">
        <v>55</v>
      </c>
      <c r="M3574">
        <v>4</v>
      </c>
      <c r="N3574">
        <v>0</v>
      </c>
      <c r="O3574" t="s">
        <v>54</v>
      </c>
      <c r="P3574" t="s">
        <v>55</v>
      </c>
      <c r="Q3574">
        <v>14.3</v>
      </c>
      <c r="R3574">
        <v>2</v>
      </c>
      <c r="S3574" t="s">
        <v>36</v>
      </c>
    </row>
    <row r="3575" spans="1:19" x14ac:dyDescent="0.3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 t="str">
        <f t="shared" si="55"/>
        <v>31-60 days</v>
      </c>
      <c r="L3575">
        <v>55</v>
      </c>
      <c r="M3575">
        <v>2</v>
      </c>
      <c r="N3575">
        <v>0</v>
      </c>
      <c r="O3575" t="s">
        <v>25</v>
      </c>
      <c r="P3575" t="s">
        <v>35</v>
      </c>
      <c r="Q3575">
        <v>7.4</v>
      </c>
      <c r="R3575">
        <v>24</v>
      </c>
      <c r="S3575" t="s">
        <v>27</v>
      </c>
    </row>
    <row r="3576" spans="1:19" x14ac:dyDescent="0.3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 t="str">
        <f t="shared" si="55"/>
        <v>31-60 days</v>
      </c>
      <c r="L3576">
        <v>60</v>
      </c>
      <c r="M3576">
        <v>0</v>
      </c>
      <c r="N3576">
        <v>0</v>
      </c>
      <c r="O3576" t="s">
        <v>25</v>
      </c>
      <c r="P3576" t="s">
        <v>35</v>
      </c>
      <c r="Q3576">
        <v>6.9</v>
      </c>
      <c r="R3576">
        <v>45</v>
      </c>
      <c r="S3576" t="s">
        <v>27</v>
      </c>
    </row>
    <row r="3577" spans="1:19" x14ac:dyDescent="0.3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 t="str">
        <f t="shared" si="55"/>
        <v>8-14 days</v>
      </c>
      <c r="L3577">
        <v>13</v>
      </c>
      <c r="M3577">
        <v>3</v>
      </c>
      <c r="N3577">
        <v>0</v>
      </c>
      <c r="O3577" t="s">
        <v>54</v>
      </c>
      <c r="P3577" t="s">
        <v>55</v>
      </c>
      <c r="Q3577">
        <v>4.3</v>
      </c>
      <c r="R3577">
        <v>33</v>
      </c>
      <c r="S3577" t="s">
        <v>27</v>
      </c>
    </row>
    <row r="3578" spans="1:19" x14ac:dyDescent="0.3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 t="str">
        <f t="shared" si="55"/>
        <v>31-60 days</v>
      </c>
      <c r="L3578">
        <v>35</v>
      </c>
      <c r="M3578">
        <v>1</v>
      </c>
      <c r="N3578">
        <v>1</v>
      </c>
      <c r="O3578" t="s">
        <v>25</v>
      </c>
      <c r="P3578" t="s">
        <v>35</v>
      </c>
      <c r="Q3578">
        <v>15.1</v>
      </c>
      <c r="R3578">
        <v>26</v>
      </c>
      <c r="S3578" t="s">
        <v>27</v>
      </c>
    </row>
    <row r="3579" spans="1:19" x14ac:dyDescent="0.3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 t="str">
        <f t="shared" si="55"/>
        <v>31-60 days</v>
      </c>
      <c r="L3579">
        <v>60</v>
      </c>
      <c r="M3579">
        <v>3</v>
      </c>
      <c r="N3579">
        <v>1</v>
      </c>
      <c r="O3579" t="s">
        <v>25</v>
      </c>
      <c r="P3579" t="s">
        <v>35</v>
      </c>
      <c r="Q3579">
        <v>10.3</v>
      </c>
      <c r="R3579">
        <v>24</v>
      </c>
      <c r="S3579" t="s">
        <v>27</v>
      </c>
    </row>
    <row r="3580" spans="1:19" x14ac:dyDescent="0.3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 t="str">
        <f t="shared" si="55"/>
        <v>31-60 days</v>
      </c>
      <c r="L3580">
        <v>55</v>
      </c>
      <c r="M3580">
        <v>4</v>
      </c>
      <c r="N3580">
        <v>2</v>
      </c>
      <c r="O3580" t="s">
        <v>54</v>
      </c>
      <c r="P3580" t="s">
        <v>55</v>
      </c>
      <c r="Q3580">
        <v>12.3</v>
      </c>
      <c r="R3580">
        <v>21</v>
      </c>
      <c r="S3580" t="s">
        <v>27</v>
      </c>
    </row>
    <row r="3581" spans="1:19" x14ac:dyDescent="0.3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 t="str">
        <f t="shared" si="55"/>
        <v>31-60 days</v>
      </c>
      <c r="L3581">
        <v>36</v>
      </c>
      <c r="M3581">
        <v>2</v>
      </c>
      <c r="N3581">
        <v>1</v>
      </c>
      <c r="O3581" t="s">
        <v>54</v>
      </c>
      <c r="P3581" t="s">
        <v>55</v>
      </c>
      <c r="Q3581">
        <v>7.9</v>
      </c>
      <c r="R3581">
        <v>29</v>
      </c>
      <c r="S3581" t="s">
        <v>36</v>
      </c>
    </row>
    <row r="3582" spans="1:19" x14ac:dyDescent="0.3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 t="str">
        <f t="shared" si="55"/>
        <v>8-14 days</v>
      </c>
      <c r="L3582">
        <v>12</v>
      </c>
      <c r="M3582">
        <v>4</v>
      </c>
      <c r="N3582">
        <v>2</v>
      </c>
      <c r="O3582" t="s">
        <v>54</v>
      </c>
      <c r="P3582" t="s">
        <v>55</v>
      </c>
      <c r="Q3582">
        <v>7.2</v>
      </c>
      <c r="R3582">
        <v>35</v>
      </c>
      <c r="S3582" t="s">
        <v>27</v>
      </c>
    </row>
    <row r="3583" spans="1:19" x14ac:dyDescent="0.3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 t="str">
        <f t="shared" si="55"/>
        <v>0-7 days</v>
      </c>
      <c r="L3583">
        <v>5</v>
      </c>
      <c r="M3583">
        <v>2</v>
      </c>
      <c r="N3583">
        <v>0</v>
      </c>
      <c r="O3583" t="s">
        <v>25</v>
      </c>
      <c r="P3583" t="s">
        <v>50</v>
      </c>
      <c r="Q3583">
        <v>8.9</v>
      </c>
      <c r="R3583">
        <v>18</v>
      </c>
      <c r="S3583" t="s">
        <v>36</v>
      </c>
    </row>
    <row r="3584" spans="1:19" x14ac:dyDescent="0.3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 t="str">
        <f t="shared" si="55"/>
        <v>15-30 days</v>
      </c>
      <c r="L3584">
        <v>15</v>
      </c>
      <c r="M3584">
        <v>4</v>
      </c>
      <c r="N3584">
        <v>1</v>
      </c>
      <c r="O3584" t="s">
        <v>54</v>
      </c>
      <c r="P3584" t="s">
        <v>55</v>
      </c>
      <c r="Q3584">
        <v>8.3000000000000007</v>
      </c>
      <c r="R3584">
        <v>32</v>
      </c>
      <c r="S3584" t="s">
        <v>27</v>
      </c>
    </row>
    <row r="3585" spans="1:19" x14ac:dyDescent="0.3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 t="str">
        <f t="shared" si="55"/>
        <v>0-7 days</v>
      </c>
      <c r="L3585">
        <v>3</v>
      </c>
      <c r="M3585">
        <v>8</v>
      </c>
      <c r="N3585">
        <v>3</v>
      </c>
      <c r="O3585" t="s">
        <v>25</v>
      </c>
      <c r="P3585" t="s">
        <v>35</v>
      </c>
      <c r="Q3585">
        <v>19.5</v>
      </c>
      <c r="R3585">
        <v>15</v>
      </c>
      <c r="S3585" t="s">
        <v>71</v>
      </c>
    </row>
    <row r="3586" spans="1:19" x14ac:dyDescent="0.3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 t="str">
        <f t="shared" si="55"/>
        <v>8-14 days</v>
      </c>
      <c r="L3586">
        <v>11</v>
      </c>
      <c r="M3586">
        <v>4</v>
      </c>
      <c r="N3586">
        <v>1</v>
      </c>
      <c r="O3586" t="s">
        <v>25</v>
      </c>
      <c r="P3586" t="s">
        <v>26</v>
      </c>
      <c r="Q3586">
        <v>3.9</v>
      </c>
      <c r="R3586">
        <v>19</v>
      </c>
      <c r="S3586" t="s">
        <v>27</v>
      </c>
    </row>
    <row r="3587" spans="1:19" x14ac:dyDescent="0.3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 t="str">
        <f t="shared" ref="K3587:K3650" si="56">IF(L3587&lt;=7,"0-7 days",IF(L3587&lt;=14,"8-14 days",IF(L3587&lt;=30,"15-30 days","31-60 days")))</f>
        <v>0-7 days</v>
      </c>
      <c r="L3587">
        <v>4</v>
      </c>
      <c r="M3587">
        <v>3</v>
      </c>
      <c r="N3587">
        <v>3</v>
      </c>
      <c r="O3587" t="s">
        <v>25</v>
      </c>
      <c r="P3587" t="s">
        <v>35</v>
      </c>
      <c r="Q3587">
        <v>15.2</v>
      </c>
      <c r="R3587">
        <v>12</v>
      </c>
      <c r="S3587" t="s">
        <v>36</v>
      </c>
    </row>
    <row r="3588" spans="1:19" x14ac:dyDescent="0.3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 t="str">
        <f t="shared" si="56"/>
        <v>31-60 days</v>
      </c>
      <c r="L3588">
        <v>46</v>
      </c>
      <c r="M3588">
        <v>5</v>
      </c>
      <c r="N3588">
        <v>2</v>
      </c>
      <c r="O3588" t="s">
        <v>25</v>
      </c>
      <c r="P3588" t="s">
        <v>35</v>
      </c>
      <c r="Q3588">
        <v>5.9</v>
      </c>
      <c r="R3588">
        <v>26</v>
      </c>
      <c r="S3588" t="s">
        <v>27</v>
      </c>
    </row>
    <row r="3589" spans="1:19" x14ac:dyDescent="0.3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 t="str">
        <f t="shared" si="56"/>
        <v>31-60 days</v>
      </c>
      <c r="L3589">
        <v>35</v>
      </c>
      <c r="M3589">
        <v>2</v>
      </c>
      <c r="N3589">
        <v>0</v>
      </c>
      <c r="O3589" t="s">
        <v>25</v>
      </c>
      <c r="P3589" t="s">
        <v>35</v>
      </c>
      <c r="Q3589">
        <v>6.9</v>
      </c>
      <c r="R3589">
        <v>25</v>
      </c>
      <c r="S3589" t="s">
        <v>36</v>
      </c>
    </row>
    <row r="3590" spans="1:19" x14ac:dyDescent="0.3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 t="str">
        <f t="shared" si="56"/>
        <v>31-60 days</v>
      </c>
      <c r="L3590">
        <v>31</v>
      </c>
      <c r="M3590">
        <v>4</v>
      </c>
      <c r="N3590">
        <v>1</v>
      </c>
      <c r="O3590" t="s">
        <v>25</v>
      </c>
      <c r="P3590" t="s">
        <v>26</v>
      </c>
      <c r="Q3590">
        <v>11</v>
      </c>
      <c r="R3590">
        <v>28</v>
      </c>
      <c r="S3590" t="s">
        <v>27</v>
      </c>
    </row>
    <row r="3591" spans="1:19" x14ac:dyDescent="0.3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 t="str">
        <f t="shared" si="56"/>
        <v>31-60 days</v>
      </c>
      <c r="L3591">
        <v>49</v>
      </c>
      <c r="M3591">
        <v>3</v>
      </c>
      <c r="N3591">
        <v>0</v>
      </c>
      <c r="O3591" t="s">
        <v>25</v>
      </c>
      <c r="P3591" t="s">
        <v>50</v>
      </c>
      <c r="Q3591">
        <v>14.1</v>
      </c>
      <c r="R3591">
        <v>27</v>
      </c>
      <c r="S3591" t="s">
        <v>27</v>
      </c>
    </row>
    <row r="3592" spans="1:19" x14ac:dyDescent="0.3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 t="str">
        <f t="shared" si="56"/>
        <v>15-30 days</v>
      </c>
      <c r="L3592">
        <v>25</v>
      </c>
      <c r="M3592">
        <v>3</v>
      </c>
      <c r="N3592">
        <v>1</v>
      </c>
      <c r="O3592" t="s">
        <v>54</v>
      </c>
      <c r="P3592" t="s">
        <v>55</v>
      </c>
      <c r="Q3592">
        <v>8</v>
      </c>
      <c r="R3592">
        <v>32</v>
      </c>
      <c r="S3592" t="s">
        <v>36</v>
      </c>
    </row>
    <row r="3593" spans="1:19" x14ac:dyDescent="0.3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 t="str">
        <f t="shared" si="56"/>
        <v>15-30 days</v>
      </c>
      <c r="L3593">
        <v>24</v>
      </c>
      <c r="M3593">
        <v>4</v>
      </c>
      <c r="N3593">
        <v>2</v>
      </c>
      <c r="O3593" t="s">
        <v>54</v>
      </c>
      <c r="P3593" t="s">
        <v>55</v>
      </c>
      <c r="Q3593">
        <v>3.7</v>
      </c>
      <c r="R3593">
        <v>47</v>
      </c>
      <c r="S3593" t="s">
        <v>36</v>
      </c>
    </row>
    <row r="3594" spans="1:19" x14ac:dyDescent="0.3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 t="str">
        <f t="shared" si="56"/>
        <v>8-14 days</v>
      </c>
      <c r="L3594">
        <v>12</v>
      </c>
      <c r="M3594">
        <v>3</v>
      </c>
      <c r="N3594">
        <v>1</v>
      </c>
      <c r="O3594" t="s">
        <v>25</v>
      </c>
      <c r="P3594" t="s">
        <v>50</v>
      </c>
      <c r="Q3594">
        <v>23.9</v>
      </c>
      <c r="R3594">
        <v>32</v>
      </c>
      <c r="S3594" t="s">
        <v>27</v>
      </c>
    </row>
    <row r="3595" spans="1:19" x14ac:dyDescent="0.3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 t="str">
        <f t="shared" si="56"/>
        <v>15-30 days</v>
      </c>
      <c r="L3595">
        <v>27</v>
      </c>
      <c r="M3595">
        <v>2</v>
      </c>
      <c r="N3595">
        <v>0</v>
      </c>
      <c r="O3595" t="s">
        <v>54</v>
      </c>
      <c r="P3595" t="s">
        <v>55</v>
      </c>
      <c r="Q3595">
        <v>2.6</v>
      </c>
      <c r="R3595">
        <v>2</v>
      </c>
      <c r="S3595" t="s">
        <v>36</v>
      </c>
    </row>
    <row r="3596" spans="1:19" x14ac:dyDescent="0.3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 t="str">
        <f t="shared" si="56"/>
        <v>8-14 days</v>
      </c>
      <c r="L3596">
        <v>10</v>
      </c>
      <c r="M3596">
        <v>2</v>
      </c>
      <c r="N3596">
        <v>0</v>
      </c>
      <c r="O3596" t="s">
        <v>54</v>
      </c>
      <c r="P3596" t="s">
        <v>55</v>
      </c>
      <c r="Q3596">
        <v>3.8</v>
      </c>
      <c r="R3596">
        <v>21</v>
      </c>
      <c r="S3596" t="s">
        <v>36</v>
      </c>
    </row>
    <row r="3597" spans="1:19" x14ac:dyDescent="0.3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 t="str">
        <f t="shared" si="56"/>
        <v>31-60 days</v>
      </c>
      <c r="L3597">
        <v>35</v>
      </c>
      <c r="M3597">
        <v>2</v>
      </c>
      <c r="N3597">
        <v>0</v>
      </c>
      <c r="O3597" t="s">
        <v>54</v>
      </c>
      <c r="P3597" t="s">
        <v>55</v>
      </c>
      <c r="Q3597">
        <v>21</v>
      </c>
      <c r="R3597">
        <v>24</v>
      </c>
      <c r="S3597" t="s">
        <v>27</v>
      </c>
    </row>
    <row r="3598" spans="1:19" x14ac:dyDescent="0.3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 t="str">
        <f t="shared" si="56"/>
        <v>31-60 days</v>
      </c>
      <c r="L3598">
        <v>60</v>
      </c>
      <c r="M3598">
        <v>1</v>
      </c>
      <c r="N3598">
        <v>0</v>
      </c>
      <c r="O3598" t="s">
        <v>54</v>
      </c>
      <c r="P3598" t="s">
        <v>55</v>
      </c>
      <c r="Q3598">
        <v>17.7</v>
      </c>
      <c r="R3598">
        <v>7</v>
      </c>
      <c r="S3598" t="s">
        <v>27</v>
      </c>
    </row>
    <row r="3599" spans="1:19" x14ac:dyDescent="0.3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 t="str">
        <f t="shared" si="56"/>
        <v>31-60 days</v>
      </c>
      <c r="L3599">
        <v>32</v>
      </c>
      <c r="M3599">
        <v>5</v>
      </c>
      <c r="N3599">
        <v>3</v>
      </c>
      <c r="O3599" t="s">
        <v>25</v>
      </c>
      <c r="P3599" t="s">
        <v>35</v>
      </c>
      <c r="Q3599">
        <v>22.1</v>
      </c>
      <c r="R3599">
        <v>33</v>
      </c>
      <c r="S3599" t="s">
        <v>36</v>
      </c>
    </row>
    <row r="3600" spans="1:19" x14ac:dyDescent="0.3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 t="str">
        <f t="shared" si="56"/>
        <v>15-30 days</v>
      </c>
      <c r="L3600">
        <v>18</v>
      </c>
      <c r="M3600">
        <v>4</v>
      </c>
      <c r="N3600">
        <v>0</v>
      </c>
      <c r="O3600" t="s">
        <v>54</v>
      </c>
      <c r="P3600" t="s">
        <v>55</v>
      </c>
      <c r="Q3600">
        <v>5.9</v>
      </c>
      <c r="R3600">
        <v>44</v>
      </c>
      <c r="S3600" t="s">
        <v>36</v>
      </c>
    </row>
    <row r="3601" spans="1:19" x14ac:dyDescent="0.3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 t="str">
        <f t="shared" si="56"/>
        <v>31-60 days</v>
      </c>
      <c r="L3601">
        <v>41</v>
      </c>
      <c r="M3601">
        <v>2</v>
      </c>
      <c r="N3601">
        <v>1</v>
      </c>
      <c r="O3601" t="s">
        <v>25</v>
      </c>
      <c r="P3601" t="s">
        <v>26</v>
      </c>
      <c r="Q3601">
        <v>4.7</v>
      </c>
      <c r="R3601">
        <v>14</v>
      </c>
      <c r="S3601" t="s">
        <v>27</v>
      </c>
    </row>
    <row r="3602" spans="1:19" x14ac:dyDescent="0.3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 t="str">
        <f t="shared" si="56"/>
        <v>31-60 days</v>
      </c>
      <c r="L3602">
        <v>50</v>
      </c>
      <c r="M3602">
        <v>3</v>
      </c>
      <c r="N3602">
        <v>1</v>
      </c>
      <c r="O3602" t="s">
        <v>54</v>
      </c>
      <c r="P3602" t="s">
        <v>55</v>
      </c>
      <c r="Q3602">
        <v>16.2</v>
      </c>
      <c r="R3602">
        <v>38</v>
      </c>
      <c r="S3602" t="s">
        <v>27</v>
      </c>
    </row>
    <row r="3603" spans="1:19" x14ac:dyDescent="0.3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 t="str">
        <f t="shared" si="56"/>
        <v>15-30 days</v>
      </c>
      <c r="L3603">
        <v>28</v>
      </c>
      <c r="M3603">
        <v>1</v>
      </c>
      <c r="N3603">
        <v>1</v>
      </c>
      <c r="O3603" t="s">
        <v>25</v>
      </c>
      <c r="P3603" t="s">
        <v>35</v>
      </c>
      <c r="Q3603">
        <v>3.6</v>
      </c>
      <c r="R3603">
        <v>36</v>
      </c>
      <c r="S3603" t="s">
        <v>36</v>
      </c>
    </row>
    <row r="3604" spans="1:19" x14ac:dyDescent="0.3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 t="str">
        <f t="shared" si="56"/>
        <v>15-30 days</v>
      </c>
      <c r="L3604">
        <v>15</v>
      </c>
      <c r="M3604">
        <v>3</v>
      </c>
      <c r="N3604">
        <v>0</v>
      </c>
      <c r="O3604" t="s">
        <v>25</v>
      </c>
      <c r="P3604" t="s">
        <v>35</v>
      </c>
      <c r="Q3604">
        <v>4.8</v>
      </c>
      <c r="S3604" t="s">
        <v>27</v>
      </c>
    </row>
    <row r="3605" spans="1:19" x14ac:dyDescent="0.3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 t="str">
        <f t="shared" si="56"/>
        <v>31-60 days</v>
      </c>
      <c r="L3605">
        <v>43</v>
      </c>
      <c r="M3605">
        <v>3</v>
      </c>
      <c r="N3605">
        <v>0</v>
      </c>
      <c r="O3605" t="s">
        <v>25</v>
      </c>
      <c r="P3605" t="s">
        <v>35</v>
      </c>
      <c r="Q3605">
        <v>2.7</v>
      </c>
      <c r="R3605">
        <v>33</v>
      </c>
      <c r="S3605" t="s">
        <v>27</v>
      </c>
    </row>
    <row r="3606" spans="1:19" x14ac:dyDescent="0.3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 t="str">
        <f t="shared" si="56"/>
        <v>8-14 days</v>
      </c>
      <c r="L3606">
        <v>11</v>
      </c>
      <c r="M3606">
        <v>2</v>
      </c>
      <c r="N3606">
        <v>0</v>
      </c>
      <c r="O3606" t="s">
        <v>25</v>
      </c>
      <c r="P3606" t="s">
        <v>26</v>
      </c>
      <c r="Q3606">
        <v>5.6</v>
      </c>
      <c r="R3606">
        <v>16</v>
      </c>
      <c r="S3606" t="s">
        <v>27</v>
      </c>
    </row>
    <row r="3607" spans="1:19" x14ac:dyDescent="0.3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 t="str">
        <f t="shared" si="56"/>
        <v>31-60 days</v>
      </c>
      <c r="L3607">
        <v>60</v>
      </c>
      <c r="M3607">
        <v>1</v>
      </c>
      <c r="N3607">
        <v>0</v>
      </c>
      <c r="O3607" t="s">
        <v>25</v>
      </c>
      <c r="P3607" t="s">
        <v>35</v>
      </c>
      <c r="Q3607">
        <v>4.3</v>
      </c>
      <c r="R3607">
        <v>37</v>
      </c>
      <c r="S3607" t="s">
        <v>27</v>
      </c>
    </row>
    <row r="3608" spans="1:19" x14ac:dyDescent="0.3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 t="str">
        <f t="shared" si="56"/>
        <v>15-30 days</v>
      </c>
      <c r="L3608">
        <v>19</v>
      </c>
      <c r="M3608">
        <v>2</v>
      </c>
      <c r="N3608">
        <v>0</v>
      </c>
      <c r="O3608" t="s">
        <v>25</v>
      </c>
      <c r="P3608" t="s">
        <v>35</v>
      </c>
      <c r="Q3608">
        <v>3.2</v>
      </c>
      <c r="R3608">
        <v>38</v>
      </c>
      <c r="S3608" t="s">
        <v>36</v>
      </c>
    </row>
    <row r="3609" spans="1:19" x14ac:dyDescent="0.3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 t="str">
        <f t="shared" si="56"/>
        <v>15-30 days</v>
      </c>
      <c r="L3609">
        <v>21</v>
      </c>
      <c r="M3609">
        <v>5</v>
      </c>
      <c r="N3609">
        <v>1</v>
      </c>
      <c r="O3609" t="s">
        <v>25</v>
      </c>
      <c r="P3609" t="s">
        <v>50</v>
      </c>
      <c r="Q3609">
        <v>9.4</v>
      </c>
      <c r="R3609">
        <v>29</v>
      </c>
      <c r="S3609" t="s">
        <v>27</v>
      </c>
    </row>
    <row r="3610" spans="1:19" x14ac:dyDescent="0.3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 t="str">
        <f t="shared" si="56"/>
        <v>31-60 days</v>
      </c>
      <c r="L3610">
        <v>44</v>
      </c>
      <c r="M3610">
        <v>2</v>
      </c>
      <c r="N3610">
        <v>1</v>
      </c>
      <c r="O3610" t="s">
        <v>25</v>
      </c>
      <c r="P3610" t="s">
        <v>35</v>
      </c>
      <c r="Q3610">
        <v>6.7</v>
      </c>
      <c r="R3610">
        <v>27</v>
      </c>
      <c r="S3610" t="s">
        <v>27</v>
      </c>
    </row>
    <row r="3611" spans="1:19" x14ac:dyDescent="0.3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 t="str">
        <f t="shared" si="56"/>
        <v>0-7 days</v>
      </c>
      <c r="L3611">
        <v>0</v>
      </c>
      <c r="M3611">
        <v>3</v>
      </c>
      <c r="N3611">
        <v>0</v>
      </c>
      <c r="O3611" t="s">
        <v>54</v>
      </c>
      <c r="P3611" t="s">
        <v>55</v>
      </c>
      <c r="Q3611">
        <v>12</v>
      </c>
      <c r="R3611">
        <v>15</v>
      </c>
      <c r="S3611" t="s">
        <v>36</v>
      </c>
    </row>
    <row r="3612" spans="1:19" x14ac:dyDescent="0.3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 t="str">
        <f t="shared" si="56"/>
        <v>8-14 days</v>
      </c>
      <c r="L3612">
        <v>12</v>
      </c>
      <c r="M3612">
        <v>5</v>
      </c>
      <c r="N3612">
        <v>1</v>
      </c>
      <c r="O3612" t="s">
        <v>54</v>
      </c>
      <c r="P3612" t="s">
        <v>55</v>
      </c>
      <c r="Q3612">
        <v>3.8</v>
      </c>
      <c r="R3612">
        <v>34</v>
      </c>
      <c r="S3612" t="s">
        <v>36</v>
      </c>
    </row>
    <row r="3613" spans="1:19" x14ac:dyDescent="0.3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 t="str">
        <f t="shared" si="56"/>
        <v>0-7 days</v>
      </c>
      <c r="L3613">
        <v>7</v>
      </c>
      <c r="M3613">
        <v>1</v>
      </c>
      <c r="N3613">
        <v>0</v>
      </c>
      <c r="O3613" t="s">
        <v>25</v>
      </c>
      <c r="P3613" t="s">
        <v>50</v>
      </c>
      <c r="Q3613">
        <v>5.5</v>
      </c>
      <c r="R3613">
        <v>24</v>
      </c>
      <c r="S3613" t="s">
        <v>36</v>
      </c>
    </row>
    <row r="3614" spans="1:19" x14ac:dyDescent="0.3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 t="str">
        <f t="shared" si="56"/>
        <v>15-30 days</v>
      </c>
      <c r="L3614">
        <v>23</v>
      </c>
      <c r="M3614">
        <v>2</v>
      </c>
      <c r="N3614">
        <v>0</v>
      </c>
      <c r="O3614" t="s">
        <v>54</v>
      </c>
      <c r="P3614" t="s">
        <v>55</v>
      </c>
      <c r="Q3614">
        <v>2.2999999999999998</v>
      </c>
      <c r="R3614">
        <v>22</v>
      </c>
      <c r="S3614" t="s">
        <v>36</v>
      </c>
    </row>
    <row r="3615" spans="1:19" x14ac:dyDescent="0.3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 t="str">
        <f t="shared" si="56"/>
        <v>31-60 days</v>
      </c>
      <c r="L3615">
        <v>33</v>
      </c>
      <c r="M3615">
        <v>1</v>
      </c>
      <c r="N3615">
        <v>0</v>
      </c>
      <c r="O3615" t="s">
        <v>25</v>
      </c>
      <c r="P3615" t="s">
        <v>35</v>
      </c>
      <c r="Q3615">
        <v>6.5</v>
      </c>
      <c r="R3615">
        <v>34</v>
      </c>
      <c r="S3615" t="s">
        <v>36</v>
      </c>
    </row>
    <row r="3616" spans="1:19" x14ac:dyDescent="0.3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 t="str">
        <f t="shared" si="56"/>
        <v>8-14 days</v>
      </c>
      <c r="L3616">
        <v>10</v>
      </c>
      <c r="M3616">
        <v>5</v>
      </c>
      <c r="N3616">
        <v>0</v>
      </c>
      <c r="O3616" t="s">
        <v>54</v>
      </c>
      <c r="P3616" t="s">
        <v>55</v>
      </c>
      <c r="Q3616">
        <v>16.100000000000001</v>
      </c>
      <c r="R3616">
        <v>21</v>
      </c>
      <c r="S3616" t="s">
        <v>36</v>
      </c>
    </row>
    <row r="3617" spans="1:19" x14ac:dyDescent="0.3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 t="str">
        <f t="shared" si="56"/>
        <v>15-30 days</v>
      </c>
      <c r="L3617">
        <v>20</v>
      </c>
      <c r="M3617">
        <v>4</v>
      </c>
      <c r="N3617">
        <v>1</v>
      </c>
      <c r="O3617" t="s">
        <v>54</v>
      </c>
      <c r="P3617" t="s">
        <v>55</v>
      </c>
      <c r="Q3617">
        <v>14.2</v>
      </c>
      <c r="R3617">
        <v>16</v>
      </c>
      <c r="S3617" t="s">
        <v>27</v>
      </c>
    </row>
    <row r="3618" spans="1:19" x14ac:dyDescent="0.3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 t="str">
        <f t="shared" si="56"/>
        <v>31-60 days</v>
      </c>
      <c r="L3618">
        <v>47</v>
      </c>
      <c r="M3618">
        <v>5</v>
      </c>
      <c r="N3618">
        <v>1</v>
      </c>
      <c r="O3618" t="s">
        <v>54</v>
      </c>
      <c r="P3618" t="s">
        <v>55</v>
      </c>
      <c r="Q3618">
        <v>8.1999999999999993</v>
      </c>
      <c r="R3618">
        <v>36</v>
      </c>
      <c r="S3618" t="s">
        <v>27</v>
      </c>
    </row>
    <row r="3619" spans="1:19" x14ac:dyDescent="0.3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 t="str">
        <f t="shared" si="56"/>
        <v>31-60 days</v>
      </c>
      <c r="L3619">
        <v>57</v>
      </c>
      <c r="M3619">
        <v>8</v>
      </c>
      <c r="N3619">
        <v>1</v>
      </c>
      <c r="O3619" t="s">
        <v>25</v>
      </c>
      <c r="P3619" t="s">
        <v>35</v>
      </c>
      <c r="Q3619">
        <v>28.7</v>
      </c>
      <c r="R3619">
        <v>7</v>
      </c>
      <c r="S3619" t="s">
        <v>71</v>
      </c>
    </row>
    <row r="3620" spans="1:19" x14ac:dyDescent="0.3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 t="str">
        <f t="shared" si="56"/>
        <v>0-7 days</v>
      </c>
      <c r="L3620">
        <v>0</v>
      </c>
      <c r="M3620">
        <v>4</v>
      </c>
      <c r="N3620">
        <v>0</v>
      </c>
      <c r="O3620" t="s">
        <v>54</v>
      </c>
      <c r="P3620" t="s">
        <v>55</v>
      </c>
      <c r="Q3620">
        <v>2.5</v>
      </c>
      <c r="R3620">
        <v>32</v>
      </c>
      <c r="S3620" t="s">
        <v>36</v>
      </c>
    </row>
    <row r="3621" spans="1:19" x14ac:dyDescent="0.3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 t="str">
        <f t="shared" si="56"/>
        <v>31-60 days</v>
      </c>
      <c r="L3621">
        <v>38</v>
      </c>
      <c r="M3621">
        <v>1</v>
      </c>
      <c r="N3621">
        <v>0</v>
      </c>
      <c r="O3621" t="s">
        <v>54</v>
      </c>
      <c r="P3621" t="s">
        <v>55</v>
      </c>
      <c r="R3621">
        <v>10</v>
      </c>
      <c r="S3621" t="s">
        <v>27</v>
      </c>
    </row>
    <row r="3622" spans="1:19" x14ac:dyDescent="0.3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 t="str">
        <f t="shared" si="56"/>
        <v>0-7 days</v>
      </c>
      <c r="L3622">
        <v>1</v>
      </c>
      <c r="M3622">
        <v>3</v>
      </c>
      <c r="N3622">
        <v>0</v>
      </c>
      <c r="O3622" t="s">
        <v>25</v>
      </c>
      <c r="P3622" t="s">
        <v>35</v>
      </c>
      <c r="Q3622">
        <v>4</v>
      </c>
      <c r="R3622">
        <v>4</v>
      </c>
      <c r="S3622" t="s">
        <v>36</v>
      </c>
    </row>
    <row r="3623" spans="1:19" x14ac:dyDescent="0.3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 t="str">
        <f t="shared" si="56"/>
        <v>31-60 days</v>
      </c>
      <c r="L3623">
        <v>31</v>
      </c>
      <c r="M3623">
        <v>1</v>
      </c>
      <c r="N3623">
        <v>0</v>
      </c>
      <c r="O3623" t="s">
        <v>25</v>
      </c>
      <c r="P3623" t="s">
        <v>26</v>
      </c>
      <c r="Q3623">
        <v>8.6</v>
      </c>
      <c r="R3623">
        <v>31</v>
      </c>
      <c r="S3623" t="s">
        <v>36</v>
      </c>
    </row>
    <row r="3624" spans="1:19" x14ac:dyDescent="0.3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 t="str">
        <f t="shared" si="56"/>
        <v>31-60 days</v>
      </c>
      <c r="L3624">
        <v>53</v>
      </c>
      <c r="M3624">
        <v>3</v>
      </c>
      <c r="N3624">
        <v>1</v>
      </c>
      <c r="O3624" t="s">
        <v>54</v>
      </c>
      <c r="P3624" t="s">
        <v>55</v>
      </c>
      <c r="Q3624">
        <v>13</v>
      </c>
      <c r="R3624">
        <v>28</v>
      </c>
      <c r="S3624" t="s">
        <v>27</v>
      </c>
    </row>
    <row r="3625" spans="1:19" x14ac:dyDescent="0.3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 t="str">
        <f t="shared" si="56"/>
        <v>31-60 days</v>
      </c>
      <c r="L3625">
        <v>48</v>
      </c>
      <c r="M3625">
        <v>3</v>
      </c>
      <c r="N3625">
        <v>1</v>
      </c>
      <c r="O3625" t="s">
        <v>54</v>
      </c>
      <c r="P3625" t="s">
        <v>55</v>
      </c>
      <c r="Q3625">
        <v>5.0999999999999996</v>
      </c>
      <c r="R3625">
        <v>17</v>
      </c>
      <c r="S3625" t="s">
        <v>27</v>
      </c>
    </row>
    <row r="3626" spans="1:19" x14ac:dyDescent="0.3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 t="str">
        <f t="shared" si="56"/>
        <v>8-14 days</v>
      </c>
      <c r="L3626">
        <v>14</v>
      </c>
      <c r="M3626">
        <v>2</v>
      </c>
      <c r="N3626">
        <v>0</v>
      </c>
      <c r="O3626" t="s">
        <v>25</v>
      </c>
      <c r="P3626" t="s">
        <v>50</v>
      </c>
      <c r="Q3626">
        <v>5.8</v>
      </c>
      <c r="R3626">
        <v>11</v>
      </c>
      <c r="S3626" t="s">
        <v>27</v>
      </c>
    </row>
    <row r="3627" spans="1:19" x14ac:dyDescent="0.3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 t="str">
        <f t="shared" si="56"/>
        <v>15-30 days</v>
      </c>
      <c r="L3627">
        <v>15</v>
      </c>
      <c r="M3627">
        <v>5</v>
      </c>
      <c r="N3627">
        <v>0</v>
      </c>
      <c r="O3627" t="s">
        <v>25</v>
      </c>
      <c r="P3627" t="s">
        <v>35</v>
      </c>
      <c r="Q3627">
        <v>17.5</v>
      </c>
      <c r="R3627">
        <v>28</v>
      </c>
      <c r="S3627" t="s">
        <v>36</v>
      </c>
    </row>
    <row r="3628" spans="1:19" x14ac:dyDescent="0.3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 t="str">
        <f t="shared" si="56"/>
        <v>31-60 days</v>
      </c>
      <c r="L3628">
        <v>47</v>
      </c>
      <c r="M3628">
        <v>4</v>
      </c>
      <c r="N3628">
        <v>0</v>
      </c>
      <c r="O3628" t="s">
        <v>25</v>
      </c>
      <c r="P3628" t="s">
        <v>35</v>
      </c>
      <c r="Q3628">
        <v>9.3000000000000007</v>
      </c>
      <c r="R3628">
        <v>19</v>
      </c>
      <c r="S3628" t="s">
        <v>27</v>
      </c>
    </row>
    <row r="3629" spans="1:19" x14ac:dyDescent="0.3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 t="str">
        <f t="shared" si="56"/>
        <v>31-60 days</v>
      </c>
      <c r="L3629">
        <v>50</v>
      </c>
      <c r="M3629">
        <v>5</v>
      </c>
      <c r="N3629">
        <v>1</v>
      </c>
      <c r="O3629" t="s">
        <v>25</v>
      </c>
      <c r="P3629" t="s">
        <v>50</v>
      </c>
      <c r="Q3629">
        <v>2.7</v>
      </c>
      <c r="R3629">
        <v>33</v>
      </c>
      <c r="S3629" t="s">
        <v>27</v>
      </c>
    </row>
    <row r="3630" spans="1:19" x14ac:dyDescent="0.3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 t="str">
        <f t="shared" si="56"/>
        <v>15-30 days</v>
      </c>
      <c r="L3630">
        <v>17</v>
      </c>
      <c r="M3630">
        <v>0</v>
      </c>
      <c r="N3630">
        <v>0</v>
      </c>
      <c r="O3630" t="s">
        <v>54</v>
      </c>
      <c r="P3630" t="s">
        <v>55</v>
      </c>
      <c r="Q3630">
        <v>6.8</v>
      </c>
      <c r="R3630">
        <v>18</v>
      </c>
      <c r="S3630" t="s">
        <v>36</v>
      </c>
    </row>
    <row r="3631" spans="1:19" x14ac:dyDescent="0.3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 t="str">
        <f t="shared" si="56"/>
        <v>0-7 days</v>
      </c>
      <c r="L3631">
        <v>0</v>
      </c>
      <c r="M3631">
        <v>2</v>
      </c>
      <c r="N3631">
        <v>1</v>
      </c>
      <c r="O3631" t="s">
        <v>25</v>
      </c>
      <c r="P3631" t="s">
        <v>35</v>
      </c>
      <c r="Q3631">
        <v>5.3</v>
      </c>
      <c r="R3631">
        <v>19</v>
      </c>
      <c r="S3631" t="s">
        <v>71</v>
      </c>
    </row>
    <row r="3632" spans="1:19" x14ac:dyDescent="0.3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 t="str">
        <f t="shared" si="56"/>
        <v>15-30 days</v>
      </c>
      <c r="L3632">
        <v>27</v>
      </c>
      <c r="M3632">
        <v>2</v>
      </c>
      <c r="N3632">
        <v>1</v>
      </c>
      <c r="O3632" t="s">
        <v>25</v>
      </c>
      <c r="P3632" t="s">
        <v>35</v>
      </c>
      <c r="Q3632">
        <v>2.2000000000000002</v>
      </c>
      <c r="R3632">
        <v>36</v>
      </c>
      <c r="S3632" t="s">
        <v>36</v>
      </c>
    </row>
    <row r="3633" spans="1:19" x14ac:dyDescent="0.3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 t="str">
        <f t="shared" si="56"/>
        <v>31-60 days</v>
      </c>
      <c r="L3633">
        <v>37</v>
      </c>
      <c r="M3633">
        <v>7</v>
      </c>
      <c r="N3633">
        <v>2</v>
      </c>
      <c r="O3633" t="s">
        <v>25</v>
      </c>
      <c r="P3633" t="s">
        <v>35</v>
      </c>
      <c r="Q3633">
        <v>2.8</v>
      </c>
      <c r="R3633">
        <v>13</v>
      </c>
      <c r="S3633" t="s">
        <v>36</v>
      </c>
    </row>
    <row r="3634" spans="1:19" x14ac:dyDescent="0.3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 t="str">
        <f t="shared" si="56"/>
        <v>15-30 days</v>
      </c>
      <c r="L3634">
        <v>27</v>
      </c>
      <c r="M3634">
        <v>3</v>
      </c>
      <c r="N3634">
        <v>1</v>
      </c>
      <c r="O3634" t="s">
        <v>25</v>
      </c>
      <c r="P3634" t="s">
        <v>50</v>
      </c>
      <c r="Q3634">
        <v>10.8</v>
      </c>
      <c r="R3634">
        <v>8</v>
      </c>
      <c r="S3634" t="s">
        <v>27</v>
      </c>
    </row>
    <row r="3635" spans="1:19" x14ac:dyDescent="0.3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 t="str">
        <f t="shared" si="56"/>
        <v>31-60 days</v>
      </c>
      <c r="L3635">
        <v>57</v>
      </c>
      <c r="M3635">
        <v>2</v>
      </c>
      <c r="N3635">
        <v>1</v>
      </c>
      <c r="O3635" t="s">
        <v>54</v>
      </c>
      <c r="P3635" t="s">
        <v>55</v>
      </c>
      <c r="R3635">
        <v>14</v>
      </c>
      <c r="S3635" t="s">
        <v>36</v>
      </c>
    </row>
    <row r="3636" spans="1:19" x14ac:dyDescent="0.3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 t="str">
        <f t="shared" si="56"/>
        <v>31-60 days</v>
      </c>
      <c r="L3636">
        <v>49</v>
      </c>
      <c r="M3636">
        <v>4</v>
      </c>
      <c r="N3636">
        <v>2</v>
      </c>
      <c r="O3636" t="s">
        <v>25</v>
      </c>
      <c r="P3636" t="s">
        <v>35</v>
      </c>
      <c r="Q3636">
        <v>30.2</v>
      </c>
      <c r="R3636">
        <v>27</v>
      </c>
      <c r="S3636" t="s">
        <v>71</v>
      </c>
    </row>
    <row r="3637" spans="1:19" x14ac:dyDescent="0.3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 t="str">
        <f t="shared" si="56"/>
        <v>31-60 days</v>
      </c>
      <c r="L3637">
        <v>48</v>
      </c>
      <c r="M3637">
        <v>1</v>
      </c>
      <c r="N3637">
        <v>0</v>
      </c>
      <c r="O3637" t="s">
        <v>25</v>
      </c>
      <c r="P3637" t="s">
        <v>50</v>
      </c>
      <c r="Q3637">
        <v>11.3</v>
      </c>
      <c r="R3637">
        <v>45</v>
      </c>
      <c r="S3637" t="s">
        <v>36</v>
      </c>
    </row>
    <row r="3638" spans="1:19" x14ac:dyDescent="0.3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 t="str">
        <f t="shared" si="56"/>
        <v>0-7 days</v>
      </c>
      <c r="L3638">
        <v>1</v>
      </c>
      <c r="M3638">
        <v>4</v>
      </c>
      <c r="N3638">
        <v>0</v>
      </c>
      <c r="O3638" t="s">
        <v>25</v>
      </c>
      <c r="P3638" t="s">
        <v>35</v>
      </c>
      <c r="Q3638">
        <v>16.3</v>
      </c>
      <c r="R3638">
        <v>26</v>
      </c>
      <c r="S3638" t="s">
        <v>36</v>
      </c>
    </row>
    <row r="3639" spans="1:19" x14ac:dyDescent="0.3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 t="str">
        <f t="shared" si="56"/>
        <v>31-60 days</v>
      </c>
      <c r="L3639">
        <v>52</v>
      </c>
      <c r="M3639">
        <v>3</v>
      </c>
      <c r="N3639">
        <v>1</v>
      </c>
      <c r="O3639" t="s">
        <v>25</v>
      </c>
      <c r="P3639" t="s">
        <v>35</v>
      </c>
      <c r="Q3639">
        <v>1.8</v>
      </c>
      <c r="R3639">
        <v>14</v>
      </c>
      <c r="S3639" t="s">
        <v>27</v>
      </c>
    </row>
    <row r="3640" spans="1:19" x14ac:dyDescent="0.3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 t="str">
        <f t="shared" si="56"/>
        <v>31-60 days</v>
      </c>
      <c r="L3640">
        <v>46</v>
      </c>
      <c r="M3640">
        <v>3</v>
      </c>
      <c r="N3640">
        <v>0</v>
      </c>
      <c r="O3640" t="s">
        <v>25</v>
      </c>
      <c r="P3640" t="s">
        <v>26</v>
      </c>
      <c r="Q3640">
        <v>11.3</v>
      </c>
      <c r="R3640">
        <v>15</v>
      </c>
      <c r="S3640" t="s">
        <v>36</v>
      </c>
    </row>
    <row r="3641" spans="1:19" x14ac:dyDescent="0.3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 t="str">
        <f t="shared" si="56"/>
        <v>15-30 days</v>
      </c>
      <c r="L3641">
        <v>24</v>
      </c>
      <c r="M3641">
        <v>1</v>
      </c>
      <c r="N3641">
        <v>0</v>
      </c>
      <c r="O3641" t="s">
        <v>25</v>
      </c>
      <c r="P3641" t="s">
        <v>26</v>
      </c>
      <c r="Q3641">
        <v>9.6</v>
      </c>
      <c r="R3641">
        <v>29</v>
      </c>
      <c r="S3641" t="s">
        <v>36</v>
      </c>
    </row>
    <row r="3642" spans="1:19" x14ac:dyDescent="0.3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 t="str">
        <f t="shared" si="56"/>
        <v>31-60 days</v>
      </c>
      <c r="L3642">
        <v>35</v>
      </c>
      <c r="M3642">
        <v>2</v>
      </c>
      <c r="N3642">
        <v>1</v>
      </c>
      <c r="O3642" t="s">
        <v>25</v>
      </c>
      <c r="P3642" t="s">
        <v>35</v>
      </c>
      <c r="R3642">
        <v>5</v>
      </c>
      <c r="S3642" t="s">
        <v>27</v>
      </c>
    </row>
    <row r="3643" spans="1:19" x14ac:dyDescent="0.3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 t="str">
        <f t="shared" si="56"/>
        <v>31-60 days</v>
      </c>
      <c r="L3643">
        <v>50</v>
      </c>
      <c r="M3643">
        <v>6</v>
      </c>
      <c r="N3643">
        <v>1</v>
      </c>
      <c r="O3643" t="s">
        <v>25</v>
      </c>
      <c r="P3643" t="s">
        <v>50</v>
      </c>
      <c r="Q3643">
        <v>0.9</v>
      </c>
      <c r="R3643">
        <v>3</v>
      </c>
      <c r="S3643" t="s">
        <v>27</v>
      </c>
    </row>
    <row r="3644" spans="1:19" x14ac:dyDescent="0.3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 t="str">
        <f t="shared" si="56"/>
        <v>31-60 days</v>
      </c>
      <c r="L3644">
        <v>55</v>
      </c>
      <c r="M3644">
        <v>4</v>
      </c>
      <c r="N3644">
        <v>1</v>
      </c>
      <c r="O3644" t="s">
        <v>25</v>
      </c>
      <c r="P3644" t="s">
        <v>35</v>
      </c>
      <c r="Q3644">
        <v>25.1</v>
      </c>
      <c r="R3644">
        <v>26</v>
      </c>
      <c r="S3644" t="s">
        <v>36</v>
      </c>
    </row>
    <row r="3645" spans="1:19" x14ac:dyDescent="0.3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 t="str">
        <f t="shared" si="56"/>
        <v>31-60 days</v>
      </c>
      <c r="L3645">
        <v>33</v>
      </c>
      <c r="M3645">
        <v>4</v>
      </c>
      <c r="N3645">
        <v>0</v>
      </c>
      <c r="O3645" t="s">
        <v>54</v>
      </c>
      <c r="P3645" t="s">
        <v>55</v>
      </c>
      <c r="Q3645">
        <v>8.1999999999999993</v>
      </c>
      <c r="R3645">
        <v>34</v>
      </c>
      <c r="S3645" t="s">
        <v>27</v>
      </c>
    </row>
    <row r="3646" spans="1:19" x14ac:dyDescent="0.3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 t="str">
        <f t="shared" si="56"/>
        <v>0-7 days</v>
      </c>
      <c r="L3646">
        <v>2</v>
      </c>
      <c r="M3646">
        <v>3</v>
      </c>
      <c r="N3646">
        <v>0</v>
      </c>
      <c r="O3646" t="s">
        <v>25</v>
      </c>
      <c r="P3646" t="s">
        <v>50</v>
      </c>
      <c r="Q3646">
        <v>8.1999999999999993</v>
      </c>
      <c r="R3646">
        <v>34</v>
      </c>
      <c r="S3646" t="s">
        <v>36</v>
      </c>
    </row>
    <row r="3647" spans="1:19" x14ac:dyDescent="0.3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 t="str">
        <f t="shared" si="56"/>
        <v>31-60 days</v>
      </c>
      <c r="L3647">
        <v>37</v>
      </c>
      <c r="M3647">
        <v>3</v>
      </c>
      <c r="N3647">
        <v>1</v>
      </c>
      <c r="O3647" t="s">
        <v>25</v>
      </c>
      <c r="P3647" t="s">
        <v>26</v>
      </c>
      <c r="Q3647">
        <v>9.1999999999999993</v>
      </c>
      <c r="R3647">
        <v>28</v>
      </c>
      <c r="S3647" t="s">
        <v>36</v>
      </c>
    </row>
    <row r="3648" spans="1:19" x14ac:dyDescent="0.3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 t="str">
        <f t="shared" si="56"/>
        <v>31-60 days</v>
      </c>
      <c r="L3648">
        <v>41</v>
      </c>
      <c r="M3648">
        <v>0</v>
      </c>
      <c r="N3648">
        <v>0</v>
      </c>
      <c r="O3648" t="s">
        <v>25</v>
      </c>
      <c r="P3648" t="s">
        <v>35</v>
      </c>
      <c r="Q3648">
        <v>4.8</v>
      </c>
      <c r="R3648">
        <v>37</v>
      </c>
      <c r="S3648" t="s">
        <v>36</v>
      </c>
    </row>
    <row r="3649" spans="1:19" x14ac:dyDescent="0.3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 t="str">
        <f t="shared" si="56"/>
        <v>0-7 days</v>
      </c>
      <c r="L3649">
        <v>3</v>
      </c>
      <c r="M3649">
        <v>4</v>
      </c>
      <c r="N3649">
        <v>0</v>
      </c>
      <c r="O3649" t="s">
        <v>25</v>
      </c>
      <c r="P3649" t="s">
        <v>26</v>
      </c>
      <c r="Q3649">
        <v>22.6</v>
      </c>
      <c r="R3649">
        <v>22</v>
      </c>
      <c r="S3649" t="s">
        <v>36</v>
      </c>
    </row>
    <row r="3650" spans="1:19" x14ac:dyDescent="0.3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 t="str">
        <f t="shared" si="56"/>
        <v>31-60 days</v>
      </c>
      <c r="L3650">
        <v>49</v>
      </c>
      <c r="M3650">
        <v>1</v>
      </c>
      <c r="N3650">
        <v>0</v>
      </c>
      <c r="O3650" t="s">
        <v>25</v>
      </c>
      <c r="P3650" t="s">
        <v>26</v>
      </c>
      <c r="Q3650">
        <v>1.4</v>
      </c>
      <c r="R3650">
        <v>20</v>
      </c>
      <c r="S3650" t="s">
        <v>36</v>
      </c>
    </row>
    <row r="3651" spans="1:19" x14ac:dyDescent="0.3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 t="str">
        <f t="shared" ref="K3651:K3714" si="57">IF(L3651&lt;=7,"0-7 days",IF(L3651&lt;=14,"8-14 days",IF(L3651&lt;=30,"15-30 days","31-60 days")))</f>
        <v>8-14 days</v>
      </c>
      <c r="L3651">
        <v>12</v>
      </c>
      <c r="M3651">
        <v>7</v>
      </c>
      <c r="N3651">
        <v>3</v>
      </c>
      <c r="O3651" t="s">
        <v>54</v>
      </c>
      <c r="P3651" t="s">
        <v>55</v>
      </c>
      <c r="Q3651">
        <v>6.3</v>
      </c>
      <c r="R3651">
        <v>23</v>
      </c>
      <c r="S3651" t="s">
        <v>36</v>
      </c>
    </row>
    <row r="3652" spans="1:19" x14ac:dyDescent="0.3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 t="str">
        <f t="shared" si="57"/>
        <v>31-60 days</v>
      </c>
      <c r="L3652">
        <v>54</v>
      </c>
      <c r="M3652">
        <v>7</v>
      </c>
      <c r="N3652">
        <v>0</v>
      </c>
      <c r="O3652" t="s">
        <v>25</v>
      </c>
      <c r="P3652" t="s">
        <v>35</v>
      </c>
      <c r="Q3652">
        <v>6.5</v>
      </c>
      <c r="R3652">
        <v>27</v>
      </c>
      <c r="S3652" t="s">
        <v>27</v>
      </c>
    </row>
    <row r="3653" spans="1:19" x14ac:dyDescent="0.3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 t="str">
        <f t="shared" si="57"/>
        <v>31-60 days</v>
      </c>
      <c r="L3653">
        <v>33</v>
      </c>
      <c r="M3653">
        <v>4</v>
      </c>
      <c r="N3653">
        <v>0</v>
      </c>
      <c r="O3653" t="s">
        <v>25</v>
      </c>
      <c r="P3653" t="s">
        <v>35</v>
      </c>
      <c r="Q3653">
        <v>4.9000000000000004</v>
      </c>
      <c r="R3653">
        <v>67</v>
      </c>
      <c r="S3653" t="s">
        <v>27</v>
      </c>
    </row>
    <row r="3654" spans="1:19" x14ac:dyDescent="0.3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 t="str">
        <f t="shared" si="57"/>
        <v>15-30 days</v>
      </c>
      <c r="L3654">
        <v>19</v>
      </c>
      <c r="M3654">
        <v>1</v>
      </c>
      <c r="N3654">
        <v>0</v>
      </c>
      <c r="O3654" t="s">
        <v>54</v>
      </c>
      <c r="P3654" t="s">
        <v>55</v>
      </c>
      <c r="Q3654">
        <v>7.5</v>
      </c>
      <c r="R3654">
        <v>22</v>
      </c>
      <c r="S3654" t="s">
        <v>36</v>
      </c>
    </row>
    <row r="3655" spans="1:19" x14ac:dyDescent="0.3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 t="str">
        <f t="shared" si="57"/>
        <v>0-7 days</v>
      </c>
      <c r="L3655">
        <v>3</v>
      </c>
      <c r="M3655">
        <v>7</v>
      </c>
      <c r="N3655">
        <v>1</v>
      </c>
      <c r="O3655" t="s">
        <v>25</v>
      </c>
      <c r="P3655" t="s">
        <v>35</v>
      </c>
      <c r="Q3655">
        <v>6.3</v>
      </c>
      <c r="R3655">
        <v>26</v>
      </c>
      <c r="S3655" t="s">
        <v>27</v>
      </c>
    </row>
    <row r="3656" spans="1:19" x14ac:dyDescent="0.3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 t="str">
        <f t="shared" si="57"/>
        <v>0-7 days</v>
      </c>
      <c r="L3656">
        <v>1</v>
      </c>
      <c r="M3656">
        <v>0</v>
      </c>
      <c r="N3656">
        <v>0</v>
      </c>
      <c r="O3656" t="s">
        <v>25</v>
      </c>
      <c r="P3656" t="s">
        <v>35</v>
      </c>
      <c r="Q3656">
        <v>4.2</v>
      </c>
      <c r="R3656">
        <v>43</v>
      </c>
      <c r="S3656" t="s">
        <v>36</v>
      </c>
    </row>
    <row r="3657" spans="1:19" x14ac:dyDescent="0.3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 t="str">
        <f t="shared" si="57"/>
        <v>31-60 days</v>
      </c>
      <c r="L3657">
        <v>45</v>
      </c>
      <c r="M3657">
        <v>2</v>
      </c>
      <c r="N3657">
        <v>0</v>
      </c>
      <c r="O3657" t="s">
        <v>25</v>
      </c>
      <c r="P3657" t="s">
        <v>26</v>
      </c>
      <c r="Q3657">
        <v>8.5</v>
      </c>
      <c r="R3657">
        <v>30</v>
      </c>
      <c r="S3657" t="s">
        <v>36</v>
      </c>
    </row>
    <row r="3658" spans="1:19" x14ac:dyDescent="0.3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 t="str">
        <f t="shared" si="57"/>
        <v>15-30 days</v>
      </c>
      <c r="L3658">
        <v>23</v>
      </c>
      <c r="M3658">
        <v>1</v>
      </c>
      <c r="N3658">
        <v>0</v>
      </c>
      <c r="O3658" t="s">
        <v>25</v>
      </c>
      <c r="P3658" t="s">
        <v>35</v>
      </c>
      <c r="Q3658">
        <v>9.6999999999999993</v>
      </c>
      <c r="R3658">
        <v>6</v>
      </c>
      <c r="S3658" t="s">
        <v>27</v>
      </c>
    </row>
    <row r="3659" spans="1:19" x14ac:dyDescent="0.3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 t="str">
        <f t="shared" si="57"/>
        <v>31-60 days</v>
      </c>
      <c r="L3659">
        <v>51</v>
      </c>
      <c r="M3659">
        <v>1</v>
      </c>
      <c r="N3659">
        <v>1</v>
      </c>
      <c r="O3659" t="s">
        <v>25</v>
      </c>
      <c r="P3659" t="s">
        <v>26</v>
      </c>
      <c r="Q3659">
        <v>32.799999999999997</v>
      </c>
      <c r="R3659">
        <v>43</v>
      </c>
      <c r="S3659" t="s">
        <v>27</v>
      </c>
    </row>
    <row r="3660" spans="1:19" x14ac:dyDescent="0.3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 t="str">
        <f t="shared" si="57"/>
        <v>8-14 days</v>
      </c>
      <c r="L3660">
        <v>14</v>
      </c>
      <c r="M3660">
        <v>3</v>
      </c>
      <c r="N3660">
        <v>0</v>
      </c>
      <c r="O3660" t="s">
        <v>54</v>
      </c>
      <c r="P3660" t="s">
        <v>55</v>
      </c>
      <c r="Q3660">
        <v>4.0999999999999996</v>
      </c>
      <c r="R3660">
        <v>28</v>
      </c>
      <c r="S3660" t="s">
        <v>27</v>
      </c>
    </row>
    <row r="3661" spans="1:19" x14ac:dyDescent="0.3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 t="str">
        <f t="shared" si="57"/>
        <v>31-60 days</v>
      </c>
      <c r="L3661">
        <v>56</v>
      </c>
      <c r="M3661">
        <v>5</v>
      </c>
      <c r="N3661">
        <v>1</v>
      </c>
      <c r="O3661" t="s">
        <v>25</v>
      </c>
      <c r="P3661" t="s">
        <v>35</v>
      </c>
      <c r="Q3661">
        <v>11.3</v>
      </c>
      <c r="R3661">
        <v>2</v>
      </c>
      <c r="S3661" t="s">
        <v>27</v>
      </c>
    </row>
    <row r="3662" spans="1:19" x14ac:dyDescent="0.3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 t="str">
        <f t="shared" si="57"/>
        <v>31-60 days</v>
      </c>
      <c r="L3662">
        <v>57</v>
      </c>
      <c r="M3662">
        <v>3</v>
      </c>
      <c r="N3662">
        <v>2</v>
      </c>
      <c r="O3662" t="s">
        <v>25</v>
      </c>
      <c r="P3662" t="s">
        <v>26</v>
      </c>
      <c r="Q3662">
        <v>11.1</v>
      </c>
      <c r="R3662">
        <v>20</v>
      </c>
      <c r="S3662" t="s">
        <v>36</v>
      </c>
    </row>
    <row r="3663" spans="1:19" x14ac:dyDescent="0.3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 t="str">
        <f t="shared" si="57"/>
        <v>0-7 days</v>
      </c>
      <c r="L3663">
        <v>6</v>
      </c>
      <c r="M3663">
        <v>1</v>
      </c>
      <c r="N3663">
        <v>0</v>
      </c>
      <c r="O3663" t="s">
        <v>25</v>
      </c>
      <c r="P3663" t="s">
        <v>26</v>
      </c>
      <c r="Q3663">
        <v>15.5</v>
      </c>
      <c r="R3663">
        <v>16</v>
      </c>
      <c r="S3663" t="s">
        <v>71</v>
      </c>
    </row>
    <row r="3664" spans="1:19" x14ac:dyDescent="0.3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 t="str">
        <f t="shared" si="57"/>
        <v>31-60 days</v>
      </c>
      <c r="L3664">
        <v>39</v>
      </c>
      <c r="M3664">
        <v>2</v>
      </c>
      <c r="N3664">
        <v>0</v>
      </c>
      <c r="O3664" t="s">
        <v>25</v>
      </c>
      <c r="P3664" t="s">
        <v>50</v>
      </c>
      <c r="Q3664">
        <v>14</v>
      </c>
      <c r="R3664">
        <v>19</v>
      </c>
      <c r="S3664" t="s">
        <v>36</v>
      </c>
    </row>
    <row r="3665" spans="1:19" x14ac:dyDescent="0.3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 t="str">
        <f t="shared" si="57"/>
        <v>31-60 days</v>
      </c>
      <c r="L3665">
        <v>57</v>
      </c>
      <c r="M3665">
        <v>3</v>
      </c>
      <c r="N3665">
        <v>0</v>
      </c>
      <c r="O3665" t="s">
        <v>54</v>
      </c>
      <c r="P3665" t="s">
        <v>55</v>
      </c>
      <c r="Q3665">
        <v>1.9</v>
      </c>
      <c r="R3665">
        <v>24</v>
      </c>
      <c r="S3665" t="s">
        <v>71</v>
      </c>
    </row>
    <row r="3666" spans="1:19" x14ac:dyDescent="0.3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 t="str">
        <f t="shared" si="57"/>
        <v>15-30 days</v>
      </c>
      <c r="L3666">
        <v>19</v>
      </c>
      <c r="M3666">
        <v>7</v>
      </c>
      <c r="N3666">
        <v>3</v>
      </c>
      <c r="O3666" t="s">
        <v>25</v>
      </c>
      <c r="P3666" t="s">
        <v>35</v>
      </c>
      <c r="Q3666">
        <v>7.3</v>
      </c>
      <c r="R3666">
        <v>32</v>
      </c>
      <c r="S3666" t="s">
        <v>27</v>
      </c>
    </row>
    <row r="3667" spans="1:19" x14ac:dyDescent="0.3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 t="str">
        <f t="shared" si="57"/>
        <v>0-7 days</v>
      </c>
      <c r="L3667">
        <v>4</v>
      </c>
      <c r="M3667">
        <v>4</v>
      </c>
      <c r="N3667">
        <v>2</v>
      </c>
      <c r="O3667" t="s">
        <v>54</v>
      </c>
      <c r="P3667" t="s">
        <v>55</v>
      </c>
      <c r="Q3667">
        <v>3.9</v>
      </c>
      <c r="R3667">
        <v>38</v>
      </c>
      <c r="S3667" t="s">
        <v>36</v>
      </c>
    </row>
    <row r="3668" spans="1:19" x14ac:dyDescent="0.3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 t="str">
        <f t="shared" si="57"/>
        <v>31-60 days</v>
      </c>
      <c r="L3668">
        <v>53</v>
      </c>
      <c r="M3668">
        <v>2</v>
      </c>
      <c r="N3668">
        <v>0</v>
      </c>
      <c r="O3668" t="s">
        <v>25</v>
      </c>
      <c r="P3668" t="s">
        <v>26</v>
      </c>
      <c r="Q3668">
        <v>4.4000000000000004</v>
      </c>
      <c r="R3668">
        <v>38</v>
      </c>
      <c r="S3668" t="s">
        <v>27</v>
      </c>
    </row>
    <row r="3669" spans="1:19" x14ac:dyDescent="0.3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 t="str">
        <f t="shared" si="57"/>
        <v>15-30 days</v>
      </c>
      <c r="L3669">
        <v>28</v>
      </c>
      <c r="M3669">
        <v>3</v>
      </c>
      <c r="N3669">
        <v>1</v>
      </c>
      <c r="O3669" t="s">
        <v>54</v>
      </c>
      <c r="P3669" t="s">
        <v>55</v>
      </c>
      <c r="Q3669">
        <v>2.8</v>
      </c>
      <c r="R3669">
        <v>42</v>
      </c>
      <c r="S3669" t="s">
        <v>27</v>
      </c>
    </row>
    <row r="3670" spans="1:19" x14ac:dyDescent="0.3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 t="str">
        <f t="shared" si="57"/>
        <v>0-7 days</v>
      </c>
      <c r="L3670">
        <v>1</v>
      </c>
      <c r="M3670">
        <v>0</v>
      </c>
      <c r="N3670">
        <v>0</v>
      </c>
      <c r="O3670" t="s">
        <v>25</v>
      </c>
      <c r="P3670" t="s">
        <v>26</v>
      </c>
      <c r="Q3670">
        <v>7.2</v>
      </c>
      <c r="R3670">
        <v>22</v>
      </c>
      <c r="S3670" t="s">
        <v>36</v>
      </c>
    </row>
    <row r="3671" spans="1:19" x14ac:dyDescent="0.3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 t="str">
        <f t="shared" si="57"/>
        <v>31-60 days</v>
      </c>
      <c r="L3671">
        <v>51</v>
      </c>
      <c r="M3671">
        <v>1</v>
      </c>
      <c r="N3671">
        <v>0</v>
      </c>
      <c r="O3671" t="s">
        <v>25</v>
      </c>
      <c r="P3671" t="s">
        <v>26</v>
      </c>
      <c r="Q3671">
        <v>11.6</v>
      </c>
      <c r="R3671">
        <v>2</v>
      </c>
      <c r="S3671" t="s">
        <v>27</v>
      </c>
    </row>
    <row r="3672" spans="1:19" x14ac:dyDescent="0.3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 t="str">
        <f t="shared" si="57"/>
        <v>31-60 days</v>
      </c>
      <c r="L3672">
        <v>41</v>
      </c>
      <c r="M3672">
        <v>7</v>
      </c>
      <c r="N3672">
        <v>3</v>
      </c>
      <c r="O3672" t="s">
        <v>54</v>
      </c>
      <c r="P3672" t="s">
        <v>55</v>
      </c>
      <c r="Q3672">
        <v>20.7</v>
      </c>
      <c r="R3672">
        <v>2</v>
      </c>
      <c r="S3672" t="s">
        <v>36</v>
      </c>
    </row>
    <row r="3673" spans="1:19" x14ac:dyDescent="0.3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 t="str">
        <f t="shared" si="57"/>
        <v>0-7 days</v>
      </c>
      <c r="L3673">
        <v>4</v>
      </c>
      <c r="M3673">
        <v>6</v>
      </c>
      <c r="N3673">
        <v>1</v>
      </c>
      <c r="O3673" t="s">
        <v>25</v>
      </c>
      <c r="P3673" t="s">
        <v>35</v>
      </c>
      <c r="Q3673">
        <v>9.1</v>
      </c>
      <c r="R3673">
        <v>33</v>
      </c>
      <c r="S3673" t="s">
        <v>36</v>
      </c>
    </row>
    <row r="3674" spans="1:19" x14ac:dyDescent="0.3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 t="str">
        <f t="shared" si="57"/>
        <v>15-30 days</v>
      </c>
      <c r="L3674">
        <v>15</v>
      </c>
      <c r="M3674">
        <v>3</v>
      </c>
      <c r="N3674">
        <v>0</v>
      </c>
      <c r="O3674" t="s">
        <v>54</v>
      </c>
      <c r="P3674" t="s">
        <v>55</v>
      </c>
      <c r="Q3674">
        <v>4.5</v>
      </c>
      <c r="R3674">
        <v>23</v>
      </c>
      <c r="S3674" t="s">
        <v>36</v>
      </c>
    </row>
    <row r="3675" spans="1:19" x14ac:dyDescent="0.3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 t="str">
        <f t="shared" si="57"/>
        <v>0-7 days</v>
      </c>
      <c r="L3675">
        <v>1</v>
      </c>
      <c r="M3675">
        <v>3</v>
      </c>
      <c r="N3675">
        <v>0</v>
      </c>
      <c r="O3675" t="s">
        <v>25</v>
      </c>
      <c r="P3675" t="s">
        <v>35</v>
      </c>
      <c r="Q3675">
        <v>9.9</v>
      </c>
      <c r="R3675">
        <v>40</v>
      </c>
      <c r="S3675" t="s">
        <v>27</v>
      </c>
    </row>
    <row r="3676" spans="1:19" x14ac:dyDescent="0.3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 t="str">
        <f t="shared" si="57"/>
        <v>31-60 days</v>
      </c>
      <c r="L3676">
        <v>58</v>
      </c>
      <c r="M3676">
        <v>3</v>
      </c>
      <c r="N3676">
        <v>1</v>
      </c>
      <c r="O3676" t="s">
        <v>54</v>
      </c>
      <c r="P3676" t="s">
        <v>55</v>
      </c>
      <c r="Q3676">
        <v>12.3</v>
      </c>
      <c r="R3676">
        <v>29</v>
      </c>
      <c r="S3676" t="s">
        <v>27</v>
      </c>
    </row>
    <row r="3677" spans="1:19" x14ac:dyDescent="0.3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 t="str">
        <f t="shared" si="57"/>
        <v>0-7 days</v>
      </c>
      <c r="L3677">
        <v>1</v>
      </c>
      <c r="M3677">
        <v>2</v>
      </c>
      <c r="N3677">
        <v>1</v>
      </c>
      <c r="O3677" t="s">
        <v>25</v>
      </c>
      <c r="P3677" t="s">
        <v>35</v>
      </c>
      <c r="Q3677">
        <v>18.8</v>
      </c>
      <c r="R3677">
        <v>5</v>
      </c>
      <c r="S3677" t="s">
        <v>27</v>
      </c>
    </row>
    <row r="3678" spans="1:19" x14ac:dyDescent="0.3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 t="str">
        <f t="shared" si="57"/>
        <v>31-60 days</v>
      </c>
      <c r="L3678">
        <v>48</v>
      </c>
      <c r="M3678">
        <v>4</v>
      </c>
      <c r="N3678">
        <v>1</v>
      </c>
      <c r="O3678" t="s">
        <v>25</v>
      </c>
      <c r="P3678" t="s">
        <v>35</v>
      </c>
      <c r="Q3678">
        <v>3.9</v>
      </c>
      <c r="R3678">
        <v>17</v>
      </c>
      <c r="S3678" t="s">
        <v>36</v>
      </c>
    </row>
    <row r="3679" spans="1:19" x14ac:dyDescent="0.3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 t="str">
        <f t="shared" si="57"/>
        <v>31-60 days</v>
      </c>
      <c r="L3679">
        <v>31</v>
      </c>
      <c r="M3679">
        <v>2</v>
      </c>
      <c r="N3679">
        <v>1</v>
      </c>
      <c r="O3679" t="s">
        <v>54</v>
      </c>
      <c r="P3679" t="s">
        <v>55</v>
      </c>
      <c r="Q3679">
        <v>2.7</v>
      </c>
      <c r="R3679">
        <v>29</v>
      </c>
      <c r="S3679" t="s">
        <v>36</v>
      </c>
    </row>
    <row r="3680" spans="1:19" x14ac:dyDescent="0.3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 t="str">
        <f t="shared" si="57"/>
        <v>31-60 days</v>
      </c>
      <c r="L3680">
        <v>35</v>
      </c>
      <c r="M3680">
        <v>3</v>
      </c>
      <c r="N3680">
        <v>1</v>
      </c>
      <c r="O3680" t="s">
        <v>25</v>
      </c>
      <c r="P3680" t="s">
        <v>26</v>
      </c>
      <c r="Q3680">
        <v>10.4</v>
      </c>
      <c r="R3680">
        <v>12</v>
      </c>
      <c r="S3680" t="s">
        <v>36</v>
      </c>
    </row>
    <row r="3681" spans="1:19" x14ac:dyDescent="0.3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 t="str">
        <f t="shared" si="57"/>
        <v>31-60 days</v>
      </c>
      <c r="L3681">
        <v>49</v>
      </c>
      <c r="M3681">
        <v>3</v>
      </c>
      <c r="N3681">
        <v>2</v>
      </c>
      <c r="O3681" t="s">
        <v>54</v>
      </c>
      <c r="P3681" t="s">
        <v>55</v>
      </c>
      <c r="Q3681">
        <v>8.5</v>
      </c>
      <c r="R3681">
        <v>41</v>
      </c>
      <c r="S3681" t="s">
        <v>27</v>
      </c>
    </row>
    <row r="3682" spans="1:19" x14ac:dyDescent="0.3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 t="str">
        <f t="shared" si="57"/>
        <v>31-60 days</v>
      </c>
      <c r="L3682">
        <v>54</v>
      </c>
      <c r="M3682">
        <v>5</v>
      </c>
      <c r="N3682">
        <v>1</v>
      </c>
      <c r="O3682" t="s">
        <v>54</v>
      </c>
      <c r="P3682" t="s">
        <v>55</v>
      </c>
      <c r="Q3682">
        <v>6.8</v>
      </c>
      <c r="R3682">
        <v>19</v>
      </c>
      <c r="S3682" t="s">
        <v>27</v>
      </c>
    </row>
    <row r="3683" spans="1:19" x14ac:dyDescent="0.3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 t="str">
        <f t="shared" si="57"/>
        <v>0-7 days</v>
      </c>
      <c r="L3683">
        <v>7</v>
      </c>
      <c r="M3683">
        <v>2</v>
      </c>
      <c r="N3683">
        <v>0</v>
      </c>
      <c r="O3683" t="s">
        <v>25</v>
      </c>
      <c r="P3683" t="s">
        <v>35</v>
      </c>
      <c r="Q3683">
        <v>8.1</v>
      </c>
      <c r="R3683">
        <v>20</v>
      </c>
      <c r="S3683" t="s">
        <v>36</v>
      </c>
    </row>
    <row r="3684" spans="1:19" x14ac:dyDescent="0.3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 t="str">
        <f t="shared" si="57"/>
        <v>0-7 days</v>
      </c>
      <c r="L3684">
        <v>1</v>
      </c>
      <c r="M3684">
        <v>5</v>
      </c>
      <c r="N3684">
        <v>2</v>
      </c>
      <c r="O3684" t="s">
        <v>25</v>
      </c>
      <c r="P3684" t="s">
        <v>35</v>
      </c>
      <c r="Q3684">
        <v>4</v>
      </c>
      <c r="R3684">
        <v>6</v>
      </c>
      <c r="S3684" t="s">
        <v>71</v>
      </c>
    </row>
    <row r="3685" spans="1:19" x14ac:dyDescent="0.3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 t="str">
        <f t="shared" si="57"/>
        <v>0-7 days</v>
      </c>
      <c r="L3685">
        <v>7</v>
      </c>
      <c r="M3685">
        <v>2</v>
      </c>
      <c r="N3685">
        <v>0</v>
      </c>
      <c r="O3685" t="s">
        <v>54</v>
      </c>
      <c r="P3685" t="s">
        <v>55</v>
      </c>
      <c r="Q3685">
        <v>1.6</v>
      </c>
      <c r="R3685">
        <v>46</v>
      </c>
      <c r="S3685" t="s">
        <v>36</v>
      </c>
    </row>
    <row r="3686" spans="1:19" x14ac:dyDescent="0.3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 t="str">
        <f t="shared" si="57"/>
        <v>31-60 days</v>
      </c>
      <c r="L3686">
        <v>41</v>
      </c>
      <c r="M3686">
        <v>6</v>
      </c>
      <c r="N3686">
        <v>1</v>
      </c>
      <c r="O3686" t="s">
        <v>25</v>
      </c>
      <c r="P3686" t="s">
        <v>26</v>
      </c>
      <c r="Q3686">
        <v>13.8</v>
      </c>
      <c r="R3686">
        <v>22</v>
      </c>
      <c r="S3686" t="s">
        <v>27</v>
      </c>
    </row>
    <row r="3687" spans="1:19" x14ac:dyDescent="0.3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 t="str">
        <f t="shared" si="57"/>
        <v>31-60 days</v>
      </c>
      <c r="L3687">
        <v>34</v>
      </c>
      <c r="M3687">
        <v>2</v>
      </c>
      <c r="N3687">
        <v>1</v>
      </c>
      <c r="O3687" t="s">
        <v>25</v>
      </c>
      <c r="P3687" t="s">
        <v>35</v>
      </c>
      <c r="Q3687">
        <v>13.2</v>
      </c>
      <c r="R3687">
        <v>27</v>
      </c>
      <c r="S3687" t="s">
        <v>27</v>
      </c>
    </row>
    <row r="3688" spans="1:19" x14ac:dyDescent="0.3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 t="str">
        <f t="shared" si="57"/>
        <v>0-7 days</v>
      </c>
      <c r="L3688">
        <v>5</v>
      </c>
      <c r="M3688">
        <v>3</v>
      </c>
      <c r="N3688">
        <v>2</v>
      </c>
      <c r="O3688" t="s">
        <v>25</v>
      </c>
      <c r="P3688" t="s">
        <v>35</v>
      </c>
      <c r="Q3688">
        <v>3</v>
      </c>
      <c r="R3688">
        <v>15</v>
      </c>
      <c r="S3688" t="s">
        <v>36</v>
      </c>
    </row>
    <row r="3689" spans="1:19" x14ac:dyDescent="0.3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 t="str">
        <f t="shared" si="57"/>
        <v>8-14 days</v>
      </c>
      <c r="L3689">
        <v>14</v>
      </c>
      <c r="M3689">
        <v>4</v>
      </c>
      <c r="N3689">
        <v>0</v>
      </c>
      <c r="O3689" t="s">
        <v>54</v>
      </c>
      <c r="P3689" t="s">
        <v>55</v>
      </c>
      <c r="Q3689">
        <v>7.8</v>
      </c>
      <c r="R3689">
        <v>20</v>
      </c>
      <c r="S3689" t="s">
        <v>36</v>
      </c>
    </row>
    <row r="3690" spans="1:19" x14ac:dyDescent="0.3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 t="str">
        <f t="shared" si="57"/>
        <v>31-60 days</v>
      </c>
      <c r="L3690">
        <v>32</v>
      </c>
      <c r="M3690">
        <v>2</v>
      </c>
      <c r="N3690">
        <v>0</v>
      </c>
      <c r="O3690" t="s">
        <v>54</v>
      </c>
      <c r="P3690" t="s">
        <v>55</v>
      </c>
      <c r="Q3690">
        <v>12.8</v>
      </c>
      <c r="R3690">
        <v>27</v>
      </c>
      <c r="S3690" t="s">
        <v>27</v>
      </c>
    </row>
    <row r="3691" spans="1:19" x14ac:dyDescent="0.3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 t="str">
        <f t="shared" si="57"/>
        <v>31-60 days</v>
      </c>
      <c r="L3691">
        <v>44</v>
      </c>
      <c r="M3691">
        <v>7</v>
      </c>
      <c r="N3691">
        <v>2</v>
      </c>
      <c r="O3691" t="s">
        <v>54</v>
      </c>
      <c r="P3691" t="s">
        <v>55</v>
      </c>
      <c r="Q3691">
        <v>11.8</v>
      </c>
      <c r="R3691">
        <v>29</v>
      </c>
      <c r="S3691" t="s">
        <v>36</v>
      </c>
    </row>
    <row r="3692" spans="1:19" x14ac:dyDescent="0.3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 t="str">
        <f t="shared" si="57"/>
        <v>15-30 days</v>
      </c>
      <c r="L3692">
        <v>20</v>
      </c>
      <c r="M3692">
        <v>1</v>
      </c>
      <c r="N3692">
        <v>0</v>
      </c>
      <c r="O3692" t="s">
        <v>25</v>
      </c>
      <c r="P3692" t="s">
        <v>35</v>
      </c>
      <c r="Q3692">
        <v>5</v>
      </c>
      <c r="R3692">
        <v>30</v>
      </c>
      <c r="S3692" t="s">
        <v>36</v>
      </c>
    </row>
    <row r="3693" spans="1:19" x14ac:dyDescent="0.3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 t="str">
        <f t="shared" si="57"/>
        <v>31-60 days</v>
      </c>
      <c r="L3693">
        <v>57</v>
      </c>
      <c r="M3693">
        <v>2</v>
      </c>
      <c r="N3693">
        <v>0</v>
      </c>
      <c r="O3693" t="s">
        <v>25</v>
      </c>
      <c r="P3693" t="s">
        <v>35</v>
      </c>
      <c r="Q3693">
        <v>9.6999999999999993</v>
      </c>
      <c r="S3693" t="s">
        <v>27</v>
      </c>
    </row>
    <row r="3694" spans="1:19" x14ac:dyDescent="0.3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 t="str">
        <f t="shared" si="57"/>
        <v>31-60 days</v>
      </c>
      <c r="L3694">
        <v>60</v>
      </c>
      <c r="M3694">
        <v>3</v>
      </c>
      <c r="N3694">
        <v>0</v>
      </c>
      <c r="O3694" t="s">
        <v>25</v>
      </c>
      <c r="P3694" t="s">
        <v>50</v>
      </c>
      <c r="Q3694">
        <v>3.6</v>
      </c>
      <c r="R3694">
        <v>32</v>
      </c>
      <c r="S3694" t="s">
        <v>36</v>
      </c>
    </row>
    <row r="3695" spans="1:19" x14ac:dyDescent="0.3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 t="str">
        <f t="shared" si="57"/>
        <v>31-60 days</v>
      </c>
      <c r="L3695">
        <v>46</v>
      </c>
      <c r="M3695">
        <v>1</v>
      </c>
      <c r="N3695">
        <v>0</v>
      </c>
      <c r="O3695" t="s">
        <v>54</v>
      </c>
      <c r="P3695" t="s">
        <v>55</v>
      </c>
      <c r="Q3695">
        <v>14.6</v>
      </c>
      <c r="R3695">
        <v>30</v>
      </c>
      <c r="S3695" t="s">
        <v>36</v>
      </c>
    </row>
    <row r="3696" spans="1:19" x14ac:dyDescent="0.3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 t="str">
        <f t="shared" si="57"/>
        <v>15-30 days</v>
      </c>
      <c r="L3696">
        <v>27</v>
      </c>
      <c r="M3696">
        <v>0</v>
      </c>
      <c r="N3696">
        <v>0</v>
      </c>
      <c r="O3696" t="s">
        <v>54</v>
      </c>
      <c r="P3696" t="s">
        <v>55</v>
      </c>
      <c r="Q3696">
        <v>7.4</v>
      </c>
      <c r="R3696">
        <v>17</v>
      </c>
      <c r="S3696" t="s">
        <v>27</v>
      </c>
    </row>
    <row r="3697" spans="1:19" x14ac:dyDescent="0.3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 t="str">
        <f t="shared" si="57"/>
        <v>31-60 days</v>
      </c>
      <c r="L3697">
        <v>53</v>
      </c>
      <c r="M3697">
        <v>2</v>
      </c>
      <c r="N3697">
        <v>0</v>
      </c>
      <c r="O3697" t="s">
        <v>25</v>
      </c>
      <c r="P3697" t="s">
        <v>26</v>
      </c>
      <c r="Q3697">
        <v>9.9</v>
      </c>
      <c r="R3697">
        <v>22</v>
      </c>
      <c r="S3697" t="s">
        <v>36</v>
      </c>
    </row>
    <row r="3698" spans="1:19" x14ac:dyDescent="0.3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 t="str">
        <f t="shared" si="57"/>
        <v>31-60 days</v>
      </c>
      <c r="L3698">
        <v>44</v>
      </c>
      <c r="M3698">
        <v>1</v>
      </c>
      <c r="N3698">
        <v>0</v>
      </c>
      <c r="O3698" t="s">
        <v>25</v>
      </c>
      <c r="P3698" t="s">
        <v>26</v>
      </c>
      <c r="Q3698">
        <v>11.1</v>
      </c>
      <c r="R3698">
        <v>10</v>
      </c>
      <c r="S3698" t="s">
        <v>27</v>
      </c>
    </row>
    <row r="3699" spans="1:19" x14ac:dyDescent="0.3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 t="str">
        <f t="shared" si="57"/>
        <v>31-60 days</v>
      </c>
      <c r="L3699">
        <v>31</v>
      </c>
      <c r="M3699">
        <v>4</v>
      </c>
      <c r="N3699">
        <v>0</v>
      </c>
      <c r="O3699" t="s">
        <v>54</v>
      </c>
      <c r="P3699" t="s">
        <v>55</v>
      </c>
      <c r="Q3699">
        <v>7.5</v>
      </c>
      <c r="R3699">
        <v>19</v>
      </c>
      <c r="S3699" t="s">
        <v>27</v>
      </c>
    </row>
    <row r="3700" spans="1:19" x14ac:dyDescent="0.3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 t="str">
        <f t="shared" si="57"/>
        <v>15-30 days</v>
      </c>
      <c r="L3700">
        <v>27</v>
      </c>
      <c r="M3700">
        <v>2</v>
      </c>
      <c r="N3700">
        <v>0</v>
      </c>
      <c r="O3700" t="s">
        <v>54</v>
      </c>
      <c r="P3700" t="s">
        <v>55</v>
      </c>
      <c r="Q3700">
        <v>11.1</v>
      </c>
      <c r="R3700">
        <v>29</v>
      </c>
      <c r="S3700" t="s">
        <v>36</v>
      </c>
    </row>
    <row r="3701" spans="1:19" x14ac:dyDescent="0.3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 t="str">
        <f t="shared" si="57"/>
        <v>31-60 days</v>
      </c>
      <c r="L3701">
        <v>50</v>
      </c>
      <c r="M3701">
        <v>2</v>
      </c>
      <c r="N3701">
        <v>0</v>
      </c>
      <c r="O3701" t="s">
        <v>54</v>
      </c>
      <c r="P3701" t="s">
        <v>55</v>
      </c>
      <c r="Q3701">
        <v>14.9</v>
      </c>
      <c r="R3701">
        <v>28</v>
      </c>
      <c r="S3701" t="s">
        <v>71</v>
      </c>
    </row>
    <row r="3702" spans="1:19" x14ac:dyDescent="0.3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 t="str">
        <f t="shared" si="57"/>
        <v>31-60 days</v>
      </c>
      <c r="L3702">
        <v>33</v>
      </c>
      <c r="M3702">
        <v>2</v>
      </c>
      <c r="N3702">
        <v>0</v>
      </c>
      <c r="O3702" t="s">
        <v>25</v>
      </c>
      <c r="P3702" t="s">
        <v>35</v>
      </c>
      <c r="Q3702">
        <v>4</v>
      </c>
      <c r="R3702">
        <v>31</v>
      </c>
      <c r="S3702" t="s">
        <v>27</v>
      </c>
    </row>
    <row r="3703" spans="1:19" x14ac:dyDescent="0.3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 t="str">
        <f t="shared" si="57"/>
        <v>8-14 days</v>
      </c>
      <c r="L3703">
        <v>11</v>
      </c>
      <c r="M3703">
        <v>3</v>
      </c>
      <c r="N3703">
        <v>2</v>
      </c>
      <c r="O3703" t="s">
        <v>25</v>
      </c>
      <c r="P3703" t="s">
        <v>35</v>
      </c>
      <c r="Q3703">
        <v>17.100000000000001</v>
      </c>
      <c r="R3703">
        <v>40</v>
      </c>
      <c r="S3703" t="s">
        <v>36</v>
      </c>
    </row>
    <row r="3704" spans="1:19" x14ac:dyDescent="0.3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 t="str">
        <f t="shared" si="57"/>
        <v>31-60 days</v>
      </c>
      <c r="L3704">
        <v>60</v>
      </c>
      <c r="M3704">
        <v>1</v>
      </c>
      <c r="N3704">
        <v>0</v>
      </c>
      <c r="O3704" t="s">
        <v>25</v>
      </c>
      <c r="P3704" t="s">
        <v>35</v>
      </c>
      <c r="Q3704">
        <v>6</v>
      </c>
      <c r="R3704">
        <v>10</v>
      </c>
      <c r="S3704" t="s">
        <v>27</v>
      </c>
    </row>
    <row r="3705" spans="1:19" x14ac:dyDescent="0.3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 t="str">
        <f t="shared" si="57"/>
        <v>0-7 days</v>
      </c>
      <c r="L3705">
        <v>4</v>
      </c>
      <c r="M3705">
        <v>2</v>
      </c>
      <c r="N3705">
        <v>1</v>
      </c>
      <c r="O3705" t="s">
        <v>25</v>
      </c>
      <c r="P3705" t="s">
        <v>35</v>
      </c>
      <c r="Q3705">
        <v>11.5</v>
      </c>
      <c r="R3705">
        <v>3</v>
      </c>
      <c r="S3705" t="s">
        <v>36</v>
      </c>
    </row>
    <row r="3706" spans="1:19" x14ac:dyDescent="0.3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 t="str">
        <f t="shared" si="57"/>
        <v>31-60 days</v>
      </c>
      <c r="L3706">
        <v>42</v>
      </c>
      <c r="M3706">
        <v>6</v>
      </c>
      <c r="N3706">
        <v>1</v>
      </c>
      <c r="O3706" t="s">
        <v>54</v>
      </c>
      <c r="P3706" t="s">
        <v>55</v>
      </c>
      <c r="Q3706">
        <v>7.3</v>
      </c>
      <c r="R3706">
        <v>21</v>
      </c>
      <c r="S3706" t="s">
        <v>36</v>
      </c>
    </row>
    <row r="3707" spans="1:19" x14ac:dyDescent="0.3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 t="str">
        <f t="shared" si="57"/>
        <v>31-60 days</v>
      </c>
      <c r="L3707">
        <v>40</v>
      </c>
      <c r="M3707">
        <v>8</v>
      </c>
      <c r="N3707">
        <v>5</v>
      </c>
      <c r="O3707" t="s">
        <v>25</v>
      </c>
      <c r="P3707" t="s">
        <v>50</v>
      </c>
      <c r="Q3707">
        <v>10.3</v>
      </c>
      <c r="R3707">
        <v>40</v>
      </c>
      <c r="S3707" t="s">
        <v>27</v>
      </c>
    </row>
    <row r="3708" spans="1:19" x14ac:dyDescent="0.3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 t="str">
        <f t="shared" si="57"/>
        <v>31-60 days</v>
      </c>
      <c r="L3708">
        <v>35</v>
      </c>
      <c r="M3708">
        <v>7</v>
      </c>
      <c r="N3708">
        <v>1</v>
      </c>
      <c r="O3708" t="s">
        <v>25</v>
      </c>
      <c r="P3708" t="s">
        <v>35</v>
      </c>
      <c r="Q3708">
        <v>16.399999999999999</v>
      </c>
      <c r="R3708">
        <v>40</v>
      </c>
      <c r="S3708" t="s">
        <v>27</v>
      </c>
    </row>
    <row r="3709" spans="1:19" x14ac:dyDescent="0.3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 t="str">
        <f t="shared" si="57"/>
        <v>0-7 days</v>
      </c>
      <c r="L3709">
        <v>3</v>
      </c>
      <c r="M3709">
        <v>4</v>
      </c>
      <c r="N3709">
        <v>2</v>
      </c>
      <c r="O3709" t="s">
        <v>54</v>
      </c>
      <c r="P3709" t="s">
        <v>55</v>
      </c>
      <c r="Q3709">
        <v>8.5</v>
      </c>
      <c r="R3709">
        <v>26</v>
      </c>
      <c r="S3709" t="s">
        <v>36</v>
      </c>
    </row>
    <row r="3710" spans="1:19" x14ac:dyDescent="0.3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 t="str">
        <f t="shared" si="57"/>
        <v>15-30 days</v>
      </c>
      <c r="L3710">
        <v>30</v>
      </c>
      <c r="M3710">
        <v>3</v>
      </c>
      <c r="N3710">
        <v>0</v>
      </c>
      <c r="O3710" t="s">
        <v>25</v>
      </c>
      <c r="P3710" t="s">
        <v>35</v>
      </c>
      <c r="Q3710">
        <v>11</v>
      </c>
      <c r="R3710">
        <v>21</v>
      </c>
      <c r="S3710" t="s">
        <v>27</v>
      </c>
    </row>
    <row r="3711" spans="1:19" x14ac:dyDescent="0.3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 t="str">
        <f t="shared" si="57"/>
        <v>31-60 days</v>
      </c>
      <c r="L3711">
        <v>54</v>
      </c>
      <c r="M3711">
        <v>5</v>
      </c>
      <c r="N3711">
        <v>1</v>
      </c>
      <c r="O3711" t="s">
        <v>25</v>
      </c>
      <c r="P3711" t="s">
        <v>35</v>
      </c>
      <c r="Q3711">
        <v>19.399999999999999</v>
      </c>
      <c r="R3711">
        <v>27</v>
      </c>
      <c r="S3711" t="s">
        <v>27</v>
      </c>
    </row>
    <row r="3712" spans="1:19" x14ac:dyDescent="0.3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 t="str">
        <f t="shared" si="57"/>
        <v>8-14 days</v>
      </c>
      <c r="L3712">
        <v>14</v>
      </c>
      <c r="M3712">
        <v>6</v>
      </c>
      <c r="N3712">
        <v>0</v>
      </c>
      <c r="O3712" t="s">
        <v>54</v>
      </c>
      <c r="P3712" t="s">
        <v>55</v>
      </c>
      <c r="Q3712">
        <v>6.2</v>
      </c>
      <c r="R3712">
        <v>36</v>
      </c>
      <c r="S3712" t="s">
        <v>36</v>
      </c>
    </row>
    <row r="3713" spans="1:19" x14ac:dyDescent="0.3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 t="str">
        <f t="shared" si="57"/>
        <v>31-60 days</v>
      </c>
      <c r="L3713">
        <v>42</v>
      </c>
      <c r="M3713">
        <v>4</v>
      </c>
      <c r="N3713">
        <v>0</v>
      </c>
      <c r="O3713" t="s">
        <v>25</v>
      </c>
      <c r="P3713" t="s">
        <v>26</v>
      </c>
      <c r="Q3713">
        <v>4.5999999999999996</v>
      </c>
      <c r="R3713">
        <v>15</v>
      </c>
      <c r="S3713" t="s">
        <v>27</v>
      </c>
    </row>
    <row r="3714" spans="1:19" x14ac:dyDescent="0.3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 t="str">
        <f t="shared" si="57"/>
        <v>31-60 days</v>
      </c>
      <c r="L3714">
        <v>52</v>
      </c>
      <c r="M3714">
        <v>4</v>
      </c>
      <c r="N3714">
        <v>0</v>
      </c>
      <c r="O3714" t="s">
        <v>25</v>
      </c>
      <c r="P3714" t="s">
        <v>50</v>
      </c>
      <c r="Q3714">
        <v>15.6</v>
      </c>
      <c r="R3714">
        <v>18</v>
      </c>
      <c r="S3714" t="s">
        <v>36</v>
      </c>
    </row>
    <row r="3715" spans="1:19" x14ac:dyDescent="0.3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 t="str">
        <f t="shared" ref="K3715:K3778" si="58">IF(L3715&lt;=7,"0-7 days",IF(L3715&lt;=14,"8-14 days",IF(L3715&lt;=30,"15-30 days","31-60 days")))</f>
        <v>31-60 days</v>
      </c>
      <c r="L3715">
        <v>58</v>
      </c>
      <c r="M3715">
        <v>1</v>
      </c>
      <c r="N3715">
        <v>0</v>
      </c>
      <c r="O3715" t="s">
        <v>54</v>
      </c>
      <c r="P3715" t="s">
        <v>55</v>
      </c>
      <c r="Q3715">
        <v>7.6</v>
      </c>
      <c r="R3715">
        <v>25</v>
      </c>
      <c r="S3715" t="s">
        <v>27</v>
      </c>
    </row>
    <row r="3716" spans="1:19" x14ac:dyDescent="0.3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 t="str">
        <f t="shared" si="58"/>
        <v>31-60 days</v>
      </c>
      <c r="L3716">
        <v>31</v>
      </c>
      <c r="M3716">
        <v>1</v>
      </c>
      <c r="N3716">
        <v>0</v>
      </c>
      <c r="O3716" t="s">
        <v>25</v>
      </c>
      <c r="P3716" t="s">
        <v>35</v>
      </c>
      <c r="Q3716">
        <v>6.9</v>
      </c>
      <c r="R3716">
        <v>36</v>
      </c>
      <c r="S3716" t="s">
        <v>27</v>
      </c>
    </row>
    <row r="3717" spans="1:19" x14ac:dyDescent="0.3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 t="str">
        <f t="shared" si="58"/>
        <v>15-30 days</v>
      </c>
      <c r="L3717">
        <v>19</v>
      </c>
      <c r="M3717">
        <v>1</v>
      </c>
      <c r="N3717">
        <v>0</v>
      </c>
      <c r="O3717" t="s">
        <v>25</v>
      </c>
      <c r="P3717" t="s">
        <v>50</v>
      </c>
      <c r="Q3717">
        <v>17.3</v>
      </c>
      <c r="R3717">
        <v>33</v>
      </c>
      <c r="S3717" t="s">
        <v>36</v>
      </c>
    </row>
    <row r="3718" spans="1:19" x14ac:dyDescent="0.3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 t="str">
        <f t="shared" si="58"/>
        <v>31-60 days</v>
      </c>
      <c r="L3718">
        <v>42</v>
      </c>
      <c r="M3718">
        <v>6</v>
      </c>
      <c r="N3718">
        <v>0</v>
      </c>
      <c r="O3718" t="s">
        <v>54</v>
      </c>
      <c r="P3718" t="s">
        <v>55</v>
      </c>
      <c r="Q3718">
        <v>5</v>
      </c>
      <c r="R3718">
        <v>2</v>
      </c>
      <c r="S3718" t="s">
        <v>27</v>
      </c>
    </row>
    <row r="3719" spans="1:19" x14ac:dyDescent="0.3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 t="str">
        <f t="shared" si="58"/>
        <v>15-30 days</v>
      </c>
      <c r="L3719">
        <v>29</v>
      </c>
      <c r="M3719">
        <v>4</v>
      </c>
      <c r="N3719">
        <v>0</v>
      </c>
      <c r="O3719" t="s">
        <v>25</v>
      </c>
      <c r="P3719" t="s">
        <v>35</v>
      </c>
      <c r="Q3719">
        <v>11.6</v>
      </c>
      <c r="R3719">
        <v>33</v>
      </c>
      <c r="S3719" t="s">
        <v>27</v>
      </c>
    </row>
    <row r="3720" spans="1:19" x14ac:dyDescent="0.3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 t="str">
        <f t="shared" si="58"/>
        <v>31-60 days</v>
      </c>
      <c r="L3720">
        <v>38</v>
      </c>
      <c r="M3720">
        <v>5</v>
      </c>
      <c r="N3720">
        <v>1</v>
      </c>
      <c r="O3720" t="s">
        <v>25</v>
      </c>
      <c r="P3720" t="s">
        <v>35</v>
      </c>
      <c r="Q3720">
        <v>21.5</v>
      </c>
      <c r="R3720">
        <v>24</v>
      </c>
      <c r="S3720" t="s">
        <v>71</v>
      </c>
    </row>
    <row r="3721" spans="1:19" x14ac:dyDescent="0.3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 t="str">
        <f t="shared" si="58"/>
        <v>31-60 days</v>
      </c>
      <c r="L3721">
        <v>45</v>
      </c>
      <c r="M3721">
        <v>2</v>
      </c>
      <c r="N3721">
        <v>0</v>
      </c>
      <c r="O3721" t="s">
        <v>25</v>
      </c>
      <c r="P3721" t="s">
        <v>26</v>
      </c>
      <c r="Q3721">
        <v>3.7</v>
      </c>
      <c r="R3721">
        <v>31</v>
      </c>
      <c r="S3721" t="s">
        <v>36</v>
      </c>
    </row>
    <row r="3722" spans="1:19" x14ac:dyDescent="0.3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 t="str">
        <f t="shared" si="58"/>
        <v>31-60 days</v>
      </c>
      <c r="L3722">
        <v>43</v>
      </c>
      <c r="M3722">
        <v>3</v>
      </c>
      <c r="N3722">
        <v>0</v>
      </c>
      <c r="O3722" t="s">
        <v>54</v>
      </c>
      <c r="P3722" t="s">
        <v>55</v>
      </c>
      <c r="Q3722">
        <v>21.8</v>
      </c>
      <c r="R3722">
        <v>22</v>
      </c>
      <c r="S3722" t="s">
        <v>36</v>
      </c>
    </row>
    <row r="3723" spans="1:19" x14ac:dyDescent="0.3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 t="str">
        <f t="shared" si="58"/>
        <v>8-14 days</v>
      </c>
      <c r="L3723">
        <v>14</v>
      </c>
      <c r="M3723">
        <v>4</v>
      </c>
      <c r="N3723">
        <v>2</v>
      </c>
      <c r="O3723" t="s">
        <v>25</v>
      </c>
      <c r="P3723" t="s">
        <v>35</v>
      </c>
      <c r="Q3723">
        <v>6.5</v>
      </c>
      <c r="R3723">
        <v>29</v>
      </c>
      <c r="S3723" t="s">
        <v>36</v>
      </c>
    </row>
    <row r="3724" spans="1:19" x14ac:dyDescent="0.3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 t="str">
        <f t="shared" si="58"/>
        <v>31-60 days</v>
      </c>
      <c r="L3724">
        <v>46</v>
      </c>
      <c r="M3724">
        <v>4</v>
      </c>
      <c r="N3724">
        <v>0</v>
      </c>
      <c r="O3724" t="s">
        <v>25</v>
      </c>
      <c r="P3724" t="s">
        <v>26</v>
      </c>
      <c r="Q3724">
        <v>6.9</v>
      </c>
      <c r="R3724">
        <v>25</v>
      </c>
      <c r="S3724" t="s">
        <v>27</v>
      </c>
    </row>
    <row r="3725" spans="1:19" x14ac:dyDescent="0.3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 t="str">
        <f t="shared" si="58"/>
        <v>31-60 days</v>
      </c>
      <c r="L3725">
        <v>33</v>
      </c>
      <c r="M3725">
        <v>4</v>
      </c>
      <c r="N3725">
        <v>1</v>
      </c>
      <c r="O3725" t="s">
        <v>54</v>
      </c>
      <c r="P3725" t="s">
        <v>55</v>
      </c>
      <c r="Q3725">
        <v>2.6</v>
      </c>
      <c r="R3725">
        <v>18</v>
      </c>
      <c r="S3725" t="s">
        <v>36</v>
      </c>
    </row>
    <row r="3726" spans="1:19" x14ac:dyDescent="0.3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 t="str">
        <f t="shared" si="58"/>
        <v>31-60 days</v>
      </c>
      <c r="L3726">
        <v>56</v>
      </c>
      <c r="M3726">
        <v>4</v>
      </c>
      <c r="N3726">
        <v>0</v>
      </c>
      <c r="O3726" t="s">
        <v>25</v>
      </c>
      <c r="P3726" t="s">
        <v>35</v>
      </c>
      <c r="Q3726">
        <v>10.199999999999999</v>
      </c>
      <c r="R3726">
        <v>16</v>
      </c>
      <c r="S3726" t="s">
        <v>27</v>
      </c>
    </row>
    <row r="3727" spans="1:19" x14ac:dyDescent="0.3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 t="str">
        <f t="shared" si="58"/>
        <v>31-60 days</v>
      </c>
      <c r="L3727">
        <v>40</v>
      </c>
      <c r="M3727">
        <v>4</v>
      </c>
      <c r="N3727">
        <v>1</v>
      </c>
      <c r="O3727" t="s">
        <v>25</v>
      </c>
      <c r="P3727" t="s">
        <v>26</v>
      </c>
      <c r="Q3727">
        <v>4</v>
      </c>
      <c r="R3727">
        <v>22</v>
      </c>
      <c r="S3727" t="s">
        <v>36</v>
      </c>
    </row>
    <row r="3728" spans="1:19" x14ac:dyDescent="0.3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 t="str">
        <f t="shared" si="58"/>
        <v>31-60 days</v>
      </c>
      <c r="L3728">
        <v>54</v>
      </c>
      <c r="M3728">
        <v>1</v>
      </c>
      <c r="N3728">
        <v>0</v>
      </c>
      <c r="O3728" t="s">
        <v>54</v>
      </c>
      <c r="P3728" t="s">
        <v>55</v>
      </c>
      <c r="Q3728">
        <v>11.9</v>
      </c>
      <c r="R3728">
        <v>10</v>
      </c>
      <c r="S3728" t="s">
        <v>36</v>
      </c>
    </row>
    <row r="3729" spans="1:19" x14ac:dyDescent="0.3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 t="str">
        <f t="shared" si="58"/>
        <v>31-60 days</v>
      </c>
      <c r="L3729">
        <v>59</v>
      </c>
      <c r="M3729">
        <v>4</v>
      </c>
      <c r="N3729">
        <v>1</v>
      </c>
      <c r="O3729" t="s">
        <v>25</v>
      </c>
      <c r="P3729" t="s">
        <v>35</v>
      </c>
      <c r="Q3729">
        <v>8</v>
      </c>
      <c r="R3729">
        <v>19</v>
      </c>
      <c r="S3729" t="s">
        <v>36</v>
      </c>
    </row>
    <row r="3730" spans="1:19" x14ac:dyDescent="0.3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 t="str">
        <f t="shared" si="58"/>
        <v>31-60 days</v>
      </c>
      <c r="L3730">
        <v>60</v>
      </c>
      <c r="M3730">
        <v>4</v>
      </c>
      <c r="N3730">
        <v>1</v>
      </c>
      <c r="O3730" t="s">
        <v>54</v>
      </c>
      <c r="P3730" t="s">
        <v>55</v>
      </c>
      <c r="Q3730">
        <v>10</v>
      </c>
      <c r="R3730">
        <v>20</v>
      </c>
      <c r="S3730" t="s">
        <v>27</v>
      </c>
    </row>
    <row r="3731" spans="1:19" x14ac:dyDescent="0.3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 t="str">
        <f t="shared" si="58"/>
        <v>31-60 days</v>
      </c>
      <c r="L3731">
        <v>45</v>
      </c>
      <c r="M3731">
        <v>0</v>
      </c>
      <c r="N3731">
        <v>0</v>
      </c>
      <c r="O3731" t="s">
        <v>25</v>
      </c>
      <c r="P3731" t="s">
        <v>35</v>
      </c>
      <c r="Q3731">
        <v>13</v>
      </c>
      <c r="R3731">
        <v>35</v>
      </c>
      <c r="S3731" t="s">
        <v>36</v>
      </c>
    </row>
    <row r="3732" spans="1:19" x14ac:dyDescent="0.3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 t="str">
        <f t="shared" si="58"/>
        <v>31-60 days</v>
      </c>
      <c r="L3732">
        <v>36</v>
      </c>
      <c r="M3732">
        <v>3</v>
      </c>
      <c r="N3732">
        <v>0</v>
      </c>
      <c r="O3732" t="s">
        <v>25</v>
      </c>
      <c r="P3732" t="s">
        <v>50</v>
      </c>
      <c r="Q3732">
        <v>25.2</v>
      </c>
      <c r="R3732">
        <v>31</v>
      </c>
      <c r="S3732" t="s">
        <v>27</v>
      </c>
    </row>
    <row r="3733" spans="1:19" x14ac:dyDescent="0.3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 t="str">
        <f t="shared" si="58"/>
        <v>0-7 days</v>
      </c>
      <c r="L3733">
        <v>7</v>
      </c>
      <c r="M3733">
        <v>2</v>
      </c>
      <c r="N3733">
        <v>0</v>
      </c>
      <c r="O3733" t="s">
        <v>25</v>
      </c>
      <c r="P3733" t="s">
        <v>26</v>
      </c>
      <c r="R3733">
        <v>46</v>
      </c>
      <c r="S3733" t="s">
        <v>27</v>
      </c>
    </row>
    <row r="3734" spans="1:19" x14ac:dyDescent="0.3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 t="str">
        <f t="shared" si="58"/>
        <v>15-30 days</v>
      </c>
      <c r="L3734">
        <v>23</v>
      </c>
      <c r="M3734">
        <v>3</v>
      </c>
      <c r="N3734">
        <v>1</v>
      </c>
      <c r="O3734" t="s">
        <v>54</v>
      </c>
      <c r="P3734" t="s">
        <v>55</v>
      </c>
      <c r="Q3734">
        <v>12</v>
      </c>
      <c r="R3734">
        <v>6</v>
      </c>
      <c r="S3734" t="s">
        <v>71</v>
      </c>
    </row>
    <row r="3735" spans="1:19" x14ac:dyDescent="0.3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 t="str">
        <f t="shared" si="58"/>
        <v>15-30 days</v>
      </c>
      <c r="L3735">
        <v>28</v>
      </c>
      <c r="M3735">
        <v>7</v>
      </c>
      <c r="N3735">
        <v>1</v>
      </c>
      <c r="O3735" t="s">
        <v>25</v>
      </c>
      <c r="P3735" t="s">
        <v>35</v>
      </c>
      <c r="Q3735">
        <v>10.9</v>
      </c>
      <c r="R3735">
        <v>21</v>
      </c>
      <c r="S3735" t="s">
        <v>36</v>
      </c>
    </row>
    <row r="3736" spans="1:19" x14ac:dyDescent="0.3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 t="str">
        <f t="shared" si="58"/>
        <v>31-60 days</v>
      </c>
      <c r="L3736">
        <v>47</v>
      </c>
      <c r="M3736">
        <v>4</v>
      </c>
      <c r="N3736">
        <v>1</v>
      </c>
      <c r="O3736" t="s">
        <v>54</v>
      </c>
      <c r="P3736" t="s">
        <v>55</v>
      </c>
      <c r="Q3736">
        <v>10</v>
      </c>
      <c r="R3736">
        <v>38</v>
      </c>
      <c r="S3736" t="s">
        <v>27</v>
      </c>
    </row>
    <row r="3737" spans="1:19" x14ac:dyDescent="0.3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 t="str">
        <f t="shared" si="58"/>
        <v>31-60 days</v>
      </c>
      <c r="L3737">
        <v>35</v>
      </c>
      <c r="M3737">
        <v>0</v>
      </c>
      <c r="N3737">
        <v>0</v>
      </c>
      <c r="O3737" t="s">
        <v>25</v>
      </c>
      <c r="P3737" t="s">
        <v>26</v>
      </c>
      <c r="Q3737">
        <v>3</v>
      </c>
      <c r="R3737">
        <v>27</v>
      </c>
      <c r="S3737" t="s">
        <v>27</v>
      </c>
    </row>
    <row r="3738" spans="1:19" x14ac:dyDescent="0.3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 t="str">
        <f t="shared" si="58"/>
        <v>15-30 days</v>
      </c>
      <c r="L3738">
        <v>26</v>
      </c>
      <c r="M3738">
        <v>5</v>
      </c>
      <c r="N3738">
        <v>1</v>
      </c>
      <c r="O3738" t="s">
        <v>54</v>
      </c>
      <c r="P3738" t="s">
        <v>55</v>
      </c>
      <c r="Q3738">
        <v>4.8</v>
      </c>
      <c r="R3738">
        <v>22</v>
      </c>
      <c r="S3738" t="s">
        <v>36</v>
      </c>
    </row>
    <row r="3739" spans="1:19" x14ac:dyDescent="0.3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 t="str">
        <f t="shared" si="58"/>
        <v>8-14 days</v>
      </c>
      <c r="L3739">
        <v>8</v>
      </c>
      <c r="M3739">
        <v>1</v>
      </c>
      <c r="N3739">
        <v>0</v>
      </c>
      <c r="O3739" t="s">
        <v>25</v>
      </c>
      <c r="P3739" t="s">
        <v>26</v>
      </c>
      <c r="Q3739">
        <v>3.2</v>
      </c>
      <c r="R3739">
        <v>14</v>
      </c>
      <c r="S3739" t="s">
        <v>36</v>
      </c>
    </row>
    <row r="3740" spans="1:19" x14ac:dyDescent="0.3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 t="str">
        <f t="shared" si="58"/>
        <v>31-60 days</v>
      </c>
      <c r="L3740">
        <v>43</v>
      </c>
      <c r="M3740">
        <v>2</v>
      </c>
      <c r="N3740">
        <v>1</v>
      </c>
      <c r="O3740" t="s">
        <v>54</v>
      </c>
      <c r="P3740" t="s">
        <v>55</v>
      </c>
      <c r="Q3740">
        <v>20.2</v>
      </c>
      <c r="R3740">
        <v>32</v>
      </c>
      <c r="S3740" t="s">
        <v>27</v>
      </c>
    </row>
    <row r="3741" spans="1:19" x14ac:dyDescent="0.3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 t="str">
        <f t="shared" si="58"/>
        <v>15-30 days</v>
      </c>
      <c r="L3741">
        <v>26</v>
      </c>
      <c r="M3741">
        <v>1</v>
      </c>
      <c r="N3741">
        <v>1</v>
      </c>
      <c r="O3741" t="s">
        <v>25</v>
      </c>
      <c r="P3741" t="s">
        <v>26</v>
      </c>
      <c r="Q3741">
        <v>20.399999999999999</v>
      </c>
      <c r="R3741">
        <v>26</v>
      </c>
      <c r="S3741" t="s">
        <v>36</v>
      </c>
    </row>
    <row r="3742" spans="1:19" x14ac:dyDescent="0.3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 t="str">
        <f t="shared" si="58"/>
        <v>0-7 days</v>
      </c>
      <c r="L3742">
        <v>2</v>
      </c>
      <c r="M3742">
        <v>3</v>
      </c>
      <c r="N3742">
        <v>0</v>
      </c>
      <c r="O3742" t="s">
        <v>25</v>
      </c>
      <c r="P3742" t="s">
        <v>35</v>
      </c>
      <c r="Q3742">
        <v>13.1</v>
      </c>
      <c r="R3742">
        <v>20</v>
      </c>
      <c r="S3742" t="s">
        <v>36</v>
      </c>
    </row>
    <row r="3743" spans="1:19" x14ac:dyDescent="0.3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 t="str">
        <f t="shared" si="58"/>
        <v>15-30 days</v>
      </c>
      <c r="L3743">
        <v>17</v>
      </c>
      <c r="M3743">
        <v>0</v>
      </c>
      <c r="N3743">
        <v>0</v>
      </c>
      <c r="O3743" t="s">
        <v>25</v>
      </c>
      <c r="P3743" t="s">
        <v>35</v>
      </c>
      <c r="Q3743">
        <v>15.7</v>
      </c>
      <c r="R3743">
        <v>35</v>
      </c>
      <c r="S3743" t="s">
        <v>27</v>
      </c>
    </row>
    <row r="3744" spans="1:19" x14ac:dyDescent="0.3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 t="str">
        <f t="shared" si="58"/>
        <v>31-60 days</v>
      </c>
      <c r="L3744">
        <v>53</v>
      </c>
      <c r="M3744">
        <v>6</v>
      </c>
      <c r="N3744">
        <v>2</v>
      </c>
      <c r="O3744" t="s">
        <v>25</v>
      </c>
      <c r="P3744" t="s">
        <v>26</v>
      </c>
      <c r="Q3744">
        <v>3.3</v>
      </c>
      <c r="R3744">
        <v>49</v>
      </c>
      <c r="S3744" t="s">
        <v>27</v>
      </c>
    </row>
    <row r="3745" spans="1:19" x14ac:dyDescent="0.3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 t="str">
        <f t="shared" si="58"/>
        <v>0-7 days</v>
      </c>
      <c r="L3745">
        <v>7</v>
      </c>
      <c r="M3745">
        <v>6</v>
      </c>
      <c r="N3745">
        <v>0</v>
      </c>
      <c r="O3745" t="s">
        <v>25</v>
      </c>
      <c r="P3745" t="s">
        <v>35</v>
      </c>
      <c r="Q3745">
        <v>12</v>
      </c>
      <c r="R3745">
        <v>14</v>
      </c>
      <c r="S3745" t="s">
        <v>36</v>
      </c>
    </row>
    <row r="3746" spans="1:19" x14ac:dyDescent="0.3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 t="str">
        <f t="shared" si="58"/>
        <v>15-30 days</v>
      </c>
      <c r="L3746">
        <v>24</v>
      </c>
      <c r="M3746">
        <v>1</v>
      </c>
      <c r="N3746">
        <v>0</v>
      </c>
      <c r="O3746" t="s">
        <v>25</v>
      </c>
      <c r="P3746" t="s">
        <v>35</v>
      </c>
      <c r="Q3746">
        <v>5.5</v>
      </c>
      <c r="R3746">
        <v>30</v>
      </c>
      <c r="S3746" t="s">
        <v>36</v>
      </c>
    </row>
    <row r="3747" spans="1:19" x14ac:dyDescent="0.3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 t="str">
        <f t="shared" si="58"/>
        <v>31-60 days</v>
      </c>
      <c r="L3747">
        <v>31</v>
      </c>
      <c r="M3747">
        <v>4</v>
      </c>
      <c r="N3747">
        <v>0</v>
      </c>
      <c r="O3747" t="s">
        <v>54</v>
      </c>
      <c r="P3747" t="s">
        <v>55</v>
      </c>
      <c r="Q3747">
        <v>4</v>
      </c>
      <c r="R3747">
        <v>26</v>
      </c>
      <c r="S3747" t="s">
        <v>27</v>
      </c>
    </row>
    <row r="3748" spans="1:19" x14ac:dyDescent="0.3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 t="str">
        <f t="shared" si="58"/>
        <v>0-7 days</v>
      </c>
      <c r="L3748">
        <v>5</v>
      </c>
      <c r="M3748">
        <v>0</v>
      </c>
      <c r="N3748">
        <v>0</v>
      </c>
      <c r="O3748" t="s">
        <v>54</v>
      </c>
      <c r="P3748" t="s">
        <v>55</v>
      </c>
      <c r="Q3748">
        <v>15.7</v>
      </c>
      <c r="R3748">
        <v>31</v>
      </c>
      <c r="S3748" t="s">
        <v>36</v>
      </c>
    </row>
    <row r="3749" spans="1:19" x14ac:dyDescent="0.3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 t="str">
        <f t="shared" si="58"/>
        <v>8-14 days</v>
      </c>
      <c r="L3749">
        <v>10</v>
      </c>
      <c r="M3749">
        <v>2</v>
      </c>
      <c r="N3749">
        <v>1</v>
      </c>
      <c r="O3749" t="s">
        <v>54</v>
      </c>
      <c r="P3749" t="s">
        <v>55</v>
      </c>
      <c r="Q3749">
        <v>11.9</v>
      </c>
      <c r="R3749">
        <v>39</v>
      </c>
      <c r="S3749" t="s">
        <v>36</v>
      </c>
    </row>
    <row r="3750" spans="1:19" x14ac:dyDescent="0.3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 t="str">
        <f t="shared" si="58"/>
        <v>31-60 days</v>
      </c>
      <c r="L3750">
        <v>57</v>
      </c>
      <c r="M3750">
        <v>2</v>
      </c>
      <c r="N3750">
        <v>0</v>
      </c>
      <c r="O3750" t="s">
        <v>25</v>
      </c>
      <c r="P3750" t="s">
        <v>26</v>
      </c>
      <c r="Q3750">
        <v>3.5</v>
      </c>
      <c r="R3750">
        <v>40</v>
      </c>
      <c r="S3750" t="s">
        <v>36</v>
      </c>
    </row>
    <row r="3751" spans="1:19" x14ac:dyDescent="0.3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 t="str">
        <f t="shared" si="58"/>
        <v>31-60 days</v>
      </c>
      <c r="L3751">
        <v>36</v>
      </c>
      <c r="M3751">
        <v>3</v>
      </c>
      <c r="N3751">
        <v>1</v>
      </c>
      <c r="O3751" t="s">
        <v>25</v>
      </c>
      <c r="P3751" t="s">
        <v>50</v>
      </c>
      <c r="Q3751">
        <v>19</v>
      </c>
      <c r="R3751">
        <v>19</v>
      </c>
      <c r="S3751" t="s">
        <v>27</v>
      </c>
    </row>
    <row r="3752" spans="1:19" x14ac:dyDescent="0.3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 t="str">
        <f t="shared" si="58"/>
        <v>8-14 days</v>
      </c>
      <c r="L3752">
        <v>12</v>
      </c>
      <c r="M3752">
        <v>5</v>
      </c>
      <c r="N3752">
        <v>1</v>
      </c>
      <c r="O3752" t="s">
        <v>25</v>
      </c>
      <c r="P3752" t="s">
        <v>35</v>
      </c>
      <c r="Q3752">
        <v>8.1</v>
      </c>
      <c r="R3752">
        <v>6</v>
      </c>
      <c r="S3752" t="s">
        <v>36</v>
      </c>
    </row>
    <row r="3753" spans="1:19" x14ac:dyDescent="0.3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 t="str">
        <f t="shared" si="58"/>
        <v>8-14 days</v>
      </c>
      <c r="L3753">
        <v>10</v>
      </c>
      <c r="M3753">
        <v>3</v>
      </c>
      <c r="N3753">
        <v>0</v>
      </c>
      <c r="O3753" t="s">
        <v>54</v>
      </c>
      <c r="P3753" t="s">
        <v>55</v>
      </c>
      <c r="Q3753">
        <v>13.5</v>
      </c>
      <c r="R3753">
        <v>23</v>
      </c>
      <c r="S3753" t="s">
        <v>36</v>
      </c>
    </row>
    <row r="3754" spans="1:19" x14ac:dyDescent="0.3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 t="str">
        <f t="shared" si="58"/>
        <v>15-30 days</v>
      </c>
      <c r="L3754">
        <v>25</v>
      </c>
      <c r="M3754">
        <v>6</v>
      </c>
      <c r="N3754">
        <v>1</v>
      </c>
      <c r="O3754" t="s">
        <v>54</v>
      </c>
      <c r="P3754" t="s">
        <v>55</v>
      </c>
      <c r="Q3754">
        <v>6.1</v>
      </c>
      <c r="R3754">
        <v>23</v>
      </c>
      <c r="S3754" t="s">
        <v>36</v>
      </c>
    </row>
    <row r="3755" spans="1:19" x14ac:dyDescent="0.3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 t="str">
        <f t="shared" si="58"/>
        <v>31-60 days</v>
      </c>
      <c r="L3755">
        <v>44</v>
      </c>
      <c r="M3755">
        <v>3</v>
      </c>
      <c r="N3755">
        <v>1</v>
      </c>
      <c r="O3755" t="s">
        <v>25</v>
      </c>
      <c r="P3755" t="s">
        <v>35</v>
      </c>
      <c r="Q3755">
        <v>10.199999999999999</v>
      </c>
      <c r="R3755">
        <v>2</v>
      </c>
      <c r="S3755" t="s">
        <v>27</v>
      </c>
    </row>
    <row r="3756" spans="1:19" x14ac:dyDescent="0.3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 t="str">
        <f t="shared" si="58"/>
        <v>31-60 days</v>
      </c>
      <c r="L3756">
        <v>44</v>
      </c>
      <c r="M3756">
        <v>2</v>
      </c>
      <c r="N3756">
        <v>1</v>
      </c>
      <c r="O3756" t="s">
        <v>25</v>
      </c>
      <c r="P3756" t="s">
        <v>35</v>
      </c>
      <c r="Q3756">
        <v>14.1</v>
      </c>
      <c r="R3756">
        <v>35</v>
      </c>
      <c r="S3756" t="s">
        <v>36</v>
      </c>
    </row>
    <row r="3757" spans="1:19" x14ac:dyDescent="0.3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 t="str">
        <f t="shared" si="58"/>
        <v>8-14 days</v>
      </c>
      <c r="L3757">
        <v>11</v>
      </c>
      <c r="M3757">
        <v>3</v>
      </c>
      <c r="N3757">
        <v>1</v>
      </c>
      <c r="O3757" t="s">
        <v>25</v>
      </c>
      <c r="P3757" t="s">
        <v>50</v>
      </c>
      <c r="Q3757">
        <v>3.8</v>
      </c>
      <c r="R3757">
        <v>18</v>
      </c>
      <c r="S3757" t="s">
        <v>36</v>
      </c>
    </row>
    <row r="3758" spans="1:19" x14ac:dyDescent="0.3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 t="str">
        <f t="shared" si="58"/>
        <v>31-60 days</v>
      </c>
      <c r="L3758">
        <v>44</v>
      </c>
      <c r="M3758">
        <v>4</v>
      </c>
      <c r="N3758">
        <v>0</v>
      </c>
      <c r="O3758" t="s">
        <v>25</v>
      </c>
      <c r="P3758" t="s">
        <v>26</v>
      </c>
      <c r="Q3758">
        <v>22.3</v>
      </c>
      <c r="R3758">
        <v>23</v>
      </c>
      <c r="S3758" t="s">
        <v>27</v>
      </c>
    </row>
    <row r="3759" spans="1:19" x14ac:dyDescent="0.3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 t="str">
        <f t="shared" si="58"/>
        <v>31-60 days</v>
      </c>
      <c r="L3759">
        <v>54</v>
      </c>
      <c r="M3759">
        <v>4</v>
      </c>
      <c r="N3759">
        <v>0</v>
      </c>
      <c r="O3759" t="s">
        <v>54</v>
      </c>
      <c r="P3759" t="s">
        <v>55</v>
      </c>
      <c r="Q3759">
        <v>13.2</v>
      </c>
      <c r="R3759">
        <v>18</v>
      </c>
      <c r="S3759" t="s">
        <v>36</v>
      </c>
    </row>
    <row r="3760" spans="1:19" x14ac:dyDescent="0.3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 t="str">
        <f t="shared" si="58"/>
        <v>8-14 days</v>
      </c>
      <c r="L3760">
        <v>13</v>
      </c>
      <c r="M3760">
        <v>5</v>
      </c>
      <c r="N3760">
        <v>1</v>
      </c>
      <c r="O3760" t="s">
        <v>25</v>
      </c>
      <c r="P3760" t="s">
        <v>50</v>
      </c>
      <c r="Q3760">
        <v>10.9</v>
      </c>
      <c r="R3760">
        <v>22</v>
      </c>
      <c r="S3760" t="s">
        <v>27</v>
      </c>
    </row>
    <row r="3761" spans="1:19" x14ac:dyDescent="0.3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 t="str">
        <f t="shared" si="58"/>
        <v>0-7 days</v>
      </c>
      <c r="L3761">
        <v>1</v>
      </c>
      <c r="M3761">
        <v>2</v>
      </c>
      <c r="N3761">
        <v>0</v>
      </c>
      <c r="O3761" t="s">
        <v>25</v>
      </c>
      <c r="P3761" t="s">
        <v>26</v>
      </c>
      <c r="Q3761">
        <v>1.2</v>
      </c>
      <c r="R3761">
        <v>38</v>
      </c>
      <c r="S3761" t="s">
        <v>36</v>
      </c>
    </row>
    <row r="3762" spans="1:19" x14ac:dyDescent="0.3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 t="str">
        <f t="shared" si="58"/>
        <v>31-60 days</v>
      </c>
      <c r="L3762">
        <v>58</v>
      </c>
      <c r="M3762">
        <v>4</v>
      </c>
      <c r="N3762">
        <v>0</v>
      </c>
      <c r="O3762" t="s">
        <v>25</v>
      </c>
      <c r="P3762" t="s">
        <v>35</v>
      </c>
      <c r="Q3762">
        <v>8.6</v>
      </c>
      <c r="R3762">
        <v>25</v>
      </c>
      <c r="S3762" t="s">
        <v>27</v>
      </c>
    </row>
    <row r="3763" spans="1:19" x14ac:dyDescent="0.3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 t="str">
        <f t="shared" si="58"/>
        <v>31-60 days</v>
      </c>
      <c r="L3763">
        <v>31</v>
      </c>
      <c r="M3763">
        <v>3</v>
      </c>
      <c r="N3763">
        <v>0</v>
      </c>
      <c r="O3763" t="s">
        <v>25</v>
      </c>
      <c r="P3763" t="s">
        <v>35</v>
      </c>
      <c r="Q3763">
        <v>15.9</v>
      </c>
      <c r="R3763">
        <v>47</v>
      </c>
      <c r="S3763" t="s">
        <v>27</v>
      </c>
    </row>
    <row r="3764" spans="1:19" x14ac:dyDescent="0.3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 t="str">
        <f t="shared" si="58"/>
        <v>31-60 days</v>
      </c>
      <c r="L3764">
        <v>47</v>
      </c>
      <c r="M3764">
        <v>0</v>
      </c>
      <c r="N3764">
        <v>0</v>
      </c>
      <c r="O3764" t="s">
        <v>25</v>
      </c>
      <c r="P3764" t="s">
        <v>35</v>
      </c>
      <c r="Q3764">
        <v>1.5</v>
      </c>
      <c r="R3764">
        <v>31</v>
      </c>
      <c r="S3764" t="s">
        <v>36</v>
      </c>
    </row>
    <row r="3765" spans="1:19" x14ac:dyDescent="0.3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 t="str">
        <f t="shared" si="58"/>
        <v>15-30 days</v>
      </c>
      <c r="L3765">
        <v>19</v>
      </c>
      <c r="M3765">
        <v>4</v>
      </c>
      <c r="N3765">
        <v>2</v>
      </c>
      <c r="O3765" t="s">
        <v>54</v>
      </c>
      <c r="P3765" t="s">
        <v>55</v>
      </c>
      <c r="Q3765">
        <v>20.3</v>
      </c>
      <c r="R3765">
        <v>32</v>
      </c>
      <c r="S3765" t="s">
        <v>27</v>
      </c>
    </row>
    <row r="3766" spans="1:19" x14ac:dyDescent="0.3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 t="str">
        <f t="shared" si="58"/>
        <v>15-30 days</v>
      </c>
      <c r="L3766">
        <v>18</v>
      </c>
      <c r="M3766">
        <v>0</v>
      </c>
      <c r="N3766">
        <v>0</v>
      </c>
      <c r="O3766" t="s">
        <v>25</v>
      </c>
      <c r="P3766" t="s">
        <v>26</v>
      </c>
      <c r="Q3766">
        <v>2.5</v>
      </c>
      <c r="R3766">
        <v>22</v>
      </c>
      <c r="S3766" t="s">
        <v>36</v>
      </c>
    </row>
    <row r="3767" spans="1:19" x14ac:dyDescent="0.3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 t="str">
        <f t="shared" si="58"/>
        <v>8-14 days</v>
      </c>
      <c r="L3767">
        <v>13</v>
      </c>
      <c r="M3767">
        <v>3</v>
      </c>
      <c r="N3767">
        <v>1</v>
      </c>
      <c r="O3767" t="s">
        <v>25</v>
      </c>
      <c r="P3767" t="s">
        <v>35</v>
      </c>
      <c r="Q3767">
        <v>10.1</v>
      </c>
      <c r="R3767">
        <v>23</v>
      </c>
      <c r="S3767" t="s">
        <v>27</v>
      </c>
    </row>
    <row r="3768" spans="1:19" x14ac:dyDescent="0.3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 t="str">
        <f t="shared" si="58"/>
        <v>8-14 days</v>
      </c>
      <c r="L3768">
        <v>13</v>
      </c>
      <c r="M3768">
        <v>6</v>
      </c>
      <c r="N3768">
        <v>1</v>
      </c>
      <c r="O3768" t="s">
        <v>25</v>
      </c>
      <c r="P3768" t="s">
        <v>50</v>
      </c>
      <c r="Q3768">
        <v>23</v>
      </c>
      <c r="R3768">
        <v>35</v>
      </c>
      <c r="S3768" t="s">
        <v>27</v>
      </c>
    </row>
    <row r="3769" spans="1:19" x14ac:dyDescent="0.3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 t="str">
        <f t="shared" si="58"/>
        <v>15-30 days</v>
      </c>
      <c r="L3769">
        <v>28</v>
      </c>
      <c r="M3769">
        <v>1</v>
      </c>
      <c r="N3769">
        <v>0</v>
      </c>
      <c r="O3769" t="s">
        <v>25</v>
      </c>
      <c r="P3769" t="s">
        <v>50</v>
      </c>
      <c r="Q3769">
        <v>11.2</v>
      </c>
      <c r="R3769">
        <v>37</v>
      </c>
      <c r="S3769" t="s">
        <v>27</v>
      </c>
    </row>
    <row r="3770" spans="1:19" x14ac:dyDescent="0.3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 t="str">
        <f t="shared" si="58"/>
        <v>0-7 days</v>
      </c>
      <c r="L3770">
        <v>6</v>
      </c>
      <c r="M3770">
        <v>4</v>
      </c>
      <c r="N3770">
        <v>0</v>
      </c>
      <c r="O3770" t="s">
        <v>25</v>
      </c>
      <c r="P3770" t="s">
        <v>35</v>
      </c>
      <c r="Q3770">
        <v>14.6</v>
      </c>
      <c r="R3770">
        <v>27</v>
      </c>
      <c r="S3770" t="s">
        <v>71</v>
      </c>
    </row>
    <row r="3771" spans="1:19" x14ac:dyDescent="0.3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 t="str">
        <f t="shared" si="58"/>
        <v>31-60 days</v>
      </c>
      <c r="L3771">
        <v>51</v>
      </c>
      <c r="M3771">
        <v>2</v>
      </c>
      <c r="N3771">
        <v>0</v>
      </c>
      <c r="O3771" t="s">
        <v>25</v>
      </c>
      <c r="P3771" t="s">
        <v>35</v>
      </c>
      <c r="Q3771">
        <v>15.7</v>
      </c>
      <c r="R3771">
        <v>30</v>
      </c>
      <c r="S3771" t="s">
        <v>27</v>
      </c>
    </row>
    <row r="3772" spans="1:19" x14ac:dyDescent="0.3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 t="str">
        <f t="shared" si="58"/>
        <v>31-60 days</v>
      </c>
      <c r="L3772">
        <v>31</v>
      </c>
      <c r="M3772">
        <v>2</v>
      </c>
      <c r="N3772">
        <v>0</v>
      </c>
      <c r="O3772" t="s">
        <v>54</v>
      </c>
      <c r="P3772" t="s">
        <v>55</v>
      </c>
      <c r="Q3772">
        <v>12.4</v>
      </c>
      <c r="R3772">
        <v>22</v>
      </c>
      <c r="S3772" t="s">
        <v>36</v>
      </c>
    </row>
    <row r="3773" spans="1:19" x14ac:dyDescent="0.3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 t="str">
        <f t="shared" si="58"/>
        <v>31-60 days</v>
      </c>
      <c r="L3773">
        <v>55</v>
      </c>
      <c r="M3773">
        <v>5</v>
      </c>
      <c r="N3773">
        <v>1</v>
      </c>
      <c r="O3773" t="s">
        <v>25</v>
      </c>
      <c r="P3773" t="s">
        <v>35</v>
      </c>
      <c r="Q3773">
        <v>4.5999999999999996</v>
      </c>
      <c r="R3773">
        <v>26</v>
      </c>
      <c r="S3773" t="s">
        <v>27</v>
      </c>
    </row>
    <row r="3774" spans="1:19" x14ac:dyDescent="0.3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 t="str">
        <f t="shared" si="58"/>
        <v>15-30 days</v>
      </c>
      <c r="L3774">
        <v>30</v>
      </c>
      <c r="M3774">
        <v>1</v>
      </c>
      <c r="N3774">
        <v>0</v>
      </c>
      <c r="O3774" t="s">
        <v>54</v>
      </c>
      <c r="P3774" t="s">
        <v>55</v>
      </c>
      <c r="Q3774">
        <v>7.3</v>
      </c>
      <c r="R3774">
        <v>25</v>
      </c>
      <c r="S3774" t="s">
        <v>27</v>
      </c>
    </row>
    <row r="3775" spans="1:19" x14ac:dyDescent="0.3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 t="str">
        <f t="shared" si="58"/>
        <v>15-30 days</v>
      </c>
      <c r="L3775">
        <v>18</v>
      </c>
      <c r="M3775">
        <v>2</v>
      </c>
      <c r="N3775">
        <v>0</v>
      </c>
      <c r="O3775" t="s">
        <v>25</v>
      </c>
      <c r="P3775" t="s">
        <v>35</v>
      </c>
      <c r="Q3775">
        <v>4.5999999999999996</v>
      </c>
      <c r="R3775">
        <v>24</v>
      </c>
      <c r="S3775" t="s">
        <v>36</v>
      </c>
    </row>
    <row r="3776" spans="1:19" x14ac:dyDescent="0.3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 t="str">
        <f t="shared" si="58"/>
        <v>31-60 days</v>
      </c>
      <c r="L3776">
        <v>31</v>
      </c>
      <c r="M3776">
        <v>5</v>
      </c>
      <c r="N3776">
        <v>0</v>
      </c>
      <c r="O3776" t="s">
        <v>25</v>
      </c>
      <c r="P3776" t="s">
        <v>35</v>
      </c>
      <c r="Q3776">
        <v>21.6</v>
      </c>
      <c r="R3776">
        <v>35</v>
      </c>
      <c r="S3776" t="s">
        <v>36</v>
      </c>
    </row>
    <row r="3777" spans="1:19" x14ac:dyDescent="0.3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 t="str">
        <f t="shared" si="58"/>
        <v>8-14 days</v>
      </c>
      <c r="L3777">
        <v>9</v>
      </c>
      <c r="M3777">
        <v>1</v>
      </c>
      <c r="N3777">
        <v>1</v>
      </c>
      <c r="O3777" t="s">
        <v>54</v>
      </c>
      <c r="P3777" t="s">
        <v>55</v>
      </c>
      <c r="Q3777">
        <v>7.4</v>
      </c>
      <c r="R3777">
        <v>23</v>
      </c>
      <c r="S3777" t="s">
        <v>36</v>
      </c>
    </row>
    <row r="3778" spans="1:19" x14ac:dyDescent="0.3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 t="str">
        <f t="shared" si="58"/>
        <v>31-60 days</v>
      </c>
      <c r="L3778">
        <v>50</v>
      </c>
      <c r="M3778">
        <v>2</v>
      </c>
      <c r="N3778">
        <v>0</v>
      </c>
      <c r="O3778" t="s">
        <v>25</v>
      </c>
      <c r="P3778" t="s">
        <v>35</v>
      </c>
      <c r="Q3778">
        <v>16.7</v>
      </c>
      <c r="R3778">
        <v>17</v>
      </c>
      <c r="S3778" t="s">
        <v>71</v>
      </c>
    </row>
    <row r="3779" spans="1:19" x14ac:dyDescent="0.3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 t="str">
        <f t="shared" ref="K3779:K3842" si="59">IF(L3779&lt;=7,"0-7 days",IF(L3779&lt;=14,"8-14 days",IF(L3779&lt;=30,"15-30 days","31-60 days")))</f>
        <v>31-60 days</v>
      </c>
      <c r="L3779">
        <v>43</v>
      </c>
      <c r="M3779">
        <v>4</v>
      </c>
      <c r="N3779">
        <v>0</v>
      </c>
      <c r="O3779" t="s">
        <v>54</v>
      </c>
      <c r="P3779" t="s">
        <v>55</v>
      </c>
      <c r="Q3779">
        <v>13.5</v>
      </c>
      <c r="R3779">
        <v>21</v>
      </c>
      <c r="S3779" t="s">
        <v>27</v>
      </c>
    </row>
    <row r="3780" spans="1:19" x14ac:dyDescent="0.3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 t="str">
        <f t="shared" si="59"/>
        <v>8-14 days</v>
      </c>
      <c r="L3780">
        <v>8</v>
      </c>
      <c r="M3780">
        <v>2</v>
      </c>
      <c r="N3780">
        <v>0</v>
      </c>
      <c r="O3780" t="s">
        <v>25</v>
      </c>
      <c r="P3780" t="s">
        <v>35</v>
      </c>
      <c r="Q3780">
        <v>9.9</v>
      </c>
      <c r="R3780">
        <v>21</v>
      </c>
      <c r="S3780" t="s">
        <v>27</v>
      </c>
    </row>
    <row r="3781" spans="1:19" x14ac:dyDescent="0.3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 t="str">
        <f t="shared" si="59"/>
        <v>31-60 days</v>
      </c>
      <c r="L3781">
        <v>35</v>
      </c>
      <c r="M3781">
        <v>4</v>
      </c>
      <c r="N3781">
        <v>0</v>
      </c>
      <c r="O3781" t="s">
        <v>25</v>
      </c>
      <c r="P3781" t="s">
        <v>35</v>
      </c>
      <c r="Q3781">
        <v>4.5</v>
      </c>
      <c r="R3781">
        <v>29</v>
      </c>
      <c r="S3781" t="s">
        <v>36</v>
      </c>
    </row>
    <row r="3782" spans="1:19" x14ac:dyDescent="0.3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 t="str">
        <f t="shared" si="59"/>
        <v>31-60 days</v>
      </c>
      <c r="L3782">
        <v>32</v>
      </c>
      <c r="M3782">
        <v>2</v>
      </c>
      <c r="N3782">
        <v>1</v>
      </c>
      <c r="O3782" t="s">
        <v>54</v>
      </c>
      <c r="P3782" t="s">
        <v>55</v>
      </c>
      <c r="Q3782">
        <v>5.3</v>
      </c>
      <c r="R3782">
        <v>18</v>
      </c>
      <c r="S3782" t="s">
        <v>27</v>
      </c>
    </row>
    <row r="3783" spans="1:19" x14ac:dyDescent="0.3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 t="str">
        <f t="shared" si="59"/>
        <v>8-14 days</v>
      </c>
      <c r="L3783">
        <v>12</v>
      </c>
      <c r="M3783">
        <v>1</v>
      </c>
      <c r="N3783">
        <v>0</v>
      </c>
      <c r="O3783" t="s">
        <v>25</v>
      </c>
      <c r="P3783" t="s">
        <v>35</v>
      </c>
      <c r="Q3783">
        <v>5.8</v>
      </c>
      <c r="R3783">
        <v>36</v>
      </c>
      <c r="S3783" t="s">
        <v>36</v>
      </c>
    </row>
    <row r="3784" spans="1:19" x14ac:dyDescent="0.3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 t="str">
        <f t="shared" si="59"/>
        <v>0-7 days</v>
      </c>
      <c r="L3784">
        <v>7</v>
      </c>
      <c r="M3784">
        <v>1</v>
      </c>
      <c r="N3784">
        <v>1</v>
      </c>
      <c r="O3784" t="s">
        <v>25</v>
      </c>
      <c r="P3784" t="s">
        <v>50</v>
      </c>
      <c r="Q3784">
        <v>3.4</v>
      </c>
      <c r="R3784">
        <v>21</v>
      </c>
      <c r="S3784" t="s">
        <v>36</v>
      </c>
    </row>
    <row r="3785" spans="1:19" x14ac:dyDescent="0.3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 t="str">
        <f t="shared" si="59"/>
        <v>31-60 days</v>
      </c>
      <c r="L3785">
        <v>46</v>
      </c>
      <c r="M3785">
        <v>0</v>
      </c>
      <c r="N3785">
        <v>0</v>
      </c>
      <c r="O3785" t="s">
        <v>54</v>
      </c>
      <c r="P3785" t="s">
        <v>55</v>
      </c>
      <c r="Q3785">
        <v>26.7</v>
      </c>
      <c r="R3785">
        <v>41</v>
      </c>
      <c r="S3785" t="s">
        <v>27</v>
      </c>
    </row>
    <row r="3786" spans="1:19" x14ac:dyDescent="0.3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 t="str">
        <f t="shared" si="59"/>
        <v>15-30 days</v>
      </c>
      <c r="L3786">
        <v>16</v>
      </c>
      <c r="M3786">
        <v>2</v>
      </c>
      <c r="N3786">
        <v>0</v>
      </c>
      <c r="O3786" t="s">
        <v>25</v>
      </c>
      <c r="P3786" t="s">
        <v>35</v>
      </c>
      <c r="Q3786">
        <v>12.9</v>
      </c>
      <c r="R3786">
        <v>24</v>
      </c>
      <c r="S3786" t="s">
        <v>36</v>
      </c>
    </row>
    <row r="3787" spans="1:19" x14ac:dyDescent="0.3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 t="str">
        <f t="shared" si="59"/>
        <v>31-60 days</v>
      </c>
      <c r="L3787">
        <v>31</v>
      </c>
      <c r="M3787">
        <v>1</v>
      </c>
      <c r="N3787">
        <v>0</v>
      </c>
      <c r="O3787" t="s">
        <v>54</v>
      </c>
      <c r="P3787" t="s">
        <v>55</v>
      </c>
      <c r="Q3787">
        <v>9.8000000000000007</v>
      </c>
      <c r="R3787">
        <v>30</v>
      </c>
      <c r="S3787" t="s">
        <v>27</v>
      </c>
    </row>
    <row r="3788" spans="1:19" x14ac:dyDescent="0.3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 t="str">
        <f t="shared" si="59"/>
        <v>15-30 days</v>
      </c>
      <c r="L3788">
        <v>15</v>
      </c>
      <c r="M3788">
        <v>1</v>
      </c>
      <c r="N3788">
        <v>0</v>
      </c>
      <c r="O3788" t="s">
        <v>25</v>
      </c>
      <c r="P3788" t="s">
        <v>35</v>
      </c>
      <c r="Q3788">
        <v>1.9</v>
      </c>
      <c r="R3788">
        <v>35</v>
      </c>
      <c r="S3788" t="s">
        <v>36</v>
      </c>
    </row>
    <row r="3789" spans="1:19" x14ac:dyDescent="0.3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 t="str">
        <f t="shared" si="59"/>
        <v>31-60 days</v>
      </c>
      <c r="L3789">
        <v>39</v>
      </c>
      <c r="M3789">
        <v>2</v>
      </c>
      <c r="N3789">
        <v>0</v>
      </c>
      <c r="O3789" t="s">
        <v>54</v>
      </c>
      <c r="P3789" t="s">
        <v>55</v>
      </c>
      <c r="Q3789">
        <v>7.8</v>
      </c>
      <c r="R3789">
        <v>37</v>
      </c>
      <c r="S3789" t="s">
        <v>36</v>
      </c>
    </row>
    <row r="3790" spans="1:19" x14ac:dyDescent="0.3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 t="str">
        <f t="shared" si="59"/>
        <v>0-7 days</v>
      </c>
      <c r="L3790">
        <v>2</v>
      </c>
      <c r="M3790">
        <v>5</v>
      </c>
      <c r="N3790">
        <v>0</v>
      </c>
      <c r="O3790" t="s">
        <v>25</v>
      </c>
      <c r="P3790" t="s">
        <v>50</v>
      </c>
      <c r="Q3790">
        <v>8.1999999999999993</v>
      </c>
      <c r="R3790">
        <v>31</v>
      </c>
      <c r="S3790" t="s">
        <v>36</v>
      </c>
    </row>
    <row r="3791" spans="1:19" x14ac:dyDescent="0.3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 t="str">
        <f t="shared" si="59"/>
        <v>15-30 days</v>
      </c>
      <c r="L3791">
        <v>21</v>
      </c>
      <c r="M3791">
        <v>2</v>
      </c>
      <c r="N3791">
        <v>0</v>
      </c>
      <c r="O3791" t="s">
        <v>25</v>
      </c>
      <c r="P3791" t="s">
        <v>50</v>
      </c>
      <c r="Q3791">
        <v>9.3000000000000007</v>
      </c>
      <c r="R3791">
        <v>53</v>
      </c>
      <c r="S3791" t="s">
        <v>36</v>
      </c>
    </row>
    <row r="3792" spans="1:19" x14ac:dyDescent="0.3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 t="str">
        <f t="shared" si="59"/>
        <v>31-60 days</v>
      </c>
      <c r="L3792">
        <v>33</v>
      </c>
      <c r="M3792">
        <v>4</v>
      </c>
      <c r="N3792">
        <v>1</v>
      </c>
      <c r="O3792" t="s">
        <v>54</v>
      </c>
      <c r="P3792" t="s">
        <v>55</v>
      </c>
      <c r="Q3792">
        <v>9.5</v>
      </c>
      <c r="R3792">
        <v>24</v>
      </c>
      <c r="S3792" t="s">
        <v>36</v>
      </c>
    </row>
    <row r="3793" spans="1:19" x14ac:dyDescent="0.3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 t="str">
        <f t="shared" si="59"/>
        <v>15-30 days</v>
      </c>
      <c r="L3793">
        <v>26</v>
      </c>
      <c r="M3793">
        <v>7</v>
      </c>
      <c r="N3793">
        <v>2</v>
      </c>
      <c r="O3793" t="s">
        <v>54</v>
      </c>
      <c r="P3793" t="s">
        <v>55</v>
      </c>
      <c r="Q3793">
        <v>12.4</v>
      </c>
      <c r="R3793">
        <v>7</v>
      </c>
      <c r="S3793" t="s">
        <v>36</v>
      </c>
    </row>
    <row r="3794" spans="1:19" x14ac:dyDescent="0.3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 t="str">
        <f t="shared" si="59"/>
        <v>31-60 days</v>
      </c>
      <c r="L3794">
        <v>37</v>
      </c>
      <c r="M3794">
        <v>5</v>
      </c>
      <c r="N3794">
        <v>1</v>
      </c>
      <c r="O3794" t="s">
        <v>54</v>
      </c>
      <c r="P3794" t="s">
        <v>55</v>
      </c>
      <c r="Q3794">
        <v>3.2</v>
      </c>
      <c r="R3794">
        <v>24</v>
      </c>
      <c r="S3794" t="s">
        <v>27</v>
      </c>
    </row>
    <row r="3795" spans="1:19" x14ac:dyDescent="0.3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 t="str">
        <f t="shared" si="59"/>
        <v>8-14 days</v>
      </c>
      <c r="L3795">
        <v>11</v>
      </c>
      <c r="M3795">
        <v>6</v>
      </c>
      <c r="N3795">
        <v>1</v>
      </c>
      <c r="O3795" t="s">
        <v>25</v>
      </c>
      <c r="P3795" t="s">
        <v>26</v>
      </c>
      <c r="Q3795">
        <v>6.2</v>
      </c>
      <c r="R3795">
        <v>33</v>
      </c>
      <c r="S3795" t="s">
        <v>27</v>
      </c>
    </row>
    <row r="3796" spans="1:19" x14ac:dyDescent="0.3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 t="str">
        <f t="shared" si="59"/>
        <v>15-30 days</v>
      </c>
      <c r="L3796">
        <v>26</v>
      </c>
      <c r="M3796">
        <v>3</v>
      </c>
      <c r="N3796">
        <v>1</v>
      </c>
      <c r="O3796" t="s">
        <v>25</v>
      </c>
      <c r="P3796" t="s">
        <v>35</v>
      </c>
      <c r="Q3796">
        <v>11.8</v>
      </c>
      <c r="R3796">
        <v>29</v>
      </c>
      <c r="S3796" t="s">
        <v>36</v>
      </c>
    </row>
    <row r="3797" spans="1:19" x14ac:dyDescent="0.3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 t="str">
        <f t="shared" si="59"/>
        <v>31-60 days</v>
      </c>
      <c r="L3797">
        <v>46</v>
      </c>
      <c r="M3797">
        <v>2</v>
      </c>
      <c r="N3797">
        <v>0</v>
      </c>
      <c r="O3797" t="s">
        <v>25</v>
      </c>
      <c r="P3797" t="s">
        <v>35</v>
      </c>
      <c r="Q3797">
        <v>12</v>
      </c>
      <c r="R3797">
        <v>13</v>
      </c>
      <c r="S3797" t="s">
        <v>36</v>
      </c>
    </row>
    <row r="3798" spans="1:19" x14ac:dyDescent="0.3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 t="str">
        <f t="shared" si="59"/>
        <v>15-30 days</v>
      </c>
      <c r="L3798">
        <v>20</v>
      </c>
      <c r="M3798">
        <v>2</v>
      </c>
      <c r="N3798">
        <v>0</v>
      </c>
      <c r="O3798" t="s">
        <v>25</v>
      </c>
      <c r="P3798" t="s">
        <v>35</v>
      </c>
      <c r="Q3798">
        <v>10.1</v>
      </c>
      <c r="R3798">
        <v>20</v>
      </c>
      <c r="S3798" t="s">
        <v>27</v>
      </c>
    </row>
    <row r="3799" spans="1:19" x14ac:dyDescent="0.3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 t="str">
        <f t="shared" si="59"/>
        <v>8-14 days</v>
      </c>
      <c r="L3799">
        <v>9</v>
      </c>
      <c r="M3799">
        <v>3</v>
      </c>
      <c r="N3799">
        <v>2</v>
      </c>
      <c r="O3799" t="s">
        <v>25</v>
      </c>
      <c r="P3799" t="s">
        <v>50</v>
      </c>
      <c r="Q3799">
        <v>14.9</v>
      </c>
      <c r="R3799">
        <v>15</v>
      </c>
      <c r="S3799" t="s">
        <v>71</v>
      </c>
    </row>
    <row r="3800" spans="1:19" x14ac:dyDescent="0.3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 t="str">
        <f t="shared" si="59"/>
        <v>31-60 days</v>
      </c>
      <c r="L3800">
        <v>51</v>
      </c>
      <c r="M3800">
        <v>0</v>
      </c>
      <c r="N3800">
        <v>0</v>
      </c>
      <c r="O3800" t="s">
        <v>25</v>
      </c>
      <c r="P3800" t="s">
        <v>35</v>
      </c>
      <c r="Q3800">
        <v>7.3</v>
      </c>
      <c r="R3800">
        <v>17</v>
      </c>
      <c r="S3800" t="s">
        <v>27</v>
      </c>
    </row>
    <row r="3801" spans="1:19" x14ac:dyDescent="0.3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 t="str">
        <f t="shared" si="59"/>
        <v>31-60 days</v>
      </c>
      <c r="L3801">
        <v>47</v>
      </c>
      <c r="M3801">
        <v>1</v>
      </c>
      <c r="N3801">
        <v>0</v>
      </c>
      <c r="O3801" t="s">
        <v>25</v>
      </c>
      <c r="P3801" t="s">
        <v>50</v>
      </c>
      <c r="Q3801">
        <v>8.6999999999999993</v>
      </c>
      <c r="R3801">
        <v>23</v>
      </c>
      <c r="S3801" t="s">
        <v>36</v>
      </c>
    </row>
    <row r="3802" spans="1:19" x14ac:dyDescent="0.3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 t="str">
        <f t="shared" si="59"/>
        <v>31-60 days</v>
      </c>
      <c r="L3802">
        <v>41</v>
      </c>
      <c r="M3802">
        <v>2</v>
      </c>
      <c r="N3802">
        <v>0</v>
      </c>
      <c r="O3802" t="s">
        <v>54</v>
      </c>
      <c r="P3802" t="s">
        <v>55</v>
      </c>
      <c r="Q3802">
        <v>15</v>
      </c>
      <c r="R3802">
        <v>29</v>
      </c>
      <c r="S3802" t="s">
        <v>27</v>
      </c>
    </row>
    <row r="3803" spans="1:19" x14ac:dyDescent="0.3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 t="str">
        <f t="shared" si="59"/>
        <v>31-60 days</v>
      </c>
      <c r="L3803">
        <v>48</v>
      </c>
      <c r="M3803">
        <v>4</v>
      </c>
      <c r="N3803">
        <v>1</v>
      </c>
      <c r="O3803" t="s">
        <v>25</v>
      </c>
      <c r="P3803" t="s">
        <v>35</v>
      </c>
      <c r="Q3803">
        <v>3.4</v>
      </c>
      <c r="R3803">
        <v>16</v>
      </c>
      <c r="S3803" t="s">
        <v>27</v>
      </c>
    </row>
    <row r="3804" spans="1:19" x14ac:dyDescent="0.3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 t="str">
        <f t="shared" si="59"/>
        <v>31-60 days</v>
      </c>
      <c r="L3804">
        <v>47</v>
      </c>
      <c r="M3804">
        <v>3</v>
      </c>
      <c r="N3804">
        <v>1</v>
      </c>
      <c r="O3804" t="s">
        <v>25</v>
      </c>
      <c r="P3804" t="s">
        <v>50</v>
      </c>
      <c r="Q3804">
        <v>21.9</v>
      </c>
      <c r="R3804">
        <v>17</v>
      </c>
      <c r="S3804" t="s">
        <v>27</v>
      </c>
    </row>
    <row r="3805" spans="1:19" x14ac:dyDescent="0.3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 t="str">
        <f t="shared" si="59"/>
        <v>31-60 days</v>
      </c>
      <c r="L3805">
        <v>45</v>
      </c>
      <c r="M3805">
        <v>4</v>
      </c>
      <c r="N3805">
        <v>0</v>
      </c>
      <c r="O3805" t="s">
        <v>25</v>
      </c>
      <c r="P3805" t="s">
        <v>26</v>
      </c>
      <c r="Q3805">
        <v>13.9</v>
      </c>
      <c r="R3805">
        <v>32</v>
      </c>
      <c r="S3805" t="s">
        <v>36</v>
      </c>
    </row>
    <row r="3806" spans="1:19" x14ac:dyDescent="0.3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 t="str">
        <f t="shared" si="59"/>
        <v>31-60 days</v>
      </c>
      <c r="L3806">
        <v>31</v>
      </c>
      <c r="M3806">
        <v>1</v>
      </c>
      <c r="N3806">
        <v>0</v>
      </c>
      <c r="O3806" t="s">
        <v>25</v>
      </c>
      <c r="P3806" t="s">
        <v>26</v>
      </c>
      <c r="Q3806">
        <v>5.8</v>
      </c>
      <c r="R3806">
        <v>15</v>
      </c>
      <c r="S3806" t="s">
        <v>27</v>
      </c>
    </row>
    <row r="3807" spans="1:19" x14ac:dyDescent="0.3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 t="str">
        <f t="shared" si="59"/>
        <v>0-7 days</v>
      </c>
      <c r="L3807">
        <v>1</v>
      </c>
      <c r="M3807">
        <v>3</v>
      </c>
      <c r="N3807">
        <v>0</v>
      </c>
      <c r="O3807" t="s">
        <v>25</v>
      </c>
      <c r="P3807" t="s">
        <v>35</v>
      </c>
      <c r="Q3807">
        <v>15.4</v>
      </c>
      <c r="R3807">
        <v>14</v>
      </c>
      <c r="S3807" t="s">
        <v>71</v>
      </c>
    </row>
    <row r="3808" spans="1:19" x14ac:dyDescent="0.3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 t="str">
        <f t="shared" si="59"/>
        <v>31-60 days</v>
      </c>
      <c r="L3808">
        <v>36</v>
      </c>
      <c r="M3808">
        <v>4</v>
      </c>
      <c r="N3808">
        <v>1</v>
      </c>
      <c r="O3808" t="s">
        <v>25</v>
      </c>
      <c r="P3808" t="s">
        <v>35</v>
      </c>
      <c r="Q3808">
        <v>3.8</v>
      </c>
      <c r="R3808">
        <v>48</v>
      </c>
      <c r="S3808" t="s">
        <v>27</v>
      </c>
    </row>
    <row r="3809" spans="1:19" x14ac:dyDescent="0.3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 t="str">
        <f t="shared" si="59"/>
        <v>15-30 days</v>
      </c>
      <c r="L3809">
        <v>16</v>
      </c>
      <c r="M3809">
        <v>3</v>
      </c>
      <c r="N3809">
        <v>0</v>
      </c>
      <c r="O3809" t="s">
        <v>25</v>
      </c>
      <c r="P3809" t="s">
        <v>26</v>
      </c>
      <c r="Q3809">
        <v>19.899999999999999</v>
      </c>
      <c r="R3809">
        <v>18</v>
      </c>
      <c r="S3809" t="s">
        <v>27</v>
      </c>
    </row>
    <row r="3810" spans="1:19" x14ac:dyDescent="0.3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 t="str">
        <f t="shared" si="59"/>
        <v>31-60 days</v>
      </c>
      <c r="L3810">
        <v>47</v>
      </c>
      <c r="M3810">
        <v>5</v>
      </c>
      <c r="N3810">
        <v>0</v>
      </c>
      <c r="O3810" t="s">
        <v>54</v>
      </c>
      <c r="P3810" t="s">
        <v>55</v>
      </c>
      <c r="Q3810">
        <v>2</v>
      </c>
      <c r="R3810">
        <v>4</v>
      </c>
      <c r="S3810" t="s">
        <v>27</v>
      </c>
    </row>
    <row r="3811" spans="1:19" x14ac:dyDescent="0.3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 t="str">
        <f t="shared" si="59"/>
        <v>15-30 days</v>
      </c>
      <c r="L3811">
        <v>28</v>
      </c>
      <c r="M3811">
        <v>5</v>
      </c>
      <c r="N3811">
        <v>0</v>
      </c>
      <c r="O3811" t="s">
        <v>25</v>
      </c>
      <c r="P3811" t="s">
        <v>50</v>
      </c>
      <c r="Q3811">
        <v>3.1</v>
      </c>
      <c r="R3811">
        <v>10</v>
      </c>
      <c r="S3811" t="s">
        <v>27</v>
      </c>
    </row>
    <row r="3812" spans="1:19" x14ac:dyDescent="0.3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 t="str">
        <f t="shared" si="59"/>
        <v>31-60 days</v>
      </c>
      <c r="L3812">
        <v>55</v>
      </c>
      <c r="M3812">
        <v>1</v>
      </c>
      <c r="N3812">
        <v>0</v>
      </c>
      <c r="O3812" t="s">
        <v>25</v>
      </c>
      <c r="P3812" t="s">
        <v>35</v>
      </c>
      <c r="Q3812">
        <v>4.9000000000000004</v>
      </c>
      <c r="R3812">
        <v>2</v>
      </c>
      <c r="S3812" t="s">
        <v>27</v>
      </c>
    </row>
    <row r="3813" spans="1:19" x14ac:dyDescent="0.3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 t="str">
        <f t="shared" si="59"/>
        <v>31-60 days</v>
      </c>
      <c r="L3813">
        <v>36</v>
      </c>
      <c r="M3813">
        <v>1</v>
      </c>
      <c r="N3813">
        <v>1</v>
      </c>
      <c r="O3813" t="s">
        <v>25</v>
      </c>
      <c r="P3813" t="s">
        <v>26</v>
      </c>
      <c r="Q3813">
        <v>5.2</v>
      </c>
      <c r="R3813">
        <v>42</v>
      </c>
      <c r="S3813" t="s">
        <v>27</v>
      </c>
    </row>
    <row r="3814" spans="1:19" x14ac:dyDescent="0.3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 t="str">
        <f t="shared" si="59"/>
        <v>31-60 days</v>
      </c>
      <c r="L3814">
        <v>33</v>
      </c>
      <c r="M3814">
        <v>4</v>
      </c>
      <c r="N3814">
        <v>1</v>
      </c>
      <c r="O3814" t="s">
        <v>25</v>
      </c>
      <c r="P3814" t="s">
        <v>26</v>
      </c>
      <c r="Q3814">
        <v>10.7</v>
      </c>
      <c r="R3814">
        <v>23</v>
      </c>
      <c r="S3814" t="s">
        <v>27</v>
      </c>
    </row>
    <row r="3815" spans="1:19" x14ac:dyDescent="0.3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 t="str">
        <f t="shared" si="59"/>
        <v>31-60 days</v>
      </c>
      <c r="L3815">
        <v>56</v>
      </c>
      <c r="M3815">
        <v>5</v>
      </c>
      <c r="N3815">
        <v>0</v>
      </c>
      <c r="O3815" t="s">
        <v>25</v>
      </c>
      <c r="P3815" t="s">
        <v>26</v>
      </c>
      <c r="Q3815">
        <v>14.6</v>
      </c>
      <c r="R3815">
        <v>13</v>
      </c>
      <c r="S3815" t="s">
        <v>71</v>
      </c>
    </row>
    <row r="3816" spans="1:19" x14ac:dyDescent="0.3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 t="str">
        <f t="shared" si="59"/>
        <v>15-30 days</v>
      </c>
      <c r="L3816">
        <v>28</v>
      </c>
      <c r="M3816">
        <v>6</v>
      </c>
      <c r="N3816">
        <v>2</v>
      </c>
      <c r="O3816" t="s">
        <v>25</v>
      </c>
      <c r="P3816" t="s">
        <v>50</v>
      </c>
      <c r="Q3816">
        <v>2.4</v>
      </c>
      <c r="R3816">
        <v>30</v>
      </c>
      <c r="S3816" t="s">
        <v>27</v>
      </c>
    </row>
    <row r="3817" spans="1:19" x14ac:dyDescent="0.3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 t="str">
        <f t="shared" si="59"/>
        <v>15-30 days</v>
      </c>
      <c r="L3817">
        <v>22</v>
      </c>
      <c r="M3817">
        <v>7</v>
      </c>
      <c r="N3817">
        <v>3</v>
      </c>
      <c r="O3817" t="s">
        <v>25</v>
      </c>
      <c r="P3817" t="s">
        <v>35</v>
      </c>
      <c r="Q3817">
        <v>20.7</v>
      </c>
      <c r="R3817">
        <v>43</v>
      </c>
      <c r="S3817" t="s">
        <v>36</v>
      </c>
    </row>
    <row r="3818" spans="1:19" x14ac:dyDescent="0.3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 t="str">
        <f t="shared" si="59"/>
        <v>15-30 days</v>
      </c>
      <c r="L3818">
        <v>22</v>
      </c>
      <c r="M3818">
        <v>7</v>
      </c>
      <c r="N3818">
        <v>0</v>
      </c>
      <c r="O3818" t="s">
        <v>25</v>
      </c>
      <c r="P3818" t="s">
        <v>35</v>
      </c>
      <c r="Q3818">
        <v>12</v>
      </c>
      <c r="R3818">
        <v>22</v>
      </c>
      <c r="S3818" t="s">
        <v>36</v>
      </c>
    </row>
    <row r="3819" spans="1:19" x14ac:dyDescent="0.3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 t="str">
        <f t="shared" si="59"/>
        <v>31-60 days</v>
      </c>
      <c r="L3819">
        <v>53</v>
      </c>
      <c r="M3819">
        <v>4</v>
      </c>
      <c r="N3819">
        <v>0</v>
      </c>
      <c r="O3819" t="s">
        <v>25</v>
      </c>
      <c r="P3819" t="s">
        <v>26</v>
      </c>
      <c r="Q3819">
        <v>26.4</v>
      </c>
      <c r="R3819">
        <v>42</v>
      </c>
      <c r="S3819" t="s">
        <v>27</v>
      </c>
    </row>
    <row r="3820" spans="1:19" x14ac:dyDescent="0.3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 t="str">
        <f t="shared" si="59"/>
        <v>31-60 days</v>
      </c>
      <c r="L3820">
        <v>46</v>
      </c>
      <c r="M3820">
        <v>2</v>
      </c>
      <c r="N3820">
        <v>1</v>
      </c>
      <c r="O3820" t="s">
        <v>25</v>
      </c>
      <c r="P3820" t="s">
        <v>26</v>
      </c>
      <c r="Q3820">
        <v>8.4</v>
      </c>
      <c r="R3820">
        <v>20</v>
      </c>
      <c r="S3820" t="s">
        <v>27</v>
      </c>
    </row>
    <row r="3821" spans="1:19" x14ac:dyDescent="0.3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 t="str">
        <f t="shared" si="59"/>
        <v>8-14 days</v>
      </c>
      <c r="L3821">
        <v>9</v>
      </c>
      <c r="M3821">
        <v>3</v>
      </c>
      <c r="N3821">
        <v>0</v>
      </c>
      <c r="O3821" t="s">
        <v>54</v>
      </c>
      <c r="P3821" t="s">
        <v>55</v>
      </c>
      <c r="Q3821">
        <v>22.1</v>
      </c>
      <c r="R3821">
        <v>11</v>
      </c>
      <c r="S3821" t="s">
        <v>27</v>
      </c>
    </row>
    <row r="3822" spans="1:19" x14ac:dyDescent="0.3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 t="str">
        <f t="shared" si="59"/>
        <v>15-30 days</v>
      </c>
      <c r="L3822">
        <v>30</v>
      </c>
      <c r="M3822">
        <v>2</v>
      </c>
      <c r="N3822">
        <v>0</v>
      </c>
      <c r="O3822" t="s">
        <v>25</v>
      </c>
      <c r="P3822" t="s">
        <v>35</v>
      </c>
      <c r="Q3822">
        <v>27.8</v>
      </c>
      <c r="R3822">
        <v>44</v>
      </c>
      <c r="S3822" t="s">
        <v>36</v>
      </c>
    </row>
    <row r="3823" spans="1:19" x14ac:dyDescent="0.3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 t="str">
        <f t="shared" si="59"/>
        <v>15-30 days</v>
      </c>
      <c r="L3823">
        <v>22</v>
      </c>
      <c r="M3823">
        <v>3</v>
      </c>
      <c r="N3823">
        <v>0</v>
      </c>
      <c r="O3823" t="s">
        <v>25</v>
      </c>
      <c r="P3823" t="s">
        <v>50</v>
      </c>
      <c r="Q3823">
        <v>5.2</v>
      </c>
      <c r="R3823">
        <v>16</v>
      </c>
      <c r="S3823" t="s">
        <v>36</v>
      </c>
    </row>
    <row r="3824" spans="1:19" x14ac:dyDescent="0.3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 t="str">
        <f t="shared" si="59"/>
        <v>31-60 days</v>
      </c>
      <c r="L3824">
        <v>39</v>
      </c>
      <c r="M3824">
        <v>6</v>
      </c>
      <c r="N3824">
        <v>2</v>
      </c>
      <c r="O3824" t="s">
        <v>54</v>
      </c>
      <c r="P3824" t="s">
        <v>55</v>
      </c>
      <c r="Q3824">
        <v>4.8</v>
      </c>
      <c r="R3824">
        <v>18</v>
      </c>
      <c r="S3824" t="s">
        <v>27</v>
      </c>
    </row>
    <row r="3825" spans="1:19" x14ac:dyDescent="0.3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 t="str">
        <f t="shared" si="59"/>
        <v>0-7 days</v>
      </c>
      <c r="L3825">
        <v>3</v>
      </c>
      <c r="M3825">
        <v>2</v>
      </c>
      <c r="N3825">
        <v>0</v>
      </c>
      <c r="O3825" t="s">
        <v>25</v>
      </c>
      <c r="P3825" t="s">
        <v>50</v>
      </c>
      <c r="Q3825">
        <v>7</v>
      </c>
      <c r="R3825">
        <v>35</v>
      </c>
      <c r="S3825" t="s">
        <v>36</v>
      </c>
    </row>
    <row r="3826" spans="1:19" x14ac:dyDescent="0.3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 t="str">
        <f t="shared" si="59"/>
        <v>31-60 days</v>
      </c>
      <c r="L3826">
        <v>43</v>
      </c>
      <c r="M3826">
        <v>2</v>
      </c>
      <c r="N3826">
        <v>0</v>
      </c>
      <c r="O3826" t="s">
        <v>25</v>
      </c>
      <c r="P3826" t="s">
        <v>26</v>
      </c>
      <c r="Q3826">
        <v>6.7</v>
      </c>
      <c r="R3826">
        <v>24</v>
      </c>
      <c r="S3826" t="s">
        <v>36</v>
      </c>
    </row>
    <row r="3827" spans="1:19" x14ac:dyDescent="0.3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 t="str">
        <f t="shared" si="59"/>
        <v>31-60 days</v>
      </c>
      <c r="L3827">
        <v>45</v>
      </c>
      <c r="M3827">
        <v>2</v>
      </c>
      <c r="N3827">
        <v>1</v>
      </c>
      <c r="O3827" t="s">
        <v>54</v>
      </c>
      <c r="P3827" t="s">
        <v>55</v>
      </c>
      <c r="Q3827">
        <v>10.5</v>
      </c>
      <c r="R3827">
        <v>23</v>
      </c>
      <c r="S3827" t="s">
        <v>27</v>
      </c>
    </row>
    <row r="3828" spans="1:19" x14ac:dyDescent="0.3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 t="str">
        <f t="shared" si="59"/>
        <v>8-14 days</v>
      </c>
      <c r="L3828">
        <v>13</v>
      </c>
      <c r="M3828">
        <v>4</v>
      </c>
      <c r="N3828">
        <v>2</v>
      </c>
      <c r="O3828" t="s">
        <v>25</v>
      </c>
      <c r="P3828" t="s">
        <v>35</v>
      </c>
      <c r="Q3828">
        <v>6.8</v>
      </c>
      <c r="R3828">
        <v>21</v>
      </c>
      <c r="S3828" t="s">
        <v>27</v>
      </c>
    </row>
    <row r="3829" spans="1:19" x14ac:dyDescent="0.3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 t="str">
        <f t="shared" si="59"/>
        <v>8-14 days</v>
      </c>
      <c r="L3829">
        <v>9</v>
      </c>
      <c r="M3829">
        <v>1</v>
      </c>
      <c r="N3829">
        <v>0</v>
      </c>
      <c r="O3829" t="s">
        <v>25</v>
      </c>
      <c r="P3829" t="s">
        <v>26</v>
      </c>
      <c r="Q3829">
        <v>15.3</v>
      </c>
      <c r="R3829">
        <v>17</v>
      </c>
      <c r="S3829" t="s">
        <v>36</v>
      </c>
    </row>
    <row r="3830" spans="1:19" x14ac:dyDescent="0.3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 t="str">
        <f t="shared" si="59"/>
        <v>31-60 days</v>
      </c>
      <c r="L3830">
        <v>38</v>
      </c>
      <c r="M3830">
        <v>5</v>
      </c>
      <c r="N3830">
        <v>0</v>
      </c>
      <c r="O3830" t="s">
        <v>25</v>
      </c>
      <c r="P3830" t="s">
        <v>35</v>
      </c>
      <c r="Q3830">
        <v>12.8</v>
      </c>
      <c r="R3830">
        <v>26</v>
      </c>
      <c r="S3830" t="s">
        <v>36</v>
      </c>
    </row>
    <row r="3831" spans="1:19" x14ac:dyDescent="0.3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 t="str">
        <f t="shared" si="59"/>
        <v>15-30 days</v>
      </c>
      <c r="L3831">
        <v>15</v>
      </c>
      <c r="M3831">
        <v>3</v>
      </c>
      <c r="N3831">
        <v>1</v>
      </c>
      <c r="O3831" t="s">
        <v>25</v>
      </c>
      <c r="P3831" t="s">
        <v>26</v>
      </c>
      <c r="Q3831">
        <v>4.9000000000000004</v>
      </c>
      <c r="R3831">
        <v>29</v>
      </c>
      <c r="S3831" t="s">
        <v>36</v>
      </c>
    </row>
    <row r="3832" spans="1:19" x14ac:dyDescent="0.3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 t="str">
        <f t="shared" si="59"/>
        <v>31-60 days</v>
      </c>
      <c r="L3832">
        <v>57</v>
      </c>
      <c r="M3832">
        <v>4</v>
      </c>
      <c r="N3832">
        <v>0</v>
      </c>
      <c r="O3832" t="s">
        <v>25</v>
      </c>
      <c r="P3832" t="s">
        <v>35</v>
      </c>
      <c r="R3832">
        <v>22</v>
      </c>
      <c r="S3832" t="s">
        <v>36</v>
      </c>
    </row>
    <row r="3833" spans="1:19" x14ac:dyDescent="0.3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 t="str">
        <f t="shared" si="59"/>
        <v>31-60 days</v>
      </c>
      <c r="L3833">
        <v>47</v>
      </c>
      <c r="M3833">
        <v>0</v>
      </c>
      <c r="N3833">
        <v>0</v>
      </c>
      <c r="O3833" t="s">
        <v>54</v>
      </c>
      <c r="P3833" t="s">
        <v>55</v>
      </c>
      <c r="Q3833">
        <v>15.9</v>
      </c>
      <c r="R3833">
        <v>30</v>
      </c>
      <c r="S3833" t="s">
        <v>71</v>
      </c>
    </row>
    <row r="3834" spans="1:19" x14ac:dyDescent="0.3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 t="str">
        <f t="shared" si="59"/>
        <v>31-60 days</v>
      </c>
      <c r="L3834">
        <v>58</v>
      </c>
      <c r="M3834">
        <v>2</v>
      </c>
      <c r="N3834">
        <v>0</v>
      </c>
      <c r="O3834" t="s">
        <v>25</v>
      </c>
      <c r="P3834" t="s">
        <v>35</v>
      </c>
      <c r="Q3834">
        <v>11.3</v>
      </c>
      <c r="R3834">
        <v>29</v>
      </c>
      <c r="S3834" t="s">
        <v>36</v>
      </c>
    </row>
    <row r="3835" spans="1:19" x14ac:dyDescent="0.3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 t="str">
        <f t="shared" si="59"/>
        <v>31-60 days</v>
      </c>
      <c r="L3835">
        <v>32</v>
      </c>
      <c r="M3835">
        <v>5</v>
      </c>
      <c r="N3835">
        <v>2</v>
      </c>
      <c r="O3835" t="s">
        <v>54</v>
      </c>
      <c r="P3835" t="s">
        <v>55</v>
      </c>
      <c r="Q3835">
        <v>13.3</v>
      </c>
      <c r="R3835">
        <v>28</v>
      </c>
      <c r="S3835" t="s">
        <v>27</v>
      </c>
    </row>
    <row r="3836" spans="1:19" x14ac:dyDescent="0.3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 t="str">
        <f t="shared" si="59"/>
        <v>31-60 days</v>
      </c>
      <c r="L3836">
        <v>57</v>
      </c>
      <c r="M3836">
        <v>2</v>
      </c>
      <c r="N3836">
        <v>0</v>
      </c>
      <c r="O3836" t="s">
        <v>25</v>
      </c>
      <c r="P3836" t="s">
        <v>26</v>
      </c>
      <c r="Q3836">
        <v>4.8</v>
      </c>
      <c r="R3836">
        <v>21</v>
      </c>
      <c r="S3836" t="s">
        <v>27</v>
      </c>
    </row>
    <row r="3837" spans="1:19" x14ac:dyDescent="0.3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 t="str">
        <f t="shared" si="59"/>
        <v>0-7 days</v>
      </c>
      <c r="L3837">
        <v>0</v>
      </c>
      <c r="M3837">
        <v>7</v>
      </c>
      <c r="N3837">
        <v>1</v>
      </c>
      <c r="O3837" t="s">
        <v>25</v>
      </c>
      <c r="P3837" t="s">
        <v>50</v>
      </c>
      <c r="Q3837">
        <v>9.1</v>
      </c>
      <c r="R3837">
        <v>20</v>
      </c>
      <c r="S3837" t="s">
        <v>36</v>
      </c>
    </row>
    <row r="3838" spans="1:19" x14ac:dyDescent="0.3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 t="str">
        <f t="shared" si="59"/>
        <v>15-30 days</v>
      </c>
      <c r="L3838">
        <v>17</v>
      </c>
      <c r="M3838">
        <v>2</v>
      </c>
      <c r="N3838">
        <v>0</v>
      </c>
      <c r="O3838" t="s">
        <v>25</v>
      </c>
      <c r="P3838" t="s">
        <v>35</v>
      </c>
      <c r="Q3838">
        <v>3.6</v>
      </c>
      <c r="R3838">
        <v>28</v>
      </c>
      <c r="S3838" t="s">
        <v>36</v>
      </c>
    </row>
    <row r="3839" spans="1:19" x14ac:dyDescent="0.3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 t="str">
        <f t="shared" si="59"/>
        <v>0-7 days</v>
      </c>
      <c r="L3839">
        <v>0</v>
      </c>
      <c r="M3839">
        <v>2</v>
      </c>
      <c r="N3839">
        <v>0</v>
      </c>
      <c r="O3839" t="s">
        <v>25</v>
      </c>
      <c r="P3839" t="s">
        <v>35</v>
      </c>
      <c r="Q3839">
        <v>9.8000000000000007</v>
      </c>
      <c r="R3839">
        <v>11</v>
      </c>
      <c r="S3839" t="s">
        <v>71</v>
      </c>
    </row>
    <row r="3840" spans="1:19" x14ac:dyDescent="0.3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 t="str">
        <f t="shared" si="59"/>
        <v>31-60 days</v>
      </c>
      <c r="L3840">
        <v>41</v>
      </c>
      <c r="M3840">
        <v>0</v>
      </c>
      <c r="N3840">
        <v>0</v>
      </c>
      <c r="O3840" t="s">
        <v>25</v>
      </c>
      <c r="P3840" t="s">
        <v>26</v>
      </c>
      <c r="Q3840">
        <v>8</v>
      </c>
      <c r="R3840">
        <v>56</v>
      </c>
      <c r="S3840" t="s">
        <v>36</v>
      </c>
    </row>
    <row r="3841" spans="1:19" x14ac:dyDescent="0.3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 t="str">
        <f t="shared" si="59"/>
        <v>31-60 days</v>
      </c>
      <c r="L3841">
        <v>31</v>
      </c>
      <c r="M3841">
        <v>4</v>
      </c>
      <c r="N3841">
        <v>1</v>
      </c>
      <c r="O3841" t="s">
        <v>25</v>
      </c>
      <c r="P3841" t="s">
        <v>35</v>
      </c>
      <c r="Q3841">
        <v>10.3</v>
      </c>
      <c r="R3841">
        <v>2</v>
      </c>
      <c r="S3841" t="s">
        <v>36</v>
      </c>
    </row>
    <row r="3842" spans="1:19" x14ac:dyDescent="0.3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 t="str">
        <f t="shared" si="59"/>
        <v>15-30 days</v>
      </c>
      <c r="L3842">
        <v>17</v>
      </c>
      <c r="M3842">
        <v>2</v>
      </c>
      <c r="N3842">
        <v>1</v>
      </c>
      <c r="O3842" t="s">
        <v>54</v>
      </c>
      <c r="P3842" t="s">
        <v>55</v>
      </c>
      <c r="Q3842">
        <v>4.5</v>
      </c>
      <c r="R3842">
        <v>18</v>
      </c>
      <c r="S3842" t="s">
        <v>36</v>
      </c>
    </row>
    <row r="3843" spans="1:19" x14ac:dyDescent="0.3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 t="str">
        <f t="shared" ref="K3843:K3906" si="60">IF(L3843&lt;=7,"0-7 days",IF(L3843&lt;=14,"8-14 days",IF(L3843&lt;=30,"15-30 days","31-60 days")))</f>
        <v>15-30 days</v>
      </c>
      <c r="L3843">
        <v>18</v>
      </c>
      <c r="M3843">
        <v>1</v>
      </c>
      <c r="N3843">
        <v>0</v>
      </c>
      <c r="O3843" t="s">
        <v>54</v>
      </c>
      <c r="P3843" t="s">
        <v>55</v>
      </c>
      <c r="Q3843">
        <v>12</v>
      </c>
      <c r="R3843">
        <v>30</v>
      </c>
      <c r="S3843" t="s">
        <v>71</v>
      </c>
    </row>
    <row r="3844" spans="1:19" x14ac:dyDescent="0.3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 t="str">
        <f t="shared" si="60"/>
        <v>31-60 days</v>
      </c>
      <c r="L3844">
        <v>39</v>
      </c>
      <c r="M3844">
        <v>5</v>
      </c>
      <c r="N3844">
        <v>1</v>
      </c>
      <c r="O3844" t="s">
        <v>25</v>
      </c>
      <c r="P3844" t="s">
        <v>35</v>
      </c>
      <c r="Q3844">
        <v>16.2</v>
      </c>
      <c r="R3844">
        <v>32</v>
      </c>
      <c r="S3844" t="s">
        <v>36</v>
      </c>
    </row>
    <row r="3845" spans="1:19" x14ac:dyDescent="0.3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 t="str">
        <f t="shared" si="60"/>
        <v>8-14 days</v>
      </c>
      <c r="L3845">
        <v>10</v>
      </c>
      <c r="M3845">
        <v>3</v>
      </c>
      <c r="N3845">
        <v>1</v>
      </c>
      <c r="O3845" t="s">
        <v>25</v>
      </c>
      <c r="P3845" t="s">
        <v>35</v>
      </c>
      <c r="Q3845">
        <v>1.3</v>
      </c>
      <c r="R3845">
        <v>15</v>
      </c>
      <c r="S3845" t="s">
        <v>36</v>
      </c>
    </row>
    <row r="3846" spans="1:19" x14ac:dyDescent="0.3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 t="str">
        <f t="shared" si="60"/>
        <v>31-60 days</v>
      </c>
      <c r="L3846">
        <v>31</v>
      </c>
      <c r="M3846">
        <v>4</v>
      </c>
      <c r="N3846">
        <v>0</v>
      </c>
      <c r="O3846" t="s">
        <v>54</v>
      </c>
      <c r="P3846" t="s">
        <v>55</v>
      </c>
      <c r="Q3846">
        <v>2.9</v>
      </c>
      <c r="R3846">
        <v>17</v>
      </c>
      <c r="S3846" t="s">
        <v>71</v>
      </c>
    </row>
    <row r="3847" spans="1:19" x14ac:dyDescent="0.3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 t="str">
        <f t="shared" si="60"/>
        <v>31-60 days</v>
      </c>
      <c r="L3847">
        <v>37</v>
      </c>
      <c r="M3847">
        <v>3</v>
      </c>
      <c r="N3847">
        <v>1</v>
      </c>
      <c r="O3847" t="s">
        <v>25</v>
      </c>
      <c r="P3847" t="s">
        <v>35</v>
      </c>
      <c r="Q3847">
        <v>5.2</v>
      </c>
      <c r="R3847">
        <v>25</v>
      </c>
      <c r="S3847" t="s">
        <v>36</v>
      </c>
    </row>
    <row r="3848" spans="1:19" x14ac:dyDescent="0.3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 t="str">
        <f t="shared" si="60"/>
        <v>8-14 days</v>
      </c>
      <c r="L3848">
        <v>14</v>
      </c>
      <c r="M3848">
        <v>4</v>
      </c>
      <c r="N3848">
        <v>1</v>
      </c>
      <c r="O3848" t="s">
        <v>54</v>
      </c>
      <c r="P3848" t="s">
        <v>55</v>
      </c>
      <c r="Q3848">
        <v>7</v>
      </c>
      <c r="R3848">
        <v>9</v>
      </c>
      <c r="S3848" t="s">
        <v>27</v>
      </c>
    </row>
    <row r="3849" spans="1:19" x14ac:dyDescent="0.3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 t="str">
        <f t="shared" si="60"/>
        <v>8-14 days</v>
      </c>
      <c r="L3849">
        <v>13</v>
      </c>
      <c r="M3849">
        <v>3</v>
      </c>
      <c r="N3849">
        <v>0</v>
      </c>
      <c r="O3849" t="s">
        <v>25</v>
      </c>
      <c r="P3849" t="s">
        <v>35</v>
      </c>
      <c r="Q3849">
        <v>5.9</v>
      </c>
      <c r="R3849">
        <v>11</v>
      </c>
      <c r="S3849" t="s">
        <v>36</v>
      </c>
    </row>
    <row r="3850" spans="1:19" x14ac:dyDescent="0.3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 t="str">
        <f t="shared" si="60"/>
        <v>15-30 days</v>
      </c>
      <c r="L3850">
        <v>21</v>
      </c>
      <c r="M3850">
        <v>3</v>
      </c>
      <c r="N3850">
        <v>1</v>
      </c>
      <c r="O3850" t="s">
        <v>25</v>
      </c>
      <c r="P3850" t="s">
        <v>35</v>
      </c>
      <c r="Q3850">
        <v>3.4</v>
      </c>
      <c r="R3850">
        <v>34</v>
      </c>
      <c r="S3850" t="s">
        <v>71</v>
      </c>
    </row>
    <row r="3851" spans="1:19" x14ac:dyDescent="0.3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 t="str">
        <f t="shared" si="60"/>
        <v>31-60 days</v>
      </c>
      <c r="L3851">
        <v>36</v>
      </c>
      <c r="M3851">
        <v>3</v>
      </c>
      <c r="N3851">
        <v>2</v>
      </c>
      <c r="O3851" t="s">
        <v>25</v>
      </c>
      <c r="P3851" t="s">
        <v>26</v>
      </c>
      <c r="Q3851">
        <v>10.3</v>
      </c>
      <c r="R3851">
        <v>33</v>
      </c>
      <c r="S3851" t="s">
        <v>36</v>
      </c>
    </row>
    <row r="3852" spans="1:19" x14ac:dyDescent="0.3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 t="str">
        <f t="shared" si="60"/>
        <v>15-30 days</v>
      </c>
      <c r="L3852">
        <v>15</v>
      </c>
      <c r="M3852">
        <v>3</v>
      </c>
      <c r="N3852">
        <v>0</v>
      </c>
      <c r="O3852" t="s">
        <v>25</v>
      </c>
      <c r="P3852" t="s">
        <v>35</v>
      </c>
      <c r="Q3852">
        <v>10</v>
      </c>
      <c r="R3852">
        <v>24</v>
      </c>
      <c r="S3852" t="s">
        <v>36</v>
      </c>
    </row>
    <row r="3853" spans="1:19" x14ac:dyDescent="0.3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 t="str">
        <f t="shared" si="60"/>
        <v>15-30 days</v>
      </c>
      <c r="L3853">
        <v>23</v>
      </c>
      <c r="M3853">
        <v>2</v>
      </c>
      <c r="N3853">
        <v>0</v>
      </c>
      <c r="O3853" t="s">
        <v>54</v>
      </c>
      <c r="P3853" t="s">
        <v>55</v>
      </c>
      <c r="Q3853">
        <v>5.9</v>
      </c>
      <c r="R3853">
        <v>32</v>
      </c>
      <c r="S3853" t="s">
        <v>36</v>
      </c>
    </row>
    <row r="3854" spans="1:19" x14ac:dyDescent="0.3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 t="str">
        <f t="shared" si="60"/>
        <v>31-60 days</v>
      </c>
      <c r="L3854">
        <v>33</v>
      </c>
      <c r="M3854">
        <v>3</v>
      </c>
      <c r="N3854">
        <v>0</v>
      </c>
      <c r="O3854" t="s">
        <v>25</v>
      </c>
      <c r="P3854" t="s">
        <v>35</v>
      </c>
      <c r="Q3854">
        <v>11.4</v>
      </c>
      <c r="R3854">
        <v>25</v>
      </c>
      <c r="S3854" t="s">
        <v>27</v>
      </c>
    </row>
    <row r="3855" spans="1:19" x14ac:dyDescent="0.3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 t="str">
        <f t="shared" si="60"/>
        <v>8-14 days</v>
      </c>
      <c r="L3855">
        <v>11</v>
      </c>
      <c r="M3855">
        <v>1</v>
      </c>
      <c r="N3855">
        <v>0</v>
      </c>
      <c r="O3855" t="s">
        <v>54</v>
      </c>
      <c r="P3855" t="s">
        <v>55</v>
      </c>
      <c r="Q3855">
        <v>7.8</v>
      </c>
      <c r="R3855">
        <v>15</v>
      </c>
      <c r="S3855" t="s">
        <v>36</v>
      </c>
    </row>
    <row r="3856" spans="1:19" x14ac:dyDescent="0.3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 t="str">
        <f t="shared" si="60"/>
        <v>31-60 days</v>
      </c>
      <c r="L3856">
        <v>34</v>
      </c>
      <c r="M3856">
        <v>1</v>
      </c>
      <c r="N3856">
        <v>0</v>
      </c>
      <c r="O3856" t="s">
        <v>25</v>
      </c>
      <c r="P3856" t="s">
        <v>35</v>
      </c>
      <c r="Q3856">
        <v>22.7</v>
      </c>
      <c r="R3856">
        <v>11</v>
      </c>
      <c r="S3856" t="s">
        <v>36</v>
      </c>
    </row>
    <row r="3857" spans="1:19" x14ac:dyDescent="0.3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 t="str">
        <f t="shared" si="60"/>
        <v>8-14 days</v>
      </c>
      <c r="L3857">
        <v>8</v>
      </c>
      <c r="M3857">
        <v>3</v>
      </c>
      <c r="N3857">
        <v>0</v>
      </c>
      <c r="O3857" t="s">
        <v>25</v>
      </c>
      <c r="P3857" t="s">
        <v>26</v>
      </c>
      <c r="Q3857">
        <v>2.5</v>
      </c>
      <c r="R3857">
        <v>31</v>
      </c>
      <c r="S3857" t="s">
        <v>36</v>
      </c>
    </row>
    <row r="3858" spans="1:19" x14ac:dyDescent="0.3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 t="str">
        <f t="shared" si="60"/>
        <v>8-14 days</v>
      </c>
      <c r="L3858">
        <v>8</v>
      </c>
      <c r="M3858">
        <v>3</v>
      </c>
      <c r="N3858">
        <v>0</v>
      </c>
      <c r="O3858" t="s">
        <v>25</v>
      </c>
      <c r="P3858" t="s">
        <v>35</v>
      </c>
      <c r="Q3858">
        <v>4.5999999999999996</v>
      </c>
      <c r="R3858">
        <v>17</v>
      </c>
      <c r="S3858" t="s">
        <v>27</v>
      </c>
    </row>
    <row r="3859" spans="1:19" x14ac:dyDescent="0.3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 t="str">
        <f t="shared" si="60"/>
        <v>8-14 days</v>
      </c>
      <c r="L3859">
        <v>14</v>
      </c>
      <c r="M3859">
        <v>2</v>
      </c>
      <c r="N3859">
        <v>1</v>
      </c>
      <c r="O3859" t="s">
        <v>25</v>
      </c>
      <c r="P3859" t="s">
        <v>35</v>
      </c>
      <c r="Q3859">
        <v>7.3</v>
      </c>
      <c r="R3859">
        <v>33</v>
      </c>
      <c r="S3859" t="s">
        <v>27</v>
      </c>
    </row>
    <row r="3860" spans="1:19" x14ac:dyDescent="0.3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 t="str">
        <f t="shared" si="60"/>
        <v>15-30 days</v>
      </c>
      <c r="L3860">
        <v>17</v>
      </c>
      <c r="M3860">
        <v>1</v>
      </c>
      <c r="N3860">
        <v>0</v>
      </c>
      <c r="O3860" t="s">
        <v>54</v>
      </c>
      <c r="P3860" t="s">
        <v>55</v>
      </c>
      <c r="Q3860">
        <v>16.7</v>
      </c>
      <c r="R3860">
        <v>21</v>
      </c>
      <c r="S3860" t="s">
        <v>27</v>
      </c>
    </row>
    <row r="3861" spans="1:19" x14ac:dyDescent="0.3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 t="str">
        <f t="shared" si="60"/>
        <v>0-7 days</v>
      </c>
      <c r="L3861">
        <v>1</v>
      </c>
      <c r="M3861">
        <v>0</v>
      </c>
      <c r="N3861">
        <v>0</v>
      </c>
      <c r="O3861" t="s">
        <v>25</v>
      </c>
      <c r="P3861" t="s">
        <v>35</v>
      </c>
      <c r="Q3861">
        <v>13.9</v>
      </c>
      <c r="R3861">
        <v>38</v>
      </c>
      <c r="S3861" t="s">
        <v>36</v>
      </c>
    </row>
    <row r="3862" spans="1:19" x14ac:dyDescent="0.3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 t="str">
        <f t="shared" si="60"/>
        <v>31-60 days</v>
      </c>
      <c r="L3862">
        <v>58</v>
      </c>
      <c r="M3862">
        <v>2</v>
      </c>
      <c r="N3862">
        <v>0</v>
      </c>
      <c r="O3862" t="s">
        <v>25</v>
      </c>
      <c r="P3862" t="s">
        <v>26</v>
      </c>
      <c r="Q3862">
        <v>12</v>
      </c>
      <c r="R3862">
        <v>13</v>
      </c>
      <c r="S3862" t="s">
        <v>71</v>
      </c>
    </row>
    <row r="3863" spans="1:19" x14ac:dyDescent="0.3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 t="str">
        <f t="shared" si="60"/>
        <v>15-30 days</v>
      </c>
      <c r="L3863">
        <v>18</v>
      </c>
      <c r="M3863">
        <v>4</v>
      </c>
      <c r="N3863">
        <v>0</v>
      </c>
      <c r="O3863" t="s">
        <v>25</v>
      </c>
      <c r="P3863" t="s">
        <v>35</v>
      </c>
      <c r="Q3863">
        <v>3</v>
      </c>
      <c r="R3863">
        <v>11</v>
      </c>
      <c r="S3863" t="s">
        <v>36</v>
      </c>
    </row>
    <row r="3864" spans="1:19" x14ac:dyDescent="0.3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 t="str">
        <f t="shared" si="60"/>
        <v>31-60 days</v>
      </c>
      <c r="L3864">
        <v>49</v>
      </c>
      <c r="M3864">
        <v>2</v>
      </c>
      <c r="N3864">
        <v>0</v>
      </c>
      <c r="O3864" t="s">
        <v>25</v>
      </c>
      <c r="P3864" t="s">
        <v>26</v>
      </c>
      <c r="Q3864">
        <v>5.4</v>
      </c>
      <c r="R3864">
        <v>26</v>
      </c>
      <c r="S3864" t="s">
        <v>36</v>
      </c>
    </row>
    <row r="3865" spans="1:19" x14ac:dyDescent="0.3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 t="str">
        <f t="shared" si="60"/>
        <v>31-60 days</v>
      </c>
      <c r="L3865">
        <v>55</v>
      </c>
      <c r="M3865">
        <v>3</v>
      </c>
      <c r="N3865">
        <v>1</v>
      </c>
      <c r="O3865" t="s">
        <v>25</v>
      </c>
      <c r="P3865" t="s">
        <v>50</v>
      </c>
      <c r="Q3865">
        <v>7.8</v>
      </c>
      <c r="R3865">
        <v>20</v>
      </c>
      <c r="S3865" t="s">
        <v>27</v>
      </c>
    </row>
    <row r="3866" spans="1:19" x14ac:dyDescent="0.3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 t="str">
        <f t="shared" si="60"/>
        <v>31-60 days</v>
      </c>
      <c r="L3866">
        <v>48</v>
      </c>
      <c r="M3866">
        <v>2</v>
      </c>
      <c r="N3866">
        <v>0</v>
      </c>
      <c r="O3866" t="s">
        <v>25</v>
      </c>
      <c r="P3866" t="s">
        <v>35</v>
      </c>
      <c r="Q3866">
        <v>15.3</v>
      </c>
      <c r="R3866">
        <v>26</v>
      </c>
      <c r="S3866" t="s">
        <v>27</v>
      </c>
    </row>
    <row r="3867" spans="1:19" x14ac:dyDescent="0.3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 t="str">
        <f t="shared" si="60"/>
        <v>31-60 days</v>
      </c>
      <c r="L3867">
        <v>50</v>
      </c>
      <c r="M3867">
        <v>4</v>
      </c>
      <c r="N3867">
        <v>1</v>
      </c>
      <c r="O3867" t="s">
        <v>54</v>
      </c>
      <c r="P3867" t="s">
        <v>55</v>
      </c>
      <c r="Q3867">
        <v>8.1999999999999993</v>
      </c>
      <c r="R3867">
        <v>23</v>
      </c>
      <c r="S3867" t="s">
        <v>36</v>
      </c>
    </row>
    <row r="3868" spans="1:19" x14ac:dyDescent="0.3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 t="str">
        <f t="shared" si="60"/>
        <v>0-7 days</v>
      </c>
      <c r="L3868">
        <v>6</v>
      </c>
      <c r="M3868">
        <v>1</v>
      </c>
      <c r="N3868">
        <v>0</v>
      </c>
      <c r="O3868" t="s">
        <v>54</v>
      </c>
      <c r="P3868" t="s">
        <v>55</v>
      </c>
      <c r="Q3868">
        <v>12.7</v>
      </c>
      <c r="R3868">
        <v>18</v>
      </c>
      <c r="S3868" t="s">
        <v>36</v>
      </c>
    </row>
    <row r="3869" spans="1:19" x14ac:dyDescent="0.3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 t="str">
        <f t="shared" si="60"/>
        <v>15-30 days</v>
      </c>
      <c r="L3869">
        <v>22</v>
      </c>
      <c r="M3869">
        <v>2</v>
      </c>
      <c r="N3869">
        <v>0</v>
      </c>
      <c r="O3869" t="s">
        <v>54</v>
      </c>
      <c r="P3869" t="s">
        <v>55</v>
      </c>
      <c r="Q3869">
        <v>11.6</v>
      </c>
      <c r="R3869">
        <v>21</v>
      </c>
      <c r="S3869" t="s">
        <v>27</v>
      </c>
    </row>
    <row r="3870" spans="1:19" x14ac:dyDescent="0.3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 t="str">
        <f t="shared" si="60"/>
        <v>31-60 days</v>
      </c>
      <c r="L3870">
        <v>45</v>
      </c>
      <c r="M3870">
        <v>4</v>
      </c>
      <c r="N3870">
        <v>0</v>
      </c>
      <c r="O3870" t="s">
        <v>25</v>
      </c>
      <c r="P3870" t="s">
        <v>35</v>
      </c>
      <c r="Q3870">
        <v>12.7</v>
      </c>
      <c r="R3870">
        <v>2</v>
      </c>
      <c r="S3870" t="s">
        <v>27</v>
      </c>
    </row>
    <row r="3871" spans="1:19" x14ac:dyDescent="0.3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 t="str">
        <f t="shared" si="60"/>
        <v>31-60 days</v>
      </c>
      <c r="L3871">
        <v>35</v>
      </c>
      <c r="M3871">
        <v>3</v>
      </c>
      <c r="N3871">
        <v>0</v>
      </c>
      <c r="O3871" t="s">
        <v>25</v>
      </c>
      <c r="P3871" t="s">
        <v>35</v>
      </c>
      <c r="Q3871">
        <v>5.0999999999999996</v>
      </c>
      <c r="R3871">
        <v>40</v>
      </c>
      <c r="S3871" t="s">
        <v>36</v>
      </c>
    </row>
    <row r="3872" spans="1:19" x14ac:dyDescent="0.3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 t="str">
        <f t="shared" si="60"/>
        <v>0-7 days</v>
      </c>
      <c r="L3872">
        <v>0</v>
      </c>
      <c r="M3872">
        <v>3</v>
      </c>
      <c r="N3872">
        <v>0</v>
      </c>
      <c r="O3872" t="s">
        <v>54</v>
      </c>
      <c r="P3872" t="s">
        <v>55</v>
      </c>
      <c r="Q3872">
        <v>14.2</v>
      </c>
      <c r="R3872">
        <v>17</v>
      </c>
      <c r="S3872" t="s">
        <v>36</v>
      </c>
    </row>
    <row r="3873" spans="1:19" x14ac:dyDescent="0.3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 t="str">
        <f t="shared" si="60"/>
        <v>31-60 days</v>
      </c>
      <c r="L3873">
        <v>34</v>
      </c>
      <c r="M3873">
        <v>7</v>
      </c>
      <c r="N3873">
        <v>0</v>
      </c>
      <c r="O3873" t="s">
        <v>25</v>
      </c>
      <c r="P3873" t="s">
        <v>35</v>
      </c>
      <c r="Q3873">
        <v>12.2</v>
      </c>
      <c r="R3873">
        <v>29</v>
      </c>
      <c r="S3873" t="s">
        <v>27</v>
      </c>
    </row>
    <row r="3874" spans="1:19" x14ac:dyDescent="0.3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 t="str">
        <f t="shared" si="60"/>
        <v>31-60 days</v>
      </c>
      <c r="L3874">
        <v>49</v>
      </c>
      <c r="M3874">
        <v>1</v>
      </c>
      <c r="N3874">
        <v>0</v>
      </c>
      <c r="O3874" t="s">
        <v>54</v>
      </c>
      <c r="P3874" t="s">
        <v>55</v>
      </c>
      <c r="Q3874">
        <v>21.7</v>
      </c>
      <c r="R3874">
        <v>2</v>
      </c>
      <c r="S3874" t="s">
        <v>27</v>
      </c>
    </row>
    <row r="3875" spans="1:19" x14ac:dyDescent="0.3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 t="str">
        <f t="shared" si="60"/>
        <v>31-60 days</v>
      </c>
      <c r="L3875">
        <v>50</v>
      </c>
      <c r="M3875">
        <v>2</v>
      </c>
      <c r="N3875">
        <v>0</v>
      </c>
      <c r="O3875" t="s">
        <v>25</v>
      </c>
      <c r="P3875" t="s">
        <v>26</v>
      </c>
      <c r="Q3875">
        <v>6.6</v>
      </c>
      <c r="R3875">
        <v>14</v>
      </c>
      <c r="S3875" t="s">
        <v>36</v>
      </c>
    </row>
    <row r="3876" spans="1:19" x14ac:dyDescent="0.3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 t="str">
        <f t="shared" si="60"/>
        <v>15-30 days</v>
      </c>
      <c r="L3876">
        <v>23</v>
      </c>
      <c r="M3876">
        <v>1</v>
      </c>
      <c r="N3876">
        <v>0</v>
      </c>
      <c r="O3876" t="s">
        <v>25</v>
      </c>
      <c r="P3876" t="s">
        <v>35</v>
      </c>
      <c r="Q3876">
        <v>9.9</v>
      </c>
      <c r="R3876">
        <v>27</v>
      </c>
      <c r="S3876" t="s">
        <v>36</v>
      </c>
    </row>
    <row r="3877" spans="1:19" x14ac:dyDescent="0.3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 t="str">
        <f t="shared" si="60"/>
        <v>8-14 days</v>
      </c>
      <c r="L3877">
        <v>14</v>
      </c>
      <c r="M3877">
        <v>1</v>
      </c>
      <c r="N3877">
        <v>0</v>
      </c>
      <c r="O3877" t="s">
        <v>25</v>
      </c>
      <c r="P3877" t="s">
        <v>26</v>
      </c>
      <c r="Q3877">
        <v>3.4</v>
      </c>
      <c r="R3877">
        <v>44</v>
      </c>
      <c r="S3877" t="s">
        <v>27</v>
      </c>
    </row>
    <row r="3878" spans="1:19" x14ac:dyDescent="0.3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 t="str">
        <f t="shared" si="60"/>
        <v>15-30 days</v>
      </c>
      <c r="L3878">
        <v>18</v>
      </c>
      <c r="M3878">
        <v>1</v>
      </c>
      <c r="N3878">
        <v>1</v>
      </c>
      <c r="O3878" t="s">
        <v>25</v>
      </c>
      <c r="P3878" t="s">
        <v>26</v>
      </c>
      <c r="Q3878">
        <v>2.4</v>
      </c>
      <c r="R3878">
        <v>29</v>
      </c>
      <c r="S3878" t="s">
        <v>36</v>
      </c>
    </row>
    <row r="3879" spans="1:19" x14ac:dyDescent="0.3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 t="str">
        <f t="shared" si="60"/>
        <v>15-30 days</v>
      </c>
      <c r="L3879">
        <v>18</v>
      </c>
      <c r="M3879">
        <v>3</v>
      </c>
      <c r="N3879">
        <v>1</v>
      </c>
      <c r="O3879" t="s">
        <v>25</v>
      </c>
      <c r="P3879" t="s">
        <v>35</v>
      </c>
      <c r="Q3879">
        <v>23.7</v>
      </c>
      <c r="R3879">
        <v>30</v>
      </c>
      <c r="S3879" t="s">
        <v>27</v>
      </c>
    </row>
    <row r="3880" spans="1:19" x14ac:dyDescent="0.3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 t="str">
        <f t="shared" si="60"/>
        <v>15-30 days</v>
      </c>
      <c r="L3880">
        <v>21</v>
      </c>
      <c r="M3880">
        <v>4</v>
      </c>
      <c r="N3880">
        <v>2</v>
      </c>
      <c r="O3880" t="s">
        <v>54</v>
      </c>
      <c r="P3880" t="s">
        <v>55</v>
      </c>
      <c r="Q3880">
        <v>11.2</v>
      </c>
      <c r="R3880">
        <v>19</v>
      </c>
      <c r="S3880" t="s">
        <v>27</v>
      </c>
    </row>
    <row r="3881" spans="1:19" x14ac:dyDescent="0.3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 t="str">
        <f t="shared" si="60"/>
        <v>15-30 days</v>
      </c>
      <c r="L3881">
        <v>18</v>
      </c>
      <c r="M3881">
        <v>2</v>
      </c>
      <c r="N3881">
        <v>0</v>
      </c>
      <c r="O3881" t="s">
        <v>25</v>
      </c>
      <c r="P3881" t="s">
        <v>35</v>
      </c>
      <c r="Q3881">
        <v>2.2999999999999998</v>
      </c>
      <c r="R3881">
        <v>24</v>
      </c>
      <c r="S3881" t="s">
        <v>36</v>
      </c>
    </row>
    <row r="3882" spans="1:19" x14ac:dyDescent="0.3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 t="str">
        <f t="shared" si="60"/>
        <v>15-30 days</v>
      </c>
      <c r="L3882">
        <v>27</v>
      </c>
      <c r="M3882">
        <v>2</v>
      </c>
      <c r="N3882">
        <v>2</v>
      </c>
      <c r="O3882" t="s">
        <v>25</v>
      </c>
      <c r="P3882" t="s">
        <v>35</v>
      </c>
      <c r="Q3882">
        <v>12.1</v>
      </c>
      <c r="R3882">
        <v>22</v>
      </c>
      <c r="S3882" t="s">
        <v>36</v>
      </c>
    </row>
    <row r="3883" spans="1:19" x14ac:dyDescent="0.3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 t="str">
        <f t="shared" si="60"/>
        <v>0-7 days</v>
      </c>
      <c r="L3883">
        <v>2</v>
      </c>
      <c r="M3883">
        <v>6</v>
      </c>
      <c r="N3883">
        <v>0</v>
      </c>
      <c r="O3883" t="s">
        <v>54</v>
      </c>
      <c r="P3883" t="s">
        <v>55</v>
      </c>
      <c r="Q3883">
        <v>6.5</v>
      </c>
      <c r="R3883">
        <v>27</v>
      </c>
      <c r="S3883" t="s">
        <v>36</v>
      </c>
    </row>
    <row r="3884" spans="1:19" x14ac:dyDescent="0.3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 t="str">
        <f t="shared" si="60"/>
        <v>15-30 days</v>
      </c>
      <c r="L3884">
        <v>16</v>
      </c>
      <c r="M3884">
        <v>4</v>
      </c>
      <c r="N3884">
        <v>1</v>
      </c>
      <c r="O3884" t="s">
        <v>54</v>
      </c>
      <c r="P3884" t="s">
        <v>55</v>
      </c>
      <c r="Q3884">
        <v>12.6</v>
      </c>
      <c r="R3884">
        <v>38</v>
      </c>
      <c r="S3884" t="s">
        <v>27</v>
      </c>
    </row>
    <row r="3885" spans="1:19" x14ac:dyDescent="0.3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 t="str">
        <f t="shared" si="60"/>
        <v>15-30 days</v>
      </c>
      <c r="L3885">
        <v>19</v>
      </c>
      <c r="M3885">
        <v>5</v>
      </c>
      <c r="N3885">
        <v>1</v>
      </c>
      <c r="O3885" t="s">
        <v>25</v>
      </c>
      <c r="P3885" t="s">
        <v>35</v>
      </c>
      <c r="Q3885">
        <v>14.6</v>
      </c>
      <c r="R3885">
        <v>20</v>
      </c>
      <c r="S3885" t="s">
        <v>36</v>
      </c>
    </row>
    <row r="3886" spans="1:19" x14ac:dyDescent="0.3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 t="str">
        <f t="shared" si="60"/>
        <v>8-14 days</v>
      </c>
      <c r="L3886">
        <v>9</v>
      </c>
      <c r="M3886">
        <v>5</v>
      </c>
      <c r="N3886">
        <v>1</v>
      </c>
      <c r="O3886" t="s">
        <v>25</v>
      </c>
      <c r="P3886" t="s">
        <v>35</v>
      </c>
      <c r="Q3886">
        <v>10.6</v>
      </c>
      <c r="R3886">
        <v>24</v>
      </c>
      <c r="S3886" t="s">
        <v>27</v>
      </c>
    </row>
    <row r="3887" spans="1:19" x14ac:dyDescent="0.3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 t="str">
        <f t="shared" si="60"/>
        <v>31-60 days</v>
      </c>
      <c r="L3887">
        <v>53</v>
      </c>
      <c r="M3887">
        <v>3</v>
      </c>
      <c r="N3887">
        <v>0</v>
      </c>
      <c r="O3887" t="s">
        <v>25</v>
      </c>
      <c r="P3887" t="s">
        <v>35</v>
      </c>
      <c r="Q3887">
        <v>7.1</v>
      </c>
      <c r="R3887">
        <v>20</v>
      </c>
      <c r="S3887" t="s">
        <v>36</v>
      </c>
    </row>
    <row r="3888" spans="1:19" x14ac:dyDescent="0.3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 t="str">
        <f t="shared" si="60"/>
        <v>31-60 days</v>
      </c>
      <c r="L3888">
        <v>41</v>
      </c>
      <c r="M3888">
        <v>5</v>
      </c>
      <c r="N3888">
        <v>1</v>
      </c>
      <c r="O3888" t="s">
        <v>54</v>
      </c>
      <c r="P3888" t="s">
        <v>55</v>
      </c>
      <c r="Q3888">
        <v>8.9</v>
      </c>
      <c r="R3888">
        <v>21</v>
      </c>
      <c r="S3888" t="s">
        <v>27</v>
      </c>
    </row>
    <row r="3889" spans="1:19" x14ac:dyDescent="0.3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 t="str">
        <f t="shared" si="60"/>
        <v>31-60 days</v>
      </c>
      <c r="L3889">
        <v>55</v>
      </c>
      <c r="M3889">
        <v>2</v>
      </c>
      <c r="N3889">
        <v>2</v>
      </c>
      <c r="O3889" t="s">
        <v>25</v>
      </c>
      <c r="P3889" t="s">
        <v>26</v>
      </c>
      <c r="Q3889">
        <v>12.9</v>
      </c>
      <c r="R3889">
        <v>36</v>
      </c>
      <c r="S3889" t="s">
        <v>27</v>
      </c>
    </row>
    <row r="3890" spans="1:19" x14ac:dyDescent="0.3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 t="str">
        <f t="shared" si="60"/>
        <v>31-60 days</v>
      </c>
      <c r="L3890">
        <v>34</v>
      </c>
      <c r="M3890">
        <v>1</v>
      </c>
      <c r="N3890">
        <v>0</v>
      </c>
      <c r="O3890" t="s">
        <v>25</v>
      </c>
      <c r="P3890" t="s">
        <v>50</v>
      </c>
      <c r="Q3890">
        <v>14.1</v>
      </c>
      <c r="R3890">
        <v>29</v>
      </c>
      <c r="S3890" t="s">
        <v>36</v>
      </c>
    </row>
    <row r="3891" spans="1:19" x14ac:dyDescent="0.3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 t="str">
        <f t="shared" si="60"/>
        <v>0-7 days</v>
      </c>
      <c r="L3891">
        <v>6</v>
      </c>
      <c r="M3891">
        <v>7</v>
      </c>
      <c r="N3891">
        <v>0</v>
      </c>
      <c r="O3891" t="s">
        <v>25</v>
      </c>
      <c r="P3891" t="s">
        <v>35</v>
      </c>
      <c r="Q3891">
        <v>4.9000000000000004</v>
      </c>
      <c r="R3891">
        <v>27</v>
      </c>
      <c r="S3891" t="s">
        <v>36</v>
      </c>
    </row>
    <row r="3892" spans="1:19" x14ac:dyDescent="0.3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 t="str">
        <f t="shared" si="60"/>
        <v>31-60 days</v>
      </c>
      <c r="L3892">
        <v>55</v>
      </c>
      <c r="M3892">
        <v>5</v>
      </c>
      <c r="N3892">
        <v>0</v>
      </c>
      <c r="O3892" t="s">
        <v>25</v>
      </c>
      <c r="P3892" t="s">
        <v>26</v>
      </c>
      <c r="Q3892">
        <v>2.9</v>
      </c>
      <c r="R3892">
        <v>23</v>
      </c>
      <c r="S3892" t="s">
        <v>27</v>
      </c>
    </row>
    <row r="3893" spans="1:19" x14ac:dyDescent="0.3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 t="str">
        <f t="shared" si="60"/>
        <v>15-30 days</v>
      </c>
      <c r="L3893">
        <v>27</v>
      </c>
      <c r="M3893">
        <v>3</v>
      </c>
      <c r="N3893">
        <v>0</v>
      </c>
      <c r="O3893" t="s">
        <v>25</v>
      </c>
      <c r="P3893" t="s">
        <v>26</v>
      </c>
      <c r="Q3893">
        <v>3.6</v>
      </c>
      <c r="R3893">
        <v>14</v>
      </c>
      <c r="S3893" t="s">
        <v>27</v>
      </c>
    </row>
    <row r="3894" spans="1:19" x14ac:dyDescent="0.3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 t="str">
        <f t="shared" si="60"/>
        <v>31-60 days</v>
      </c>
      <c r="L3894">
        <v>41</v>
      </c>
      <c r="M3894">
        <v>2</v>
      </c>
      <c r="N3894">
        <v>1</v>
      </c>
      <c r="O3894" t="s">
        <v>54</v>
      </c>
      <c r="P3894" t="s">
        <v>55</v>
      </c>
      <c r="Q3894">
        <v>7.4</v>
      </c>
      <c r="R3894">
        <v>32</v>
      </c>
      <c r="S3894" t="s">
        <v>36</v>
      </c>
    </row>
    <row r="3895" spans="1:19" x14ac:dyDescent="0.3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 t="str">
        <f t="shared" si="60"/>
        <v>15-30 days</v>
      </c>
      <c r="L3895">
        <v>23</v>
      </c>
      <c r="M3895">
        <v>3</v>
      </c>
      <c r="N3895">
        <v>0</v>
      </c>
      <c r="O3895" t="s">
        <v>54</v>
      </c>
      <c r="P3895" t="s">
        <v>55</v>
      </c>
      <c r="Q3895">
        <v>13.8</v>
      </c>
      <c r="R3895">
        <v>33</v>
      </c>
      <c r="S3895" t="s">
        <v>36</v>
      </c>
    </row>
    <row r="3896" spans="1:19" x14ac:dyDescent="0.3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 t="str">
        <f t="shared" si="60"/>
        <v>15-30 days</v>
      </c>
      <c r="L3896">
        <v>30</v>
      </c>
      <c r="M3896">
        <v>2</v>
      </c>
      <c r="N3896">
        <v>0</v>
      </c>
      <c r="O3896" t="s">
        <v>54</v>
      </c>
      <c r="P3896" t="s">
        <v>55</v>
      </c>
      <c r="Q3896">
        <v>7.7</v>
      </c>
      <c r="R3896">
        <v>34</v>
      </c>
      <c r="S3896" t="s">
        <v>71</v>
      </c>
    </row>
    <row r="3897" spans="1:19" x14ac:dyDescent="0.3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 t="str">
        <f t="shared" si="60"/>
        <v>15-30 days</v>
      </c>
      <c r="L3897">
        <v>29</v>
      </c>
      <c r="M3897">
        <v>5</v>
      </c>
      <c r="N3897">
        <v>2</v>
      </c>
      <c r="O3897" t="s">
        <v>25</v>
      </c>
      <c r="P3897" t="s">
        <v>26</v>
      </c>
      <c r="Q3897">
        <v>3.3</v>
      </c>
      <c r="R3897">
        <v>24</v>
      </c>
      <c r="S3897" t="s">
        <v>27</v>
      </c>
    </row>
    <row r="3898" spans="1:19" x14ac:dyDescent="0.3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 t="str">
        <f t="shared" si="60"/>
        <v>15-30 days</v>
      </c>
      <c r="L3898">
        <v>17</v>
      </c>
      <c r="M3898">
        <v>4</v>
      </c>
      <c r="N3898">
        <v>0</v>
      </c>
      <c r="O3898" t="s">
        <v>25</v>
      </c>
      <c r="P3898" t="s">
        <v>35</v>
      </c>
      <c r="Q3898">
        <v>10.4</v>
      </c>
      <c r="R3898">
        <v>15</v>
      </c>
      <c r="S3898" t="s">
        <v>36</v>
      </c>
    </row>
    <row r="3899" spans="1:19" x14ac:dyDescent="0.3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 t="str">
        <f t="shared" si="60"/>
        <v>31-60 days</v>
      </c>
      <c r="L3899">
        <v>33</v>
      </c>
      <c r="M3899">
        <v>5</v>
      </c>
      <c r="N3899">
        <v>2</v>
      </c>
      <c r="O3899" t="s">
        <v>25</v>
      </c>
      <c r="P3899" t="s">
        <v>50</v>
      </c>
      <c r="Q3899">
        <v>8.3000000000000007</v>
      </c>
      <c r="R3899">
        <v>31</v>
      </c>
      <c r="S3899" t="s">
        <v>27</v>
      </c>
    </row>
    <row r="3900" spans="1:19" x14ac:dyDescent="0.3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 t="str">
        <f t="shared" si="60"/>
        <v>31-60 days</v>
      </c>
      <c r="L3900">
        <v>44</v>
      </c>
      <c r="M3900">
        <v>6</v>
      </c>
      <c r="N3900">
        <v>2</v>
      </c>
      <c r="O3900" t="s">
        <v>54</v>
      </c>
      <c r="P3900" t="s">
        <v>55</v>
      </c>
      <c r="Q3900">
        <v>14.4</v>
      </c>
      <c r="R3900">
        <v>36</v>
      </c>
      <c r="S3900" t="s">
        <v>27</v>
      </c>
    </row>
    <row r="3901" spans="1:19" x14ac:dyDescent="0.3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 t="str">
        <f t="shared" si="60"/>
        <v>0-7 days</v>
      </c>
      <c r="L3901">
        <v>1</v>
      </c>
      <c r="M3901">
        <v>4</v>
      </c>
      <c r="N3901">
        <v>1</v>
      </c>
      <c r="O3901" t="s">
        <v>25</v>
      </c>
      <c r="P3901" t="s">
        <v>35</v>
      </c>
      <c r="Q3901">
        <v>4.2</v>
      </c>
      <c r="R3901">
        <v>33</v>
      </c>
      <c r="S3901" t="s">
        <v>27</v>
      </c>
    </row>
    <row r="3902" spans="1:19" x14ac:dyDescent="0.3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 t="str">
        <f t="shared" si="60"/>
        <v>0-7 days</v>
      </c>
      <c r="L3902">
        <v>7</v>
      </c>
      <c r="M3902">
        <v>5</v>
      </c>
      <c r="N3902">
        <v>3</v>
      </c>
      <c r="O3902" t="s">
        <v>25</v>
      </c>
      <c r="P3902" t="s">
        <v>26</v>
      </c>
      <c r="Q3902">
        <v>11</v>
      </c>
      <c r="R3902">
        <v>15</v>
      </c>
      <c r="S3902" t="s">
        <v>36</v>
      </c>
    </row>
    <row r="3903" spans="1:19" x14ac:dyDescent="0.3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 t="str">
        <f t="shared" si="60"/>
        <v>31-60 days</v>
      </c>
      <c r="L3903">
        <v>51</v>
      </c>
      <c r="M3903">
        <v>3</v>
      </c>
      <c r="N3903">
        <v>1</v>
      </c>
      <c r="O3903" t="s">
        <v>25</v>
      </c>
      <c r="P3903" t="s">
        <v>50</v>
      </c>
      <c r="Q3903">
        <v>10.199999999999999</v>
      </c>
      <c r="R3903">
        <v>28</v>
      </c>
      <c r="S3903" t="s">
        <v>27</v>
      </c>
    </row>
    <row r="3904" spans="1:19" x14ac:dyDescent="0.3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 t="str">
        <f t="shared" si="60"/>
        <v>31-60 days</v>
      </c>
      <c r="L3904">
        <v>34</v>
      </c>
      <c r="M3904">
        <v>2</v>
      </c>
      <c r="N3904">
        <v>0</v>
      </c>
      <c r="O3904" t="s">
        <v>25</v>
      </c>
      <c r="P3904" t="s">
        <v>50</v>
      </c>
      <c r="Q3904">
        <v>12.4</v>
      </c>
      <c r="R3904">
        <v>3</v>
      </c>
      <c r="S3904" t="s">
        <v>36</v>
      </c>
    </row>
    <row r="3905" spans="1:19" x14ac:dyDescent="0.3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 t="str">
        <f t="shared" si="60"/>
        <v>31-60 days</v>
      </c>
      <c r="L3905">
        <v>59</v>
      </c>
      <c r="M3905">
        <v>2</v>
      </c>
      <c r="N3905">
        <v>0</v>
      </c>
      <c r="O3905" t="s">
        <v>25</v>
      </c>
      <c r="P3905" t="s">
        <v>35</v>
      </c>
      <c r="Q3905">
        <v>15.7</v>
      </c>
      <c r="R3905">
        <v>39</v>
      </c>
      <c r="S3905" t="s">
        <v>27</v>
      </c>
    </row>
    <row r="3906" spans="1:19" x14ac:dyDescent="0.3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 t="str">
        <f t="shared" si="60"/>
        <v>31-60 days</v>
      </c>
      <c r="L3906">
        <v>36</v>
      </c>
      <c r="M3906">
        <v>2</v>
      </c>
      <c r="N3906">
        <v>1</v>
      </c>
      <c r="O3906" t="s">
        <v>25</v>
      </c>
      <c r="P3906" t="s">
        <v>35</v>
      </c>
      <c r="Q3906">
        <v>1.7</v>
      </c>
      <c r="R3906">
        <v>26</v>
      </c>
      <c r="S3906" t="s">
        <v>27</v>
      </c>
    </row>
    <row r="3907" spans="1:19" x14ac:dyDescent="0.3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 t="str">
        <f t="shared" ref="K3907:K3970" si="61">IF(L3907&lt;=7,"0-7 days",IF(L3907&lt;=14,"8-14 days",IF(L3907&lt;=30,"15-30 days","31-60 days")))</f>
        <v>31-60 days</v>
      </c>
      <c r="L3907">
        <v>39</v>
      </c>
      <c r="M3907">
        <v>3</v>
      </c>
      <c r="N3907">
        <v>1</v>
      </c>
      <c r="O3907" t="s">
        <v>25</v>
      </c>
      <c r="P3907" t="s">
        <v>35</v>
      </c>
      <c r="Q3907">
        <v>5.5</v>
      </c>
      <c r="R3907">
        <v>26</v>
      </c>
      <c r="S3907" t="s">
        <v>27</v>
      </c>
    </row>
    <row r="3908" spans="1:19" x14ac:dyDescent="0.3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 t="str">
        <f t="shared" si="61"/>
        <v>31-60 days</v>
      </c>
      <c r="L3908">
        <v>54</v>
      </c>
      <c r="M3908">
        <v>4</v>
      </c>
      <c r="N3908">
        <v>0</v>
      </c>
      <c r="O3908" t="s">
        <v>25</v>
      </c>
      <c r="P3908" t="s">
        <v>26</v>
      </c>
      <c r="Q3908">
        <v>7.9</v>
      </c>
      <c r="R3908">
        <v>41</v>
      </c>
      <c r="S3908" t="s">
        <v>27</v>
      </c>
    </row>
    <row r="3909" spans="1:19" x14ac:dyDescent="0.3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 t="str">
        <f t="shared" si="61"/>
        <v>31-60 days</v>
      </c>
      <c r="L3909">
        <v>40</v>
      </c>
      <c r="M3909">
        <v>3</v>
      </c>
      <c r="N3909">
        <v>1</v>
      </c>
      <c r="O3909" t="s">
        <v>25</v>
      </c>
      <c r="P3909" t="s">
        <v>35</v>
      </c>
      <c r="Q3909">
        <v>5.4</v>
      </c>
      <c r="R3909">
        <v>17</v>
      </c>
      <c r="S3909" t="s">
        <v>27</v>
      </c>
    </row>
    <row r="3910" spans="1:19" x14ac:dyDescent="0.3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 t="str">
        <f t="shared" si="61"/>
        <v>15-30 days</v>
      </c>
      <c r="L3910">
        <v>20</v>
      </c>
      <c r="M3910">
        <v>2</v>
      </c>
      <c r="N3910">
        <v>0</v>
      </c>
      <c r="O3910" t="s">
        <v>25</v>
      </c>
      <c r="P3910" t="s">
        <v>35</v>
      </c>
      <c r="Q3910">
        <v>9.6</v>
      </c>
      <c r="R3910">
        <v>25</v>
      </c>
      <c r="S3910" t="s">
        <v>36</v>
      </c>
    </row>
    <row r="3911" spans="1:19" x14ac:dyDescent="0.3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 t="str">
        <f t="shared" si="61"/>
        <v>31-60 days</v>
      </c>
      <c r="L3911">
        <v>32</v>
      </c>
      <c r="M3911">
        <v>6</v>
      </c>
      <c r="N3911">
        <v>1</v>
      </c>
      <c r="O3911" t="s">
        <v>25</v>
      </c>
      <c r="P3911" t="s">
        <v>35</v>
      </c>
      <c r="Q3911">
        <v>8</v>
      </c>
      <c r="R3911">
        <v>15</v>
      </c>
      <c r="S3911" t="s">
        <v>36</v>
      </c>
    </row>
    <row r="3912" spans="1:19" x14ac:dyDescent="0.3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 t="str">
        <f t="shared" si="61"/>
        <v>8-14 days</v>
      </c>
      <c r="L3912">
        <v>14</v>
      </c>
      <c r="M3912">
        <v>5</v>
      </c>
      <c r="N3912">
        <v>0</v>
      </c>
      <c r="O3912" t="s">
        <v>25</v>
      </c>
      <c r="P3912" t="s">
        <v>35</v>
      </c>
      <c r="Q3912">
        <v>3.3</v>
      </c>
      <c r="R3912">
        <v>8</v>
      </c>
      <c r="S3912" t="s">
        <v>36</v>
      </c>
    </row>
    <row r="3913" spans="1:19" x14ac:dyDescent="0.3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 t="str">
        <f t="shared" si="61"/>
        <v>15-30 days</v>
      </c>
      <c r="L3913">
        <v>20</v>
      </c>
      <c r="M3913">
        <v>3</v>
      </c>
      <c r="N3913">
        <v>1</v>
      </c>
      <c r="O3913" t="s">
        <v>25</v>
      </c>
      <c r="P3913" t="s">
        <v>35</v>
      </c>
      <c r="Q3913">
        <v>12.7</v>
      </c>
      <c r="R3913">
        <v>27</v>
      </c>
      <c r="S3913" t="s">
        <v>36</v>
      </c>
    </row>
    <row r="3914" spans="1:19" x14ac:dyDescent="0.3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 t="str">
        <f t="shared" si="61"/>
        <v>31-60 days</v>
      </c>
      <c r="L3914">
        <v>41</v>
      </c>
      <c r="M3914">
        <v>2</v>
      </c>
      <c r="N3914">
        <v>1</v>
      </c>
      <c r="O3914" t="s">
        <v>25</v>
      </c>
      <c r="P3914" t="s">
        <v>26</v>
      </c>
      <c r="Q3914">
        <v>4</v>
      </c>
      <c r="R3914">
        <v>27</v>
      </c>
      <c r="S3914" t="s">
        <v>36</v>
      </c>
    </row>
    <row r="3915" spans="1:19" x14ac:dyDescent="0.3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 t="str">
        <f t="shared" si="61"/>
        <v>8-14 days</v>
      </c>
      <c r="L3915">
        <v>9</v>
      </c>
      <c r="M3915">
        <v>3</v>
      </c>
      <c r="N3915">
        <v>2</v>
      </c>
      <c r="O3915" t="s">
        <v>25</v>
      </c>
      <c r="P3915" t="s">
        <v>26</v>
      </c>
      <c r="Q3915">
        <v>9.6999999999999993</v>
      </c>
      <c r="R3915">
        <v>2</v>
      </c>
      <c r="S3915" t="s">
        <v>27</v>
      </c>
    </row>
    <row r="3916" spans="1:19" x14ac:dyDescent="0.3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 t="str">
        <f t="shared" si="61"/>
        <v>31-60 days</v>
      </c>
      <c r="L3916">
        <v>40</v>
      </c>
      <c r="M3916">
        <v>3</v>
      </c>
      <c r="N3916">
        <v>1</v>
      </c>
      <c r="O3916" t="s">
        <v>25</v>
      </c>
      <c r="P3916" t="s">
        <v>35</v>
      </c>
      <c r="Q3916">
        <v>3.6</v>
      </c>
      <c r="R3916">
        <v>32</v>
      </c>
      <c r="S3916" t="s">
        <v>36</v>
      </c>
    </row>
    <row r="3917" spans="1:19" x14ac:dyDescent="0.3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 t="str">
        <f t="shared" si="61"/>
        <v>31-60 days</v>
      </c>
      <c r="L3917">
        <v>35</v>
      </c>
      <c r="M3917">
        <v>0</v>
      </c>
      <c r="N3917">
        <v>0</v>
      </c>
      <c r="O3917" t="s">
        <v>25</v>
      </c>
      <c r="P3917" t="s">
        <v>35</v>
      </c>
      <c r="Q3917">
        <v>9.6999999999999993</v>
      </c>
      <c r="R3917">
        <v>24</v>
      </c>
      <c r="S3917" t="s">
        <v>71</v>
      </c>
    </row>
    <row r="3918" spans="1:19" x14ac:dyDescent="0.3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 t="str">
        <f t="shared" si="61"/>
        <v>15-30 days</v>
      </c>
      <c r="L3918">
        <v>18</v>
      </c>
      <c r="M3918">
        <v>5</v>
      </c>
      <c r="N3918">
        <v>1</v>
      </c>
      <c r="O3918" t="s">
        <v>25</v>
      </c>
      <c r="P3918" t="s">
        <v>26</v>
      </c>
      <c r="Q3918">
        <v>7.9</v>
      </c>
      <c r="R3918">
        <v>32</v>
      </c>
      <c r="S3918" t="s">
        <v>27</v>
      </c>
    </row>
    <row r="3919" spans="1:19" x14ac:dyDescent="0.3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 t="str">
        <f t="shared" si="61"/>
        <v>0-7 days</v>
      </c>
      <c r="L3919">
        <v>2</v>
      </c>
      <c r="M3919">
        <v>4</v>
      </c>
      <c r="N3919">
        <v>0</v>
      </c>
      <c r="O3919" t="s">
        <v>25</v>
      </c>
      <c r="P3919" t="s">
        <v>35</v>
      </c>
      <c r="Q3919">
        <v>8.6999999999999993</v>
      </c>
      <c r="R3919">
        <v>27</v>
      </c>
      <c r="S3919" t="s">
        <v>36</v>
      </c>
    </row>
    <row r="3920" spans="1:19" x14ac:dyDescent="0.3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 t="str">
        <f t="shared" si="61"/>
        <v>31-60 days</v>
      </c>
      <c r="L3920">
        <v>42</v>
      </c>
      <c r="M3920">
        <v>3</v>
      </c>
      <c r="N3920">
        <v>0</v>
      </c>
      <c r="O3920" t="s">
        <v>25</v>
      </c>
      <c r="P3920" t="s">
        <v>50</v>
      </c>
      <c r="Q3920">
        <v>10.1</v>
      </c>
      <c r="R3920">
        <v>36</v>
      </c>
      <c r="S3920" t="s">
        <v>27</v>
      </c>
    </row>
    <row r="3921" spans="1:19" x14ac:dyDescent="0.3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 t="str">
        <f t="shared" si="61"/>
        <v>31-60 days</v>
      </c>
      <c r="L3921">
        <v>50</v>
      </c>
      <c r="M3921">
        <v>6</v>
      </c>
      <c r="N3921">
        <v>2</v>
      </c>
      <c r="O3921" t="s">
        <v>25</v>
      </c>
      <c r="P3921" t="s">
        <v>35</v>
      </c>
      <c r="Q3921">
        <v>14.8</v>
      </c>
      <c r="R3921">
        <v>37</v>
      </c>
      <c r="S3921" t="s">
        <v>27</v>
      </c>
    </row>
    <row r="3922" spans="1:19" x14ac:dyDescent="0.3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 t="str">
        <f t="shared" si="61"/>
        <v>31-60 days</v>
      </c>
      <c r="L3922">
        <v>44</v>
      </c>
      <c r="M3922">
        <v>2</v>
      </c>
      <c r="N3922">
        <v>0</v>
      </c>
      <c r="O3922" t="s">
        <v>25</v>
      </c>
      <c r="P3922" t="s">
        <v>35</v>
      </c>
      <c r="Q3922">
        <v>6.3</v>
      </c>
      <c r="R3922">
        <v>26</v>
      </c>
      <c r="S3922" t="s">
        <v>36</v>
      </c>
    </row>
    <row r="3923" spans="1:19" x14ac:dyDescent="0.3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 t="str">
        <f t="shared" si="61"/>
        <v>15-30 days</v>
      </c>
      <c r="L3923">
        <v>25</v>
      </c>
      <c r="M3923">
        <v>4</v>
      </c>
      <c r="N3923">
        <v>1</v>
      </c>
      <c r="O3923" t="s">
        <v>54</v>
      </c>
      <c r="P3923" t="s">
        <v>55</v>
      </c>
      <c r="Q3923">
        <v>3.1</v>
      </c>
      <c r="R3923">
        <v>34</v>
      </c>
      <c r="S3923" t="s">
        <v>27</v>
      </c>
    </row>
    <row r="3924" spans="1:19" x14ac:dyDescent="0.3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 t="str">
        <f t="shared" si="61"/>
        <v>31-60 days</v>
      </c>
      <c r="L3924">
        <v>39</v>
      </c>
      <c r="M3924">
        <v>2</v>
      </c>
      <c r="N3924">
        <v>1</v>
      </c>
      <c r="O3924" t="s">
        <v>25</v>
      </c>
      <c r="P3924" t="s">
        <v>35</v>
      </c>
      <c r="R3924">
        <v>34</v>
      </c>
      <c r="S3924" t="s">
        <v>27</v>
      </c>
    </row>
    <row r="3925" spans="1:19" x14ac:dyDescent="0.3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 t="str">
        <f t="shared" si="61"/>
        <v>15-30 days</v>
      </c>
      <c r="L3925">
        <v>25</v>
      </c>
      <c r="M3925">
        <v>2</v>
      </c>
      <c r="N3925">
        <v>1</v>
      </c>
      <c r="O3925" t="s">
        <v>25</v>
      </c>
      <c r="P3925" t="s">
        <v>35</v>
      </c>
      <c r="Q3925">
        <v>15</v>
      </c>
      <c r="R3925">
        <v>11</v>
      </c>
      <c r="S3925" t="s">
        <v>27</v>
      </c>
    </row>
    <row r="3926" spans="1:19" x14ac:dyDescent="0.3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 t="str">
        <f t="shared" si="61"/>
        <v>15-30 days</v>
      </c>
      <c r="L3926">
        <v>21</v>
      </c>
      <c r="M3926">
        <v>2</v>
      </c>
      <c r="N3926">
        <v>0</v>
      </c>
      <c r="O3926" t="s">
        <v>25</v>
      </c>
      <c r="P3926" t="s">
        <v>35</v>
      </c>
      <c r="R3926">
        <v>14</v>
      </c>
      <c r="S3926" t="s">
        <v>36</v>
      </c>
    </row>
    <row r="3927" spans="1:19" x14ac:dyDescent="0.3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 t="str">
        <f t="shared" si="61"/>
        <v>15-30 days</v>
      </c>
      <c r="L3927">
        <v>19</v>
      </c>
      <c r="M3927">
        <v>3</v>
      </c>
      <c r="N3927">
        <v>0</v>
      </c>
      <c r="O3927" t="s">
        <v>25</v>
      </c>
      <c r="P3927" t="s">
        <v>35</v>
      </c>
      <c r="Q3927">
        <v>3.1</v>
      </c>
      <c r="R3927">
        <v>13</v>
      </c>
      <c r="S3927" t="s">
        <v>27</v>
      </c>
    </row>
    <row r="3928" spans="1:19" x14ac:dyDescent="0.3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 t="str">
        <f t="shared" si="61"/>
        <v>8-14 days</v>
      </c>
      <c r="L3928">
        <v>12</v>
      </c>
      <c r="M3928">
        <v>0</v>
      </c>
      <c r="N3928">
        <v>0</v>
      </c>
      <c r="O3928" t="s">
        <v>54</v>
      </c>
      <c r="P3928" t="s">
        <v>55</v>
      </c>
      <c r="Q3928">
        <v>7.7</v>
      </c>
      <c r="R3928">
        <v>31</v>
      </c>
      <c r="S3928" t="s">
        <v>36</v>
      </c>
    </row>
    <row r="3929" spans="1:19" x14ac:dyDescent="0.3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 t="str">
        <f t="shared" si="61"/>
        <v>31-60 days</v>
      </c>
      <c r="L3929">
        <v>59</v>
      </c>
      <c r="M3929">
        <v>2</v>
      </c>
      <c r="N3929">
        <v>0</v>
      </c>
      <c r="O3929" t="s">
        <v>54</v>
      </c>
      <c r="P3929" t="s">
        <v>55</v>
      </c>
      <c r="Q3929">
        <v>16</v>
      </c>
      <c r="R3929">
        <v>16</v>
      </c>
      <c r="S3929" t="s">
        <v>27</v>
      </c>
    </row>
    <row r="3930" spans="1:19" x14ac:dyDescent="0.3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 t="str">
        <f t="shared" si="61"/>
        <v>31-60 days</v>
      </c>
      <c r="L3930">
        <v>40</v>
      </c>
      <c r="M3930">
        <v>0</v>
      </c>
      <c r="N3930">
        <v>0</v>
      </c>
      <c r="O3930" t="s">
        <v>25</v>
      </c>
      <c r="P3930" t="s">
        <v>35</v>
      </c>
      <c r="Q3930">
        <v>5.7</v>
      </c>
      <c r="R3930">
        <v>2</v>
      </c>
      <c r="S3930" t="s">
        <v>27</v>
      </c>
    </row>
    <row r="3931" spans="1:19" x14ac:dyDescent="0.3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 t="str">
        <f t="shared" si="61"/>
        <v>8-14 days</v>
      </c>
      <c r="L3931">
        <v>10</v>
      </c>
      <c r="M3931">
        <v>7</v>
      </c>
      <c r="N3931">
        <v>1</v>
      </c>
      <c r="O3931" t="s">
        <v>25</v>
      </c>
      <c r="P3931" t="s">
        <v>35</v>
      </c>
      <c r="Q3931">
        <v>7.5</v>
      </c>
      <c r="R3931">
        <v>13</v>
      </c>
      <c r="S3931" t="s">
        <v>36</v>
      </c>
    </row>
    <row r="3932" spans="1:19" x14ac:dyDescent="0.3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 t="str">
        <f t="shared" si="61"/>
        <v>31-60 days</v>
      </c>
      <c r="L3932">
        <v>52</v>
      </c>
      <c r="M3932">
        <v>1</v>
      </c>
      <c r="N3932">
        <v>0</v>
      </c>
      <c r="O3932" t="s">
        <v>25</v>
      </c>
      <c r="P3932" t="s">
        <v>35</v>
      </c>
      <c r="Q3932">
        <v>5.3</v>
      </c>
      <c r="R3932">
        <v>20</v>
      </c>
      <c r="S3932" t="s">
        <v>36</v>
      </c>
    </row>
    <row r="3933" spans="1:19" x14ac:dyDescent="0.3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 t="str">
        <f t="shared" si="61"/>
        <v>8-14 days</v>
      </c>
      <c r="L3933">
        <v>9</v>
      </c>
      <c r="M3933">
        <v>3</v>
      </c>
      <c r="N3933">
        <v>1</v>
      </c>
      <c r="O3933" t="s">
        <v>25</v>
      </c>
      <c r="P3933" t="s">
        <v>35</v>
      </c>
      <c r="Q3933">
        <v>6.4</v>
      </c>
      <c r="R3933">
        <v>29</v>
      </c>
      <c r="S3933" t="s">
        <v>36</v>
      </c>
    </row>
    <row r="3934" spans="1:19" x14ac:dyDescent="0.3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 t="str">
        <f t="shared" si="61"/>
        <v>31-60 days</v>
      </c>
      <c r="L3934">
        <v>36</v>
      </c>
      <c r="M3934">
        <v>1</v>
      </c>
      <c r="N3934">
        <v>0</v>
      </c>
      <c r="O3934" t="s">
        <v>25</v>
      </c>
      <c r="P3934" t="s">
        <v>35</v>
      </c>
      <c r="Q3934">
        <v>13.1</v>
      </c>
      <c r="R3934">
        <v>38</v>
      </c>
      <c r="S3934" t="s">
        <v>71</v>
      </c>
    </row>
    <row r="3935" spans="1:19" x14ac:dyDescent="0.3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 t="str">
        <f t="shared" si="61"/>
        <v>8-14 days</v>
      </c>
      <c r="L3935">
        <v>10</v>
      </c>
      <c r="M3935">
        <v>1</v>
      </c>
      <c r="N3935">
        <v>1</v>
      </c>
      <c r="O3935" t="s">
        <v>25</v>
      </c>
      <c r="P3935" t="s">
        <v>26</v>
      </c>
      <c r="Q3935">
        <v>14.4</v>
      </c>
      <c r="R3935">
        <v>34</v>
      </c>
      <c r="S3935" t="s">
        <v>36</v>
      </c>
    </row>
    <row r="3936" spans="1:19" x14ac:dyDescent="0.3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 t="str">
        <f t="shared" si="61"/>
        <v>15-30 days</v>
      </c>
      <c r="L3936">
        <v>22</v>
      </c>
      <c r="M3936">
        <v>1</v>
      </c>
      <c r="N3936">
        <v>0</v>
      </c>
      <c r="O3936" t="s">
        <v>54</v>
      </c>
      <c r="P3936" t="s">
        <v>55</v>
      </c>
      <c r="Q3936">
        <v>13.7</v>
      </c>
      <c r="R3936">
        <v>26</v>
      </c>
      <c r="S3936" t="s">
        <v>36</v>
      </c>
    </row>
    <row r="3937" spans="1:19" x14ac:dyDescent="0.3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 t="str">
        <f t="shared" si="61"/>
        <v>31-60 days</v>
      </c>
      <c r="L3937">
        <v>40</v>
      </c>
      <c r="M3937">
        <v>2</v>
      </c>
      <c r="N3937">
        <v>0</v>
      </c>
      <c r="O3937" t="s">
        <v>54</v>
      </c>
      <c r="P3937" t="s">
        <v>55</v>
      </c>
      <c r="R3937">
        <v>15</v>
      </c>
      <c r="S3937" t="s">
        <v>27</v>
      </c>
    </row>
    <row r="3938" spans="1:19" x14ac:dyDescent="0.3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 t="str">
        <f t="shared" si="61"/>
        <v>31-60 days</v>
      </c>
      <c r="L3938">
        <v>60</v>
      </c>
      <c r="M3938">
        <v>2</v>
      </c>
      <c r="N3938">
        <v>0</v>
      </c>
      <c r="O3938" t="s">
        <v>25</v>
      </c>
      <c r="P3938" t="s">
        <v>35</v>
      </c>
      <c r="Q3938">
        <v>3.8</v>
      </c>
      <c r="R3938">
        <v>2</v>
      </c>
      <c r="S3938" t="s">
        <v>27</v>
      </c>
    </row>
    <row r="3939" spans="1:19" x14ac:dyDescent="0.3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 t="str">
        <f t="shared" si="61"/>
        <v>31-60 days</v>
      </c>
      <c r="L3939">
        <v>60</v>
      </c>
      <c r="M3939">
        <v>5</v>
      </c>
      <c r="N3939">
        <v>1</v>
      </c>
      <c r="O3939" t="s">
        <v>54</v>
      </c>
      <c r="P3939" t="s">
        <v>55</v>
      </c>
      <c r="Q3939">
        <v>21.9</v>
      </c>
      <c r="R3939">
        <v>19</v>
      </c>
      <c r="S3939" t="s">
        <v>27</v>
      </c>
    </row>
    <row r="3940" spans="1:19" x14ac:dyDescent="0.3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 t="str">
        <f t="shared" si="61"/>
        <v>31-60 days</v>
      </c>
      <c r="L3940">
        <v>54</v>
      </c>
      <c r="M3940">
        <v>4</v>
      </c>
      <c r="N3940">
        <v>0</v>
      </c>
      <c r="O3940" t="s">
        <v>25</v>
      </c>
      <c r="P3940" t="s">
        <v>26</v>
      </c>
      <c r="Q3940">
        <v>20.7</v>
      </c>
      <c r="R3940">
        <v>21</v>
      </c>
      <c r="S3940" t="s">
        <v>27</v>
      </c>
    </row>
    <row r="3941" spans="1:19" x14ac:dyDescent="0.3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 t="str">
        <f t="shared" si="61"/>
        <v>8-14 days</v>
      </c>
      <c r="L3941">
        <v>14</v>
      </c>
      <c r="M3941">
        <v>3</v>
      </c>
      <c r="N3941">
        <v>0</v>
      </c>
      <c r="O3941" t="s">
        <v>25</v>
      </c>
      <c r="P3941" t="s">
        <v>26</v>
      </c>
      <c r="Q3941">
        <v>7.9</v>
      </c>
      <c r="R3941">
        <v>25</v>
      </c>
      <c r="S3941" t="s">
        <v>27</v>
      </c>
    </row>
    <row r="3942" spans="1:19" x14ac:dyDescent="0.3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 t="str">
        <f t="shared" si="61"/>
        <v>0-7 days</v>
      </c>
      <c r="L3942">
        <v>5</v>
      </c>
      <c r="M3942">
        <v>3</v>
      </c>
      <c r="N3942">
        <v>1</v>
      </c>
      <c r="O3942" t="s">
        <v>25</v>
      </c>
      <c r="P3942" t="s">
        <v>35</v>
      </c>
      <c r="Q3942">
        <v>15.6</v>
      </c>
      <c r="R3942">
        <v>34</v>
      </c>
      <c r="S3942" t="s">
        <v>27</v>
      </c>
    </row>
    <row r="3943" spans="1:19" x14ac:dyDescent="0.3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 t="str">
        <f t="shared" si="61"/>
        <v>31-60 days</v>
      </c>
      <c r="L3943">
        <v>55</v>
      </c>
      <c r="M3943">
        <v>3</v>
      </c>
      <c r="N3943">
        <v>0</v>
      </c>
      <c r="O3943" t="s">
        <v>25</v>
      </c>
      <c r="P3943" t="s">
        <v>35</v>
      </c>
      <c r="Q3943">
        <v>1.4</v>
      </c>
      <c r="R3943">
        <v>31</v>
      </c>
      <c r="S3943" t="s">
        <v>27</v>
      </c>
    </row>
    <row r="3944" spans="1:19" x14ac:dyDescent="0.3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 t="str">
        <f t="shared" si="61"/>
        <v>31-60 days</v>
      </c>
      <c r="L3944">
        <v>56</v>
      </c>
      <c r="M3944">
        <v>2</v>
      </c>
      <c r="N3944">
        <v>0</v>
      </c>
      <c r="O3944" t="s">
        <v>25</v>
      </c>
      <c r="P3944" t="s">
        <v>26</v>
      </c>
      <c r="Q3944">
        <v>16.600000000000001</v>
      </c>
      <c r="R3944">
        <v>25</v>
      </c>
      <c r="S3944" t="s">
        <v>36</v>
      </c>
    </row>
    <row r="3945" spans="1:19" x14ac:dyDescent="0.3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 t="str">
        <f t="shared" si="61"/>
        <v>15-30 days</v>
      </c>
      <c r="L3945">
        <v>16</v>
      </c>
      <c r="M3945">
        <v>1</v>
      </c>
      <c r="N3945">
        <v>0</v>
      </c>
      <c r="O3945" t="s">
        <v>54</v>
      </c>
      <c r="P3945" t="s">
        <v>55</v>
      </c>
      <c r="R3945">
        <v>20</v>
      </c>
      <c r="S3945" t="s">
        <v>27</v>
      </c>
    </row>
    <row r="3946" spans="1:19" x14ac:dyDescent="0.3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 t="str">
        <f t="shared" si="61"/>
        <v>0-7 days</v>
      </c>
      <c r="L3946">
        <v>1</v>
      </c>
      <c r="M3946">
        <v>2</v>
      </c>
      <c r="N3946">
        <v>0</v>
      </c>
      <c r="O3946" t="s">
        <v>54</v>
      </c>
      <c r="P3946" t="s">
        <v>55</v>
      </c>
      <c r="Q3946">
        <v>4.0999999999999996</v>
      </c>
      <c r="R3946">
        <v>7</v>
      </c>
      <c r="S3946" t="s">
        <v>36</v>
      </c>
    </row>
    <row r="3947" spans="1:19" x14ac:dyDescent="0.3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 t="str">
        <f t="shared" si="61"/>
        <v>31-60 days</v>
      </c>
      <c r="L3947">
        <v>39</v>
      </c>
      <c r="M3947">
        <v>3</v>
      </c>
      <c r="N3947">
        <v>0</v>
      </c>
      <c r="O3947" t="s">
        <v>25</v>
      </c>
      <c r="P3947" t="s">
        <v>50</v>
      </c>
      <c r="Q3947">
        <v>17</v>
      </c>
      <c r="R3947">
        <v>15</v>
      </c>
      <c r="S3947" t="s">
        <v>27</v>
      </c>
    </row>
    <row r="3948" spans="1:19" x14ac:dyDescent="0.3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 t="str">
        <f t="shared" si="61"/>
        <v>0-7 days</v>
      </c>
      <c r="L3948">
        <v>4</v>
      </c>
      <c r="M3948">
        <v>2</v>
      </c>
      <c r="N3948">
        <v>0</v>
      </c>
      <c r="O3948" t="s">
        <v>25</v>
      </c>
      <c r="P3948" t="s">
        <v>35</v>
      </c>
      <c r="Q3948">
        <v>1.7</v>
      </c>
      <c r="R3948">
        <v>13</v>
      </c>
      <c r="S3948" t="s">
        <v>36</v>
      </c>
    </row>
    <row r="3949" spans="1:19" x14ac:dyDescent="0.3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 t="str">
        <f t="shared" si="61"/>
        <v>0-7 days</v>
      </c>
      <c r="L3949">
        <v>2</v>
      </c>
      <c r="M3949">
        <v>3</v>
      </c>
      <c r="N3949">
        <v>0</v>
      </c>
      <c r="O3949" t="s">
        <v>25</v>
      </c>
      <c r="P3949" t="s">
        <v>26</v>
      </c>
      <c r="Q3949">
        <v>13.7</v>
      </c>
      <c r="R3949">
        <v>53</v>
      </c>
      <c r="S3949" t="s">
        <v>36</v>
      </c>
    </row>
    <row r="3950" spans="1:19" x14ac:dyDescent="0.3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 t="str">
        <f t="shared" si="61"/>
        <v>31-60 days</v>
      </c>
      <c r="L3950">
        <v>57</v>
      </c>
      <c r="M3950">
        <v>2</v>
      </c>
      <c r="N3950">
        <v>2</v>
      </c>
      <c r="O3950" t="s">
        <v>25</v>
      </c>
      <c r="P3950" t="s">
        <v>35</v>
      </c>
      <c r="Q3950">
        <v>16.899999999999999</v>
      </c>
      <c r="S3950" t="s">
        <v>27</v>
      </c>
    </row>
    <row r="3951" spans="1:19" x14ac:dyDescent="0.3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 t="str">
        <f t="shared" si="61"/>
        <v>15-30 days</v>
      </c>
      <c r="L3951">
        <v>30</v>
      </c>
      <c r="M3951">
        <v>1</v>
      </c>
      <c r="N3951">
        <v>0</v>
      </c>
      <c r="O3951" t="s">
        <v>25</v>
      </c>
      <c r="P3951" t="s">
        <v>35</v>
      </c>
      <c r="Q3951">
        <v>18.7</v>
      </c>
      <c r="R3951">
        <v>10</v>
      </c>
      <c r="S3951" t="s">
        <v>36</v>
      </c>
    </row>
    <row r="3952" spans="1:19" x14ac:dyDescent="0.3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 t="str">
        <f t="shared" si="61"/>
        <v>0-7 days</v>
      </c>
      <c r="L3952">
        <v>6</v>
      </c>
      <c r="M3952">
        <v>3</v>
      </c>
      <c r="N3952">
        <v>1</v>
      </c>
      <c r="O3952" t="s">
        <v>25</v>
      </c>
      <c r="P3952" t="s">
        <v>26</v>
      </c>
      <c r="Q3952">
        <v>1.4</v>
      </c>
      <c r="R3952">
        <v>28</v>
      </c>
      <c r="S3952" t="s">
        <v>36</v>
      </c>
    </row>
    <row r="3953" spans="1:19" x14ac:dyDescent="0.3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 t="str">
        <f t="shared" si="61"/>
        <v>31-60 days</v>
      </c>
      <c r="L3953">
        <v>39</v>
      </c>
      <c r="M3953">
        <v>7</v>
      </c>
      <c r="N3953">
        <v>2</v>
      </c>
      <c r="O3953" t="s">
        <v>25</v>
      </c>
      <c r="P3953" t="s">
        <v>50</v>
      </c>
      <c r="Q3953">
        <v>2.5</v>
      </c>
      <c r="R3953">
        <v>9</v>
      </c>
      <c r="S3953" t="s">
        <v>36</v>
      </c>
    </row>
    <row r="3954" spans="1:19" x14ac:dyDescent="0.3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 t="str">
        <f t="shared" si="61"/>
        <v>15-30 days</v>
      </c>
      <c r="L3954">
        <v>22</v>
      </c>
      <c r="M3954">
        <v>3</v>
      </c>
      <c r="N3954">
        <v>0</v>
      </c>
      <c r="O3954" t="s">
        <v>25</v>
      </c>
      <c r="P3954" t="s">
        <v>35</v>
      </c>
      <c r="Q3954">
        <v>2.8</v>
      </c>
      <c r="R3954">
        <v>26</v>
      </c>
      <c r="S3954" t="s">
        <v>27</v>
      </c>
    </row>
    <row r="3955" spans="1:19" x14ac:dyDescent="0.3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 t="str">
        <f t="shared" si="61"/>
        <v>31-60 days</v>
      </c>
      <c r="L3955">
        <v>32</v>
      </c>
      <c r="M3955">
        <v>2</v>
      </c>
      <c r="N3955">
        <v>0</v>
      </c>
      <c r="O3955" t="s">
        <v>54</v>
      </c>
      <c r="P3955" t="s">
        <v>55</v>
      </c>
      <c r="Q3955">
        <v>12.9</v>
      </c>
      <c r="R3955">
        <v>19</v>
      </c>
      <c r="S3955" t="s">
        <v>36</v>
      </c>
    </row>
    <row r="3956" spans="1:19" x14ac:dyDescent="0.3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 t="str">
        <f t="shared" si="61"/>
        <v>31-60 days</v>
      </c>
      <c r="L3956">
        <v>54</v>
      </c>
      <c r="M3956">
        <v>3</v>
      </c>
      <c r="N3956">
        <v>1</v>
      </c>
      <c r="O3956" t="s">
        <v>25</v>
      </c>
      <c r="P3956" t="s">
        <v>35</v>
      </c>
      <c r="R3956">
        <v>22</v>
      </c>
      <c r="S3956" t="s">
        <v>36</v>
      </c>
    </row>
    <row r="3957" spans="1:19" x14ac:dyDescent="0.3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 t="str">
        <f t="shared" si="61"/>
        <v>8-14 days</v>
      </c>
      <c r="L3957">
        <v>14</v>
      </c>
      <c r="M3957">
        <v>5</v>
      </c>
      <c r="N3957">
        <v>0</v>
      </c>
      <c r="O3957" t="s">
        <v>25</v>
      </c>
      <c r="P3957" t="s">
        <v>50</v>
      </c>
      <c r="Q3957">
        <v>11.1</v>
      </c>
      <c r="R3957">
        <v>36</v>
      </c>
      <c r="S3957" t="s">
        <v>71</v>
      </c>
    </row>
    <row r="3958" spans="1:19" x14ac:dyDescent="0.3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 t="str">
        <f t="shared" si="61"/>
        <v>31-60 days</v>
      </c>
      <c r="L3958">
        <v>39</v>
      </c>
      <c r="M3958">
        <v>5</v>
      </c>
      <c r="N3958">
        <v>0</v>
      </c>
      <c r="O3958" t="s">
        <v>25</v>
      </c>
      <c r="P3958" t="s">
        <v>26</v>
      </c>
      <c r="Q3958">
        <v>5.9</v>
      </c>
      <c r="R3958">
        <v>28</v>
      </c>
      <c r="S3958" t="s">
        <v>36</v>
      </c>
    </row>
    <row r="3959" spans="1:19" x14ac:dyDescent="0.3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 t="str">
        <f t="shared" si="61"/>
        <v>31-60 days</v>
      </c>
      <c r="L3959">
        <v>50</v>
      </c>
      <c r="M3959">
        <v>2</v>
      </c>
      <c r="N3959">
        <v>0</v>
      </c>
      <c r="O3959" t="s">
        <v>54</v>
      </c>
      <c r="P3959" t="s">
        <v>55</v>
      </c>
      <c r="Q3959">
        <v>20</v>
      </c>
      <c r="R3959">
        <v>34</v>
      </c>
      <c r="S3959" t="s">
        <v>27</v>
      </c>
    </row>
    <row r="3960" spans="1:19" x14ac:dyDescent="0.3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 t="str">
        <f t="shared" si="61"/>
        <v>15-30 days</v>
      </c>
      <c r="L3960">
        <v>25</v>
      </c>
      <c r="M3960">
        <v>4</v>
      </c>
      <c r="N3960">
        <v>0</v>
      </c>
      <c r="O3960" t="s">
        <v>25</v>
      </c>
      <c r="P3960" t="s">
        <v>26</v>
      </c>
      <c r="Q3960">
        <v>20.5</v>
      </c>
      <c r="R3960">
        <v>30</v>
      </c>
      <c r="S3960" t="s">
        <v>27</v>
      </c>
    </row>
    <row r="3961" spans="1:19" x14ac:dyDescent="0.3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 t="str">
        <f t="shared" si="61"/>
        <v>31-60 days</v>
      </c>
      <c r="L3961">
        <v>59</v>
      </c>
      <c r="M3961">
        <v>4</v>
      </c>
      <c r="N3961">
        <v>0</v>
      </c>
      <c r="O3961" t="s">
        <v>25</v>
      </c>
      <c r="P3961" t="s">
        <v>50</v>
      </c>
      <c r="Q3961">
        <v>22.6</v>
      </c>
      <c r="R3961">
        <v>16</v>
      </c>
      <c r="S3961" t="s">
        <v>27</v>
      </c>
    </row>
    <row r="3962" spans="1:19" x14ac:dyDescent="0.3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 t="str">
        <f t="shared" si="61"/>
        <v>15-30 days</v>
      </c>
      <c r="L3962">
        <v>27</v>
      </c>
      <c r="M3962">
        <v>2</v>
      </c>
      <c r="N3962">
        <v>0</v>
      </c>
      <c r="O3962" t="s">
        <v>54</v>
      </c>
      <c r="P3962" t="s">
        <v>55</v>
      </c>
      <c r="Q3962">
        <v>4.0999999999999996</v>
      </c>
      <c r="R3962">
        <v>10</v>
      </c>
      <c r="S3962" t="s">
        <v>27</v>
      </c>
    </row>
    <row r="3963" spans="1:19" x14ac:dyDescent="0.3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 t="str">
        <f t="shared" si="61"/>
        <v>15-30 days</v>
      </c>
      <c r="L3963">
        <v>28</v>
      </c>
      <c r="M3963">
        <v>1</v>
      </c>
      <c r="N3963">
        <v>0</v>
      </c>
      <c r="O3963" t="s">
        <v>25</v>
      </c>
      <c r="P3963" t="s">
        <v>35</v>
      </c>
      <c r="Q3963">
        <v>3.1</v>
      </c>
      <c r="R3963">
        <v>21</v>
      </c>
      <c r="S3963" t="s">
        <v>36</v>
      </c>
    </row>
    <row r="3964" spans="1:19" x14ac:dyDescent="0.3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 t="str">
        <f t="shared" si="61"/>
        <v>31-60 days</v>
      </c>
      <c r="L3964">
        <v>53</v>
      </c>
      <c r="M3964">
        <v>3</v>
      </c>
      <c r="N3964">
        <v>0</v>
      </c>
      <c r="O3964" t="s">
        <v>25</v>
      </c>
      <c r="P3964" t="s">
        <v>35</v>
      </c>
      <c r="Q3964">
        <v>2.2000000000000002</v>
      </c>
      <c r="R3964">
        <v>21</v>
      </c>
      <c r="S3964" t="s">
        <v>71</v>
      </c>
    </row>
    <row r="3965" spans="1:19" x14ac:dyDescent="0.3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 t="str">
        <f t="shared" si="61"/>
        <v>31-60 days</v>
      </c>
      <c r="L3965">
        <v>38</v>
      </c>
      <c r="M3965">
        <v>2</v>
      </c>
      <c r="N3965">
        <v>1</v>
      </c>
      <c r="O3965" t="s">
        <v>25</v>
      </c>
      <c r="P3965" t="s">
        <v>35</v>
      </c>
      <c r="Q3965">
        <v>3.1</v>
      </c>
      <c r="R3965">
        <v>18</v>
      </c>
      <c r="S3965" t="s">
        <v>27</v>
      </c>
    </row>
    <row r="3966" spans="1:19" x14ac:dyDescent="0.3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 t="str">
        <f t="shared" si="61"/>
        <v>31-60 days</v>
      </c>
      <c r="L3966">
        <v>52</v>
      </c>
      <c r="M3966">
        <v>1</v>
      </c>
      <c r="N3966">
        <v>0</v>
      </c>
      <c r="O3966" t="s">
        <v>25</v>
      </c>
      <c r="P3966" t="s">
        <v>35</v>
      </c>
      <c r="Q3966">
        <v>1.6</v>
      </c>
      <c r="R3966">
        <v>16</v>
      </c>
      <c r="S3966" t="s">
        <v>27</v>
      </c>
    </row>
    <row r="3967" spans="1:19" x14ac:dyDescent="0.3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 t="str">
        <f t="shared" si="61"/>
        <v>31-60 days</v>
      </c>
      <c r="L3967">
        <v>48</v>
      </c>
      <c r="M3967">
        <v>0</v>
      </c>
      <c r="N3967">
        <v>0</v>
      </c>
      <c r="O3967" t="s">
        <v>25</v>
      </c>
      <c r="P3967" t="s">
        <v>26</v>
      </c>
      <c r="Q3967">
        <v>15.5</v>
      </c>
      <c r="R3967">
        <v>25</v>
      </c>
      <c r="S3967" t="s">
        <v>27</v>
      </c>
    </row>
    <row r="3968" spans="1:19" x14ac:dyDescent="0.3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 t="str">
        <f t="shared" si="61"/>
        <v>31-60 days</v>
      </c>
      <c r="L3968">
        <v>43</v>
      </c>
      <c r="M3968">
        <v>6</v>
      </c>
      <c r="N3968">
        <v>2</v>
      </c>
      <c r="O3968" t="s">
        <v>54</v>
      </c>
      <c r="P3968" t="s">
        <v>55</v>
      </c>
      <c r="Q3968">
        <v>10.9</v>
      </c>
      <c r="R3968">
        <v>39</v>
      </c>
      <c r="S3968" t="s">
        <v>27</v>
      </c>
    </row>
    <row r="3969" spans="1:19" x14ac:dyDescent="0.3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 t="str">
        <f t="shared" si="61"/>
        <v>8-14 days</v>
      </c>
      <c r="L3969">
        <v>14</v>
      </c>
      <c r="M3969">
        <v>5</v>
      </c>
      <c r="N3969">
        <v>1</v>
      </c>
      <c r="O3969" t="s">
        <v>25</v>
      </c>
      <c r="P3969" t="s">
        <v>35</v>
      </c>
      <c r="Q3969">
        <v>43</v>
      </c>
      <c r="R3969">
        <v>2</v>
      </c>
      <c r="S3969" t="s">
        <v>36</v>
      </c>
    </row>
    <row r="3970" spans="1:19" x14ac:dyDescent="0.3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 t="str">
        <f t="shared" si="61"/>
        <v>15-30 days</v>
      </c>
      <c r="L3970">
        <v>24</v>
      </c>
      <c r="M3970">
        <v>4</v>
      </c>
      <c r="N3970">
        <v>0</v>
      </c>
      <c r="O3970" t="s">
        <v>25</v>
      </c>
      <c r="P3970" t="s">
        <v>26</v>
      </c>
      <c r="Q3970">
        <v>8.4</v>
      </c>
      <c r="R3970">
        <v>10</v>
      </c>
      <c r="S3970" t="s">
        <v>36</v>
      </c>
    </row>
    <row r="3971" spans="1:19" x14ac:dyDescent="0.3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 t="str">
        <f t="shared" ref="K3971:K4034" si="62">IF(L3971&lt;=7,"0-7 days",IF(L3971&lt;=14,"8-14 days",IF(L3971&lt;=30,"15-30 days","31-60 days")))</f>
        <v>31-60 days</v>
      </c>
      <c r="L3971">
        <v>52</v>
      </c>
      <c r="M3971">
        <v>4</v>
      </c>
      <c r="N3971">
        <v>0</v>
      </c>
      <c r="O3971" t="s">
        <v>25</v>
      </c>
      <c r="P3971" t="s">
        <v>50</v>
      </c>
      <c r="Q3971">
        <v>9.1</v>
      </c>
      <c r="R3971">
        <v>27</v>
      </c>
      <c r="S3971" t="s">
        <v>27</v>
      </c>
    </row>
    <row r="3972" spans="1:19" x14ac:dyDescent="0.3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 t="str">
        <f t="shared" si="62"/>
        <v>31-60 days</v>
      </c>
      <c r="L3972">
        <v>37</v>
      </c>
      <c r="M3972">
        <v>4</v>
      </c>
      <c r="N3972">
        <v>0</v>
      </c>
      <c r="O3972" t="s">
        <v>54</v>
      </c>
      <c r="P3972" t="s">
        <v>55</v>
      </c>
      <c r="Q3972">
        <v>17.3</v>
      </c>
      <c r="R3972">
        <v>4</v>
      </c>
      <c r="S3972" t="s">
        <v>36</v>
      </c>
    </row>
    <row r="3973" spans="1:19" x14ac:dyDescent="0.3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 t="str">
        <f t="shared" si="62"/>
        <v>15-30 days</v>
      </c>
      <c r="L3973">
        <v>17</v>
      </c>
      <c r="M3973">
        <v>2</v>
      </c>
      <c r="N3973">
        <v>0</v>
      </c>
      <c r="O3973" t="s">
        <v>25</v>
      </c>
      <c r="P3973" t="s">
        <v>35</v>
      </c>
      <c r="Q3973">
        <v>6.4</v>
      </c>
      <c r="R3973">
        <v>8</v>
      </c>
      <c r="S3973" t="s">
        <v>27</v>
      </c>
    </row>
    <row r="3974" spans="1:19" x14ac:dyDescent="0.3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 t="str">
        <f t="shared" si="62"/>
        <v>15-30 days</v>
      </c>
      <c r="L3974">
        <v>19</v>
      </c>
      <c r="M3974">
        <v>4</v>
      </c>
      <c r="N3974">
        <v>1</v>
      </c>
      <c r="O3974" t="s">
        <v>25</v>
      </c>
      <c r="P3974" t="s">
        <v>26</v>
      </c>
      <c r="Q3974">
        <v>4.2</v>
      </c>
      <c r="R3974">
        <v>47</v>
      </c>
      <c r="S3974" t="s">
        <v>36</v>
      </c>
    </row>
    <row r="3975" spans="1:19" x14ac:dyDescent="0.3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 t="str">
        <f t="shared" si="62"/>
        <v>31-60 days</v>
      </c>
      <c r="L3975">
        <v>47</v>
      </c>
      <c r="M3975">
        <v>4</v>
      </c>
      <c r="N3975">
        <v>1</v>
      </c>
      <c r="O3975" t="s">
        <v>25</v>
      </c>
      <c r="P3975" t="s">
        <v>35</v>
      </c>
      <c r="Q3975">
        <v>10.5</v>
      </c>
      <c r="R3975">
        <v>30</v>
      </c>
      <c r="S3975" t="s">
        <v>27</v>
      </c>
    </row>
    <row r="3976" spans="1:19" x14ac:dyDescent="0.3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 t="str">
        <f t="shared" si="62"/>
        <v>8-14 days</v>
      </c>
      <c r="L3976">
        <v>10</v>
      </c>
      <c r="M3976">
        <v>3</v>
      </c>
      <c r="N3976">
        <v>0</v>
      </c>
      <c r="O3976" t="s">
        <v>54</v>
      </c>
      <c r="P3976" t="s">
        <v>55</v>
      </c>
      <c r="Q3976">
        <v>7.9</v>
      </c>
      <c r="R3976">
        <v>53</v>
      </c>
      <c r="S3976" t="s">
        <v>36</v>
      </c>
    </row>
    <row r="3977" spans="1:19" x14ac:dyDescent="0.3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 t="str">
        <f t="shared" si="62"/>
        <v>0-7 days</v>
      </c>
      <c r="L3977">
        <v>6</v>
      </c>
      <c r="M3977">
        <v>4</v>
      </c>
      <c r="N3977">
        <v>2</v>
      </c>
      <c r="O3977" t="s">
        <v>25</v>
      </c>
      <c r="P3977" t="s">
        <v>50</v>
      </c>
      <c r="Q3977">
        <v>10.3</v>
      </c>
      <c r="R3977">
        <v>5</v>
      </c>
      <c r="S3977" t="s">
        <v>36</v>
      </c>
    </row>
    <row r="3978" spans="1:19" x14ac:dyDescent="0.3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 t="str">
        <f t="shared" si="62"/>
        <v>31-60 days</v>
      </c>
      <c r="L3978">
        <v>46</v>
      </c>
      <c r="M3978">
        <v>5</v>
      </c>
      <c r="N3978">
        <v>2</v>
      </c>
      <c r="O3978" t="s">
        <v>25</v>
      </c>
      <c r="P3978" t="s">
        <v>35</v>
      </c>
      <c r="Q3978">
        <v>22.7</v>
      </c>
      <c r="R3978">
        <v>47</v>
      </c>
      <c r="S3978" t="s">
        <v>27</v>
      </c>
    </row>
    <row r="3979" spans="1:19" x14ac:dyDescent="0.3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 t="str">
        <f t="shared" si="62"/>
        <v>15-30 days</v>
      </c>
      <c r="L3979">
        <v>17</v>
      </c>
      <c r="M3979">
        <v>1</v>
      </c>
      <c r="N3979">
        <v>0</v>
      </c>
      <c r="O3979" t="s">
        <v>25</v>
      </c>
      <c r="P3979" t="s">
        <v>35</v>
      </c>
      <c r="Q3979">
        <v>5</v>
      </c>
      <c r="R3979">
        <v>10</v>
      </c>
      <c r="S3979" t="s">
        <v>27</v>
      </c>
    </row>
    <row r="3980" spans="1:19" x14ac:dyDescent="0.3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 t="str">
        <f t="shared" si="62"/>
        <v>31-60 days</v>
      </c>
      <c r="L3980">
        <v>46</v>
      </c>
      <c r="M3980">
        <v>2</v>
      </c>
      <c r="N3980">
        <v>1</v>
      </c>
      <c r="O3980" t="s">
        <v>54</v>
      </c>
      <c r="P3980" t="s">
        <v>55</v>
      </c>
      <c r="Q3980">
        <v>5.0999999999999996</v>
      </c>
      <c r="R3980">
        <v>34</v>
      </c>
      <c r="S3980" t="s">
        <v>27</v>
      </c>
    </row>
    <row r="3981" spans="1:19" x14ac:dyDescent="0.3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 t="str">
        <f t="shared" si="62"/>
        <v>31-60 days</v>
      </c>
      <c r="L3981">
        <v>32</v>
      </c>
      <c r="M3981">
        <v>3</v>
      </c>
      <c r="N3981">
        <v>0</v>
      </c>
      <c r="O3981" t="s">
        <v>25</v>
      </c>
      <c r="P3981" t="s">
        <v>26</v>
      </c>
      <c r="Q3981">
        <v>14.5</v>
      </c>
      <c r="R3981">
        <v>2</v>
      </c>
      <c r="S3981" t="s">
        <v>27</v>
      </c>
    </row>
    <row r="3982" spans="1:19" x14ac:dyDescent="0.3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 t="str">
        <f t="shared" si="62"/>
        <v>31-60 days</v>
      </c>
      <c r="L3982">
        <v>60</v>
      </c>
      <c r="M3982">
        <v>5</v>
      </c>
      <c r="N3982">
        <v>1</v>
      </c>
      <c r="O3982" t="s">
        <v>54</v>
      </c>
      <c r="P3982" t="s">
        <v>55</v>
      </c>
      <c r="Q3982">
        <v>5.2</v>
      </c>
      <c r="R3982">
        <v>27</v>
      </c>
      <c r="S3982" t="s">
        <v>27</v>
      </c>
    </row>
    <row r="3983" spans="1:19" x14ac:dyDescent="0.3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 t="str">
        <f t="shared" si="62"/>
        <v>31-60 days</v>
      </c>
      <c r="L3983">
        <v>32</v>
      </c>
      <c r="M3983">
        <v>2</v>
      </c>
      <c r="N3983">
        <v>1</v>
      </c>
      <c r="O3983" t="s">
        <v>25</v>
      </c>
      <c r="P3983" t="s">
        <v>35</v>
      </c>
      <c r="Q3983">
        <v>38.4</v>
      </c>
      <c r="R3983">
        <v>28</v>
      </c>
      <c r="S3983" t="s">
        <v>27</v>
      </c>
    </row>
    <row r="3984" spans="1:19" x14ac:dyDescent="0.3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 t="str">
        <f t="shared" si="62"/>
        <v>31-60 days</v>
      </c>
      <c r="L3984">
        <v>52</v>
      </c>
      <c r="M3984">
        <v>4</v>
      </c>
      <c r="N3984">
        <v>0</v>
      </c>
      <c r="O3984" t="s">
        <v>25</v>
      </c>
      <c r="P3984" t="s">
        <v>35</v>
      </c>
      <c r="Q3984">
        <v>7.6</v>
      </c>
      <c r="R3984">
        <v>19</v>
      </c>
      <c r="S3984" t="s">
        <v>27</v>
      </c>
    </row>
    <row r="3985" spans="1:19" x14ac:dyDescent="0.3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 t="str">
        <f t="shared" si="62"/>
        <v>31-60 days</v>
      </c>
      <c r="L3985">
        <v>51</v>
      </c>
      <c r="M3985">
        <v>5</v>
      </c>
      <c r="N3985">
        <v>1</v>
      </c>
      <c r="O3985" t="s">
        <v>25</v>
      </c>
      <c r="P3985" t="s">
        <v>35</v>
      </c>
      <c r="Q3985">
        <v>10.9</v>
      </c>
      <c r="R3985">
        <v>9</v>
      </c>
      <c r="S3985" t="s">
        <v>27</v>
      </c>
    </row>
    <row r="3986" spans="1:19" x14ac:dyDescent="0.3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 t="str">
        <f t="shared" si="62"/>
        <v>8-14 days</v>
      </c>
      <c r="L3986">
        <v>12</v>
      </c>
      <c r="M3986">
        <v>2</v>
      </c>
      <c r="N3986">
        <v>0</v>
      </c>
      <c r="O3986" t="s">
        <v>25</v>
      </c>
      <c r="P3986" t="s">
        <v>50</v>
      </c>
      <c r="Q3986">
        <v>17.399999999999999</v>
      </c>
      <c r="R3986">
        <v>21</v>
      </c>
      <c r="S3986" t="s">
        <v>36</v>
      </c>
    </row>
    <row r="3987" spans="1:19" x14ac:dyDescent="0.3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 t="str">
        <f t="shared" si="62"/>
        <v>31-60 days</v>
      </c>
      <c r="L3987">
        <v>60</v>
      </c>
      <c r="M3987">
        <v>2</v>
      </c>
      <c r="N3987">
        <v>0</v>
      </c>
      <c r="O3987" t="s">
        <v>25</v>
      </c>
      <c r="P3987" t="s">
        <v>35</v>
      </c>
      <c r="Q3987">
        <v>9.4</v>
      </c>
      <c r="R3987">
        <v>27</v>
      </c>
      <c r="S3987" t="s">
        <v>27</v>
      </c>
    </row>
    <row r="3988" spans="1:19" x14ac:dyDescent="0.3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 t="str">
        <f t="shared" si="62"/>
        <v>31-60 days</v>
      </c>
      <c r="L3988">
        <v>45</v>
      </c>
      <c r="M3988">
        <v>4</v>
      </c>
      <c r="N3988">
        <v>1</v>
      </c>
      <c r="O3988" t="s">
        <v>25</v>
      </c>
      <c r="P3988" t="s">
        <v>50</v>
      </c>
      <c r="Q3988">
        <v>7.9</v>
      </c>
      <c r="R3988">
        <v>11</v>
      </c>
      <c r="S3988" t="s">
        <v>36</v>
      </c>
    </row>
    <row r="3989" spans="1:19" x14ac:dyDescent="0.3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 t="str">
        <f t="shared" si="62"/>
        <v>0-7 days</v>
      </c>
      <c r="L3989">
        <v>6</v>
      </c>
      <c r="M3989">
        <v>0</v>
      </c>
      <c r="N3989">
        <v>0</v>
      </c>
      <c r="O3989" t="s">
        <v>25</v>
      </c>
      <c r="P3989" t="s">
        <v>26</v>
      </c>
      <c r="Q3989">
        <v>16</v>
      </c>
      <c r="R3989">
        <v>22</v>
      </c>
      <c r="S3989" t="s">
        <v>27</v>
      </c>
    </row>
    <row r="3990" spans="1:19" x14ac:dyDescent="0.3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 t="str">
        <f t="shared" si="62"/>
        <v>0-7 days</v>
      </c>
      <c r="L3990">
        <v>0</v>
      </c>
      <c r="M3990">
        <v>4</v>
      </c>
      <c r="N3990">
        <v>0</v>
      </c>
      <c r="O3990" t="s">
        <v>25</v>
      </c>
      <c r="P3990" t="s">
        <v>35</v>
      </c>
      <c r="Q3990">
        <v>4.8</v>
      </c>
      <c r="R3990">
        <v>23</v>
      </c>
      <c r="S3990" t="s">
        <v>36</v>
      </c>
    </row>
    <row r="3991" spans="1:19" x14ac:dyDescent="0.3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 t="str">
        <f t="shared" si="62"/>
        <v>15-30 days</v>
      </c>
      <c r="L3991">
        <v>16</v>
      </c>
      <c r="M3991">
        <v>5</v>
      </c>
      <c r="N3991">
        <v>0</v>
      </c>
      <c r="O3991" t="s">
        <v>25</v>
      </c>
      <c r="P3991" t="s">
        <v>35</v>
      </c>
      <c r="Q3991">
        <v>10.6</v>
      </c>
      <c r="R3991">
        <v>29</v>
      </c>
      <c r="S3991" t="s">
        <v>36</v>
      </c>
    </row>
    <row r="3992" spans="1:19" x14ac:dyDescent="0.3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 t="str">
        <f t="shared" si="62"/>
        <v>0-7 days</v>
      </c>
      <c r="L3992">
        <v>0</v>
      </c>
      <c r="M3992">
        <v>3</v>
      </c>
      <c r="N3992">
        <v>1</v>
      </c>
      <c r="O3992" t="s">
        <v>25</v>
      </c>
      <c r="P3992" t="s">
        <v>35</v>
      </c>
      <c r="Q3992">
        <v>4</v>
      </c>
      <c r="R3992">
        <v>6</v>
      </c>
      <c r="S3992" t="s">
        <v>27</v>
      </c>
    </row>
    <row r="3993" spans="1:19" x14ac:dyDescent="0.3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 t="str">
        <f t="shared" si="62"/>
        <v>15-30 days</v>
      </c>
      <c r="L3993">
        <v>21</v>
      </c>
      <c r="M3993">
        <v>2</v>
      </c>
      <c r="N3993">
        <v>0</v>
      </c>
      <c r="O3993" t="s">
        <v>25</v>
      </c>
      <c r="P3993" t="s">
        <v>35</v>
      </c>
      <c r="Q3993">
        <v>15.1</v>
      </c>
      <c r="R3993">
        <v>17</v>
      </c>
      <c r="S3993" t="s">
        <v>27</v>
      </c>
    </row>
    <row r="3994" spans="1:19" x14ac:dyDescent="0.3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 t="str">
        <f t="shared" si="62"/>
        <v>31-60 days</v>
      </c>
      <c r="L3994">
        <v>60</v>
      </c>
      <c r="M3994">
        <v>4</v>
      </c>
      <c r="N3994">
        <v>1</v>
      </c>
      <c r="O3994" t="s">
        <v>54</v>
      </c>
      <c r="P3994" t="s">
        <v>55</v>
      </c>
      <c r="Q3994">
        <v>7.5</v>
      </c>
      <c r="R3994">
        <v>26</v>
      </c>
      <c r="S3994" t="s">
        <v>27</v>
      </c>
    </row>
    <row r="3995" spans="1:19" x14ac:dyDescent="0.3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 t="str">
        <f t="shared" si="62"/>
        <v>15-30 days</v>
      </c>
      <c r="L3995">
        <v>29</v>
      </c>
      <c r="M3995">
        <v>3</v>
      </c>
      <c r="N3995">
        <v>0</v>
      </c>
      <c r="O3995" t="s">
        <v>25</v>
      </c>
      <c r="P3995" t="s">
        <v>35</v>
      </c>
      <c r="Q3995">
        <v>10.8</v>
      </c>
      <c r="R3995">
        <v>20</v>
      </c>
      <c r="S3995" t="s">
        <v>27</v>
      </c>
    </row>
    <row r="3996" spans="1:19" x14ac:dyDescent="0.3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 t="str">
        <f t="shared" si="62"/>
        <v>0-7 days</v>
      </c>
      <c r="L3996">
        <v>1</v>
      </c>
      <c r="M3996">
        <v>1</v>
      </c>
      <c r="N3996">
        <v>0</v>
      </c>
      <c r="O3996" t="s">
        <v>25</v>
      </c>
      <c r="P3996" t="s">
        <v>50</v>
      </c>
      <c r="Q3996">
        <v>18.3</v>
      </c>
      <c r="R3996">
        <v>12</v>
      </c>
      <c r="S3996" t="s">
        <v>36</v>
      </c>
    </row>
    <row r="3997" spans="1:19" x14ac:dyDescent="0.3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 t="str">
        <f t="shared" si="62"/>
        <v>15-30 days</v>
      </c>
      <c r="L3997">
        <v>30</v>
      </c>
      <c r="M3997">
        <v>2</v>
      </c>
      <c r="N3997">
        <v>0</v>
      </c>
      <c r="O3997" t="s">
        <v>25</v>
      </c>
      <c r="P3997" t="s">
        <v>35</v>
      </c>
      <c r="Q3997">
        <v>4.4000000000000004</v>
      </c>
      <c r="R3997">
        <v>34</v>
      </c>
      <c r="S3997" t="s">
        <v>27</v>
      </c>
    </row>
    <row r="3998" spans="1:19" x14ac:dyDescent="0.3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 t="str">
        <f t="shared" si="62"/>
        <v>8-14 days</v>
      </c>
      <c r="L3998">
        <v>13</v>
      </c>
      <c r="M3998">
        <v>1</v>
      </c>
      <c r="N3998">
        <v>0</v>
      </c>
      <c r="O3998" t="s">
        <v>54</v>
      </c>
      <c r="P3998" t="s">
        <v>55</v>
      </c>
      <c r="Q3998">
        <v>12</v>
      </c>
      <c r="R3998">
        <v>35</v>
      </c>
      <c r="S3998" t="s">
        <v>36</v>
      </c>
    </row>
    <row r="3999" spans="1:19" x14ac:dyDescent="0.3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 t="str">
        <f t="shared" si="62"/>
        <v>31-60 days</v>
      </c>
      <c r="L3999">
        <v>52</v>
      </c>
      <c r="M3999">
        <v>5</v>
      </c>
      <c r="N3999">
        <v>1</v>
      </c>
      <c r="O3999" t="s">
        <v>25</v>
      </c>
      <c r="P3999" t="s">
        <v>35</v>
      </c>
      <c r="Q3999">
        <v>15.3</v>
      </c>
      <c r="R3999">
        <v>32</v>
      </c>
      <c r="S3999" t="s">
        <v>27</v>
      </c>
    </row>
    <row r="4000" spans="1:19" x14ac:dyDescent="0.3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 t="str">
        <f t="shared" si="62"/>
        <v>0-7 days</v>
      </c>
      <c r="L4000">
        <v>5</v>
      </c>
      <c r="M4000">
        <v>2</v>
      </c>
      <c r="N4000">
        <v>1</v>
      </c>
      <c r="O4000" t="s">
        <v>25</v>
      </c>
      <c r="P4000" t="s">
        <v>26</v>
      </c>
      <c r="Q4000">
        <v>14</v>
      </c>
      <c r="S4000" t="s">
        <v>27</v>
      </c>
    </row>
    <row r="4001" spans="1:19" x14ac:dyDescent="0.3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 t="str">
        <f t="shared" si="62"/>
        <v>31-60 days</v>
      </c>
      <c r="L4001">
        <v>47</v>
      </c>
      <c r="M4001">
        <v>4</v>
      </c>
      <c r="N4001">
        <v>2</v>
      </c>
      <c r="O4001" t="s">
        <v>25</v>
      </c>
      <c r="P4001" t="s">
        <v>26</v>
      </c>
      <c r="Q4001">
        <v>7.4</v>
      </c>
      <c r="R4001">
        <v>22</v>
      </c>
      <c r="S4001" t="s">
        <v>27</v>
      </c>
    </row>
    <row r="4002" spans="1:19" x14ac:dyDescent="0.3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 t="str">
        <f t="shared" si="62"/>
        <v>15-30 days</v>
      </c>
      <c r="L4002">
        <v>27</v>
      </c>
      <c r="M4002">
        <v>2</v>
      </c>
      <c r="N4002">
        <v>1</v>
      </c>
      <c r="O4002" t="s">
        <v>54</v>
      </c>
      <c r="P4002" t="s">
        <v>55</v>
      </c>
      <c r="Q4002">
        <v>2.8</v>
      </c>
      <c r="R4002">
        <v>38</v>
      </c>
      <c r="S4002" t="s">
        <v>36</v>
      </c>
    </row>
    <row r="4003" spans="1:19" x14ac:dyDescent="0.3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 t="str">
        <f t="shared" si="62"/>
        <v>0-7 days</v>
      </c>
      <c r="L4003">
        <v>1</v>
      </c>
      <c r="M4003">
        <v>5</v>
      </c>
      <c r="N4003">
        <v>2</v>
      </c>
      <c r="O4003" t="s">
        <v>25</v>
      </c>
      <c r="P4003" t="s">
        <v>50</v>
      </c>
      <c r="Q4003">
        <v>18.7</v>
      </c>
      <c r="R4003">
        <v>33</v>
      </c>
      <c r="S4003" t="s">
        <v>27</v>
      </c>
    </row>
    <row r="4004" spans="1:19" x14ac:dyDescent="0.3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 t="str">
        <f t="shared" si="62"/>
        <v>31-60 days</v>
      </c>
      <c r="L4004">
        <v>41</v>
      </c>
      <c r="M4004">
        <v>1</v>
      </c>
      <c r="N4004">
        <v>0</v>
      </c>
      <c r="O4004" t="s">
        <v>25</v>
      </c>
      <c r="P4004" t="s">
        <v>35</v>
      </c>
      <c r="Q4004">
        <v>2.8</v>
      </c>
      <c r="R4004">
        <v>38</v>
      </c>
      <c r="S4004" t="s">
        <v>27</v>
      </c>
    </row>
    <row r="4005" spans="1:19" x14ac:dyDescent="0.3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 t="str">
        <f t="shared" si="62"/>
        <v>15-30 days</v>
      </c>
      <c r="L4005">
        <v>27</v>
      </c>
      <c r="M4005">
        <v>1</v>
      </c>
      <c r="N4005">
        <v>0</v>
      </c>
      <c r="O4005" t="s">
        <v>25</v>
      </c>
      <c r="P4005" t="s">
        <v>35</v>
      </c>
      <c r="Q4005">
        <v>2.2999999999999998</v>
      </c>
      <c r="R4005">
        <v>25</v>
      </c>
      <c r="S4005" t="s">
        <v>27</v>
      </c>
    </row>
    <row r="4006" spans="1:19" x14ac:dyDescent="0.3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 t="str">
        <f t="shared" si="62"/>
        <v>31-60 days</v>
      </c>
      <c r="L4006">
        <v>47</v>
      </c>
      <c r="M4006">
        <v>2</v>
      </c>
      <c r="N4006">
        <v>1</v>
      </c>
      <c r="O4006" t="s">
        <v>25</v>
      </c>
      <c r="P4006" t="s">
        <v>35</v>
      </c>
      <c r="Q4006">
        <v>8.6</v>
      </c>
      <c r="R4006">
        <v>31</v>
      </c>
      <c r="S4006" t="s">
        <v>27</v>
      </c>
    </row>
    <row r="4007" spans="1:19" x14ac:dyDescent="0.3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 t="str">
        <f t="shared" si="62"/>
        <v>31-60 days</v>
      </c>
      <c r="L4007">
        <v>37</v>
      </c>
      <c r="M4007">
        <v>4</v>
      </c>
      <c r="N4007">
        <v>1</v>
      </c>
      <c r="O4007" t="s">
        <v>25</v>
      </c>
      <c r="P4007" t="s">
        <v>35</v>
      </c>
      <c r="Q4007">
        <v>5.4</v>
      </c>
      <c r="R4007">
        <v>31</v>
      </c>
      <c r="S4007" t="s">
        <v>27</v>
      </c>
    </row>
    <row r="4008" spans="1:19" x14ac:dyDescent="0.3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 t="str">
        <f t="shared" si="62"/>
        <v>31-60 days</v>
      </c>
      <c r="L4008">
        <v>48</v>
      </c>
      <c r="M4008">
        <v>3</v>
      </c>
      <c r="N4008">
        <v>1</v>
      </c>
      <c r="O4008" t="s">
        <v>25</v>
      </c>
      <c r="P4008" t="s">
        <v>26</v>
      </c>
      <c r="Q4008">
        <v>11.3</v>
      </c>
      <c r="R4008">
        <v>40</v>
      </c>
      <c r="S4008" t="s">
        <v>36</v>
      </c>
    </row>
    <row r="4009" spans="1:19" x14ac:dyDescent="0.3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 t="str">
        <f t="shared" si="62"/>
        <v>15-30 days</v>
      </c>
      <c r="L4009">
        <v>28</v>
      </c>
      <c r="M4009">
        <v>3</v>
      </c>
      <c r="N4009">
        <v>0</v>
      </c>
      <c r="O4009" t="s">
        <v>54</v>
      </c>
      <c r="P4009" t="s">
        <v>55</v>
      </c>
      <c r="Q4009">
        <v>14.6</v>
      </c>
      <c r="R4009">
        <v>2</v>
      </c>
      <c r="S4009" t="s">
        <v>71</v>
      </c>
    </row>
    <row r="4010" spans="1:19" x14ac:dyDescent="0.3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 t="str">
        <f t="shared" si="62"/>
        <v>0-7 days</v>
      </c>
      <c r="L4010">
        <v>0</v>
      </c>
      <c r="M4010">
        <v>4</v>
      </c>
      <c r="N4010">
        <v>0</v>
      </c>
      <c r="O4010" t="s">
        <v>25</v>
      </c>
      <c r="P4010" t="s">
        <v>26</v>
      </c>
      <c r="Q4010">
        <v>7.4</v>
      </c>
      <c r="R4010">
        <v>25</v>
      </c>
      <c r="S4010" t="s">
        <v>27</v>
      </c>
    </row>
    <row r="4011" spans="1:19" x14ac:dyDescent="0.3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 t="str">
        <f t="shared" si="62"/>
        <v>0-7 days</v>
      </c>
      <c r="L4011">
        <v>7</v>
      </c>
      <c r="M4011">
        <v>4</v>
      </c>
      <c r="N4011">
        <v>1</v>
      </c>
      <c r="O4011" t="s">
        <v>25</v>
      </c>
      <c r="P4011" t="s">
        <v>26</v>
      </c>
      <c r="Q4011">
        <v>30.2</v>
      </c>
      <c r="R4011">
        <v>34</v>
      </c>
      <c r="S4011" t="s">
        <v>27</v>
      </c>
    </row>
    <row r="4012" spans="1:19" x14ac:dyDescent="0.3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 t="str">
        <f t="shared" si="62"/>
        <v>15-30 days</v>
      </c>
      <c r="L4012">
        <v>27</v>
      </c>
      <c r="M4012">
        <v>2</v>
      </c>
      <c r="N4012">
        <v>0</v>
      </c>
      <c r="O4012" t="s">
        <v>25</v>
      </c>
      <c r="P4012" t="s">
        <v>35</v>
      </c>
      <c r="Q4012">
        <v>4.5999999999999996</v>
      </c>
      <c r="R4012">
        <v>37</v>
      </c>
      <c r="S4012" t="s">
        <v>36</v>
      </c>
    </row>
    <row r="4013" spans="1:19" x14ac:dyDescent="0.3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 t="str">
        <f t="shared" si="62"/>
        <v>15-30 days</v>
      </c>
      <c r="L4013">
        <v>24</v>
      </c>
      <c r="M4013">
        <v>1</v>
      </c>
      <c r="N4013">
        <v>0</v>
      </c>
      <c r="O4013" t="s">
        <v>25</v>
      </c>
      <c r="P4013" t="s">
        <v>50</v>
      </c>
      <c r="Q4013">
        <v>2</v>
      </c>
      <c r="R4013">
        <v>19</v>
      </c>
      <c r="S4013" t="s">
        <v>36</v>
      </c>
    </row>
    <row r="4014" spans="1:19" x14ac:dyDescent="0.3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 t="str">
        <f t="shared" si="62"/>
        <v>31-60 days</v>
      </c>
      <c r="L4014">
        <v>48</v>
      </c>
      <c r="M4014">
        <v>8</v>
      </c>
      <c r="N4014">
        <v>4</v>
      </c>
      <c r="O4014" t="s">
        <v>25</v>
      </c>
      <c r="P4014" t="s">
        <v>26</v>
      </c>
      <c r="Q4014">
        <v>8.4</v>
      </c>
      <c r="R4014">
        <v>28</v>
      </c>
      <c r="S4014" t="s">
        <v>27</v>
      </c>
    </row>
    <row r="4015" spans="1:19" x14ac:dyDescent="0.3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 t="str">
        <f t="shared" si="62"/>
        <v>15-30 days</v>
      </c>
      <c r="L4015">
        <v>25</v>
      </c>
      <c r="M4015">
        <v>2</v>
      </c>
      <c r="N4015">
        <v>2</v>
      </c>
      <c r="O4015" t="s">
        <v>25</v>
      </c>
      <c r="P4015" t="s">
        <v>35</v>
      </c>
      <c r="Q4015">
        <v>9</v>
      </c>
      <c r="R4015">
        <v>32</v>
      </c>
      <c r="S4015" t="s">
        <v>27</v>
      </c>
    </row>
    <row r="4016" spans="1:19" x14ac:dyDescent="0.3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 t="str">
        <f t="shared" si="62"/>
        <v>31-60 days</v>
      </c>
      <c r="L4016">
        <v>52</v>
      </c>
      <c r="M4016">
        <v>1</v>
      </c>
      <c r="N4016">
        <v>0</v>
      </c>
      <c r="O4016" t="s">
        <v>25</v>
      </c>
      <c r="P4016" t="s">
        <v>35</v>
      </c>
      <c r="Q4016">
        <v>12.6</v>
      </c>
      <c r="R4016">
        <v>38</v>
      </c>
      <c r="S4016" t="s">
        <v>27</v>
      </c>
    </row>
    <row r="4017" spans="1:19" x14ac:dyDescent="0.3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 t="str">
        <f t="shared" si="62"/>
        <v>8-14 days</v>
      </c>
      <c r="L4017">
        <v>11</v>
      </c>
      <c r="M4017">
        <v>3</v>
      </c>
      <c r="N4017">
        <v>0</v>
      </c>
      <c r="O4017" t="s">
        <v>25</v>
      </c>
      <c r="P4017" t="s">
        <v>35</v>
      </c>
      <c r="Q4017">
        <v>6.6</v>
      </c>
      <c r="R4017">
        <v>28</v>
      </c>
      <c r="S4017" t="s">
        <v>36</v>
      </c>
    </row>
    <row r="4018" spans="1:19" x14ac:dyDescent="0.3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 t="str">
        <f t="shared" si="62"/>
        <v>15-30 days</v>
      </c>
      <c r="L4018">
        <v>23</v>
      </c>
      <c r="M4018">
        <v>8</v>
      </c>
      <c r="N4018">
        <v>1</v>
      </c>
      <c r="O4018" t="s">
        <v>25</v>
      </c>
      <c r="P4018" t="s">
        <v>35</v>
      </c>
      <c r="Q4018">
        <v>2.7</v>
      </c>
      <c r="R4018">
        <v>27</v>
      </c>
      <c r="S4018" t="s">
        <v>36</v>
      </c>
    </row>
    <row r="4019" spans="1:19" x14ac:dyDescent="0.3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 t="str">
        <f t="shared" si="62"/>
        <v>31-60 days</v>
      </c>
      <c r="L4019">
        <v>46</v>
      </c>
      <c r="M4019">
        <v>4</v>
      </c>
      <c r="N4019">
        <v>0</v>
      </c>
      <c r="O4019" t="s">
        <v>54</v>
      </c>
      <c r="P4019" t="s">
        <v>55</v>
      </c>
      <c r="Q4019">
        <v>9.3000000000000007</v>
      </c>
      <c r="R4019">
        <v>21</v>
      </c>
      <c r="S4019" t="s">
        <v>27</v>
      </c>
    </row>
    <row r="4020" spans="1:19" x14ac:dyDescent="0.3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 t="str">
        <f t="shared" si="62"/>
        <v>0-7 days</v>
      </c>
      <c r="L4020">
        <v>7</v>
      </c>
      <c r="M4020">
        <v>4</v>
      </c>
      <c r="N4020">
        <v>0</v>
      </c>
      <c r="O4020" t="s">
        <v>54</v>
      </c>
      <c r="P4020" t="s">
        <v>55</v>
      </c>
      <c r="Q4020">
        <v>11.3</v>
      </c>
      <c r="R4020">
        <v>36</v>
      </c>
      <c r="S4020" t="s">
        <v>27</v>
      </c>
    </row>
    <row r="4021" spans="1:19" x14ac:dyDescent="0.3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 t="str">
        <f t="shared" si="62"/>
        <v>15-30 days</v>
      </c>
      <c r="L4021">
        <v>19</v>
      </c>
      <c r="M4021">
        <v>3</v>
      </c>
      <c r="N4021">
        <v>0</v>
      </c>
      <c r="O4021" t="s">
        <v>25</v>
      </c>
      <c r="P4021" t="s">
        <v>35</v>
      </c>
      <c r="Q4021">
        <v>9.6999999999999993</v>
      </c>
      <c r="R4021">
        <v>38</v>
      </c>
      <c r="S4021" t="s">
        <v>36</v>
      </c>
    </row>
    <row r="4022" spans="1:19" x14ac:dyDescent="0.3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 t="str">
        <f t="shared" si="62"/>
        <v>31-60 days</v>
      </c>
      <c r="L4022">
        <v>45</v>
      </c>
      <c r="M4022">
        <v>3</v>
      </c>
      <c r="N4022">
        <v>1</v>
      </c>
      <c r="O4022" t="s">
        <v>25</v>
      </c>
      <c r="P4022" t="s">
        <v>35</v>
      </c>
      <c r="Q4022">
        <v>11.6</v>
      </c>
      <c r="R4022">
        <v>35</v>
      </c>
      <c r="S4022" t="s">
        <v>27</v>
      </c>
    </row>
    <row r="4023" spans="1:19" x14ac:dyDescent="0.3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 t="str">
        <f t="shared" si="62"/>
        <v>31-60 days</v>
      </c>
      <c r="L4023">
        <v>35</v>
      </c>
      <c r="M4023">
        <v>3</v>
      </c>
      <c r="N4023">
        <v>0</v>
      </c>
      <c r="O4023" t="s">
        <v>25</v>
      </c>
      <c r="P4023" t="s">
        <v>35</v>
      </c>
      <c r="Q4023">
        <v>10.5</v>
      </c>
      <c r="R4023">
        <v>32</v>
      </c>
      <c r="S4023" t="s">
        <v>36</v>
      </c>
    </row>
    <row r="4024" spans="1:19" x14ac:dyDescent="0.3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 t="str">
        <f t="shared" si="62"/>
        <v>31-60 days</v>
      </c>
      <c r="L4024">
        <v>47</v>
      </c>
      <c r="M4024">
        <v>3</v>
      </c>
      <c r="N4024">
        <v>0</v>
      </c>
      <c r="O4024" t="s">
        <v>25</v>
      </c>
      <c r="P4024" t="s">
        <v>26</v>
      </c>
      <c r="Q4024">
        <v>9.8000000000000007</v>
      </c>
      <c r="R4024">
        <v>27</v>
      </c>
      <c r="S4024" t="s">
        <v>27</v>
      </c>
    </row>
    <row r="4025" spans="1:19" x14ac:dyDescent="0.3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 t="str">
        <f t="shared" si="62"/>
        <v>31-60 days</v>
      </c>
      <c r="L4025">
        <v>31</v>
      </c>
      <c r="M4025">
        <v>5</v>
      </c>
      <c r="N4025">
        <v>1</v>
      </c>
      <c r="O4025" t="s">
        <v>25</v>
      </c>
      <c r="P4025" t="s">
        <v>50</v>
      </c>
      <c r="Q4025">
        <v>6</v>
      </c>
      <c r="R4025">
        <v>18</v>
      </c>
      <c r="S4025" t="s">
        <v>36</v>
      </c>
    </row>
    <row r="4026" spans="1:19" x14ac:dyDescent="0.3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 t="str">
        <f t="shared" si="62"/>
        <v>31-60 days</v>
      </c>
      <c r="L4026">
        <v>52</v>
      </c>
      <c r="M4026">
        <v>2</v>
      </c>
      <c r="N4026">
        <v>0</v>
      </c>
      <c r="O4026" t="s">
        <v>25</v>
      </c>
      <c r="P4026" t="s">
        <v>26</v>
      </c>
      <c r="Q4026">
        <v>5.7</v>
      </c>
      <c r="R4026">
        <v>16</v>
      </c>
      <c r="S4026" t="s">
        <v>27</v>
      </c>
    </row>
    <row r="4027" spans="1:19" x14ac:dyDescent="0.3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 t="str">
        <f t="shared" si="62"/>
        <v>31-60 days</v>
      </c>
      <c r="L4027">
        <v>53</v>
      </c>
      <c r="M4027">
        <v>1</v>
      </c>
      <c r="N4027">
        <v>1</v>
      </c>
      <c r="O4027" t="s">
        <v>25</v>
      </c>
      <c r="P4027" t="s">
        <v>35</v>
      </c>
      <c r="Q4027">
        <v>23.5</v>
      </c>
      <c r="R4027">
        <v>35</v>
      </c>
      <c r="S4027" t="s">
        <v>27</v>
      </c>
    </row>
    <row r="4028" spans="1:19" x14ac:dyDescent="0.3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 t="str">
        <f t="shared" si="62"/>
        <v>31-60 days</v>
      </c>
      <c r="L4028">
        <v>59</v>
      </c>
      <c r="M4028">
        <v>4</v>
      </c>
      <c r="N4028">
        <v>0</v>
      </c>
      <c r="O4028" t="s">
        <v>25</v>
      </c>
      <c r="P4028" t="s">
        <v>26</v>
      </c>
      <c r="Q4028">
        <v>4.3</v>
      </c>
      <c r="R4028">
        <v>36</v>
      </c>
      <c r="S4028" t="s">
        <v>36</v>
      </c>
    </row>
    <row r="4029" spans="1:19" x14ac:dyDescent="0.3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 t="str">
        <f t="shared" si="62"/>
        <v>0-7 days</v>
      </c>
      <c r="L4029">
        <v>7</v>
      </c>
      <c r="M4029">
        <v>5</v>
      </c>
      <c r="N4029">
        <v>0</v>
      </c>
      <c r="O4029" t="s">
        <v>25</v>
      </c>
      <c r="P4029" t="s">
        <v>26</v>
      </c>
      <c r="Q4029">
        <v>23.8</v>
      </c>
      <c r="R4029">
        <v>27</v>
      </c>
      <c r="S4029" t="s">
        <v>27</v>
      </c>
    </row>
    <row r="4030" spans="1:19" x14ac:dyDescent="0.3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 t="str">
        <f t="shared" si="62"/>
        <v>31-60 days</v>
      </c>
      <c r="L4030">
        <v>36</v>
      </c>
      <c r="M4030">
        <v>2</v>
      </c>
      <c r="N4030">
        <v>0</v>
      </c>
      <c r="O4030" t="s">
        <v>25</v>
      </c>
      <c r="P4030" t="s">
        <v>26</v>
      </c>
      <c r="Q4030">
        <v>5.2</v>
      </c>
      <c r="R4030">
        <v>27</v>
      </c>
      <c r="S4030" t="s">
        <v>36</v>
      </c>
    </row>
    <row r="4031" spans="1:19" x14ac:dyDescent="0.3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 t="str">
        <f t="shared" si="62"/>
        <v>0-7 days</v>
      </c>
      <c r="L4031">
        <v>6</v>
      </c>
      <c r="M4031">
        <v>4</v>
      </c>
      <c r="N4031">
        <v>0</v>
      </c>
      <c r="O4031" t="s">
        <v>25</v>
      </c>
      <c r="P4031" t="s">
        <v>26</v>
      </c>
      <c r="Q4031">
        <v>20.2</v>
      </c>
      <c r="R4031">
        <v>26</v>
      </c>
      <c r="S4031" t="s">
        <v>36</v>
      </c>
    </row>
    <row r="4032" spans="1:19" x14ac:dyDescent="0.3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 t="str">
        <f t="shared" si="62"/>
        <v>8-14 days</v>
      </c>
      <c r="L4032">
        <v>13</v>
      </c>
      <c r="M4032">
        <v>1</v>
      </c>
      <c r="N4032">
        <v>0</v>
      </c>
      <c r="O4032" t="s">
        <v>25</v>
      </c>
      <c r="P4032" t="s">
        <v>50</v>
      </c>
      <c r="Q4032">
        <v>15</v>
      </c>
      <c r="R4032">
        <v>37</v>
      </c>
      <c r="S4032" t="s">
        <v>36</v>
      </c>
    </row>
    <row r="4033" spans="1:19" x14ac:dyDescent="0.3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 t="str">
        <f t="shared" si="62"/>
        <v>15-30 days</v>
      </c>
      <c r="L4033">
        <v>18</v>
      </c>
      <c r="M4033">
        <v>4</v>
      </c>
      <c r="N4033">
        <v>2</v>
      </c>
      <c r="O4033" t="s">
        <v>25</v>
      </c>
      <c r="P4033" t="s">
        <v>50</v>
      </c>
      <c r="Q4033">
        <v>12.9</v>
      </c>
      <c r="R4033">
        <v>32</v>
      </c>
      <c r="S4033" t="s">
        <v>27</v>
      </c>
    </row>
    <row r="4034" spans="1:19" x14ac:dyDescent="0.3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 t="str">
        <f t="shared" si="62"/>
        <v>31-60 days</v>
      </c>
      <c r="L4034">
        <v>39</v>
      </c>
      <c r="M4034">
        <v>5</v>
      </c>
      <c r="N4034">
        <v>2</v>
      </c>
      <c r="O4034" t="s">
        <v>25</v>
      </c>
      <c r="P4034" t="s">
        <v>35</v>
      </c>
      <c r="Q4034">
        <v>0.5</v>
      </c>
      <c r="R4034">
        <v>19</v>
      </c>
      <c r="S4034" t="s">
        <v>27</v>
      </c>
    </row>
    <row r="4035" spans="1:19" x14ac:dyDescent="0.3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 t="str">
        <f t="shared" ref="K4035:K4098" si="63">IF(L4035&lt;=7,"0-7 days",IF(L4035&lt;=14,"8-14 days",IF(L4035&lt;=30,"15-30 days","31-60 days")))</f>
        <v>15-30 days</v>
      </c>
      <c r="L4035">
        <v>26</v>
      </c>
      <c r="M4035">
        <v>4</v>
      </c>
      <c r="N4035">
        <v>2</v>
      </c>
      <c r="O4035" t="s">
        <v>25</v>
      </c>
      <c r="P4035" t="s">
        <v>35</v>
      </c>
      <c r="Q4035">
        <v>5.8</v>
      </c>
      <c r="R4035">
        <v>30</v>
      </c>
      <c r="S4035" t="s">
        <v>27</v>
      </c>
    </row>
    <row r="4036" spans="1:19" x14ac:dyDescent="0.3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 t="str">
        <f t="shared" si="63"/>
        <v>31-60 days</v>
      </c>
      <c r="L4036">
        <v>52</v>
      </c>
      <c r="M4036">
        <v>3</v>
      </c>
      <c r="N4036">
        <v>1</v>
      </c>
      <c r="O4036" t="s">
        <v>25</v>
      </c>
      <c r="P4036" t="s">
        <v>26</v>
      </c>
      <c r="Q4036">
        <v>10.3</v>
      </c>
      <c r="R4036">
        <v>7</v>
      </c>
      <c r="S4036" t="s">
        <v>27</v>
      </c>
    </row>
    <row r="4037" spans="1:19" x14ac:dyDescent="0.3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 t="str">
        <f t="shared" si="63"/>
        <v>15-30 days</v>
      </c>
      <c r="L4037">
        <v>18</v>
      </c>
      <c r="M4037">
        <v>3</v>
      </c>
      <c r="N4037">
        <v>0</v>
      </c>
      <c r="O4037" t="s">
        <v>25</v>
      </c>
      <c r="P4037" t="s">
        <v>35</v>
      </c>
      <c r="Q4037">
        <v>15.8</v>
      </c>
      <c r="R4037">
        <v>17</v>
      </c>
      <c r="S4037" t="s">
        <v>71</v>
      </c>
    </row>
    <row r="4038" spans="1:19" x14ac:dyDescent="0.3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 t="str">
        <f t="shared" si="63"/>
        <v>31-60 days</v>
      </c>
      <c r="L4038">
        <v>37</v>
      </c>
      <c r="M4038">
        <v>3</v>
      </c>
      <c r="N4038">
        <v>2</v>
      </c>
      <c r="O4038" t="s">
        <v>54</v>
      </c>
      <c r="P4038" t="s">
        <v>55</v>
      </c>
      <c r="Q4038">
        <v>8.4</v>
      </c>
      <c r="R4038">
        <v>5</v>
      </c>
      <c r="S4038" t="s">
        <v>27</v>
      </c>
    </row>
    <row r="4039" spans="1:19" x14ac:dyDescent="0.3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 t="str">
        <f t="shared" si="63"/>
        <v>31-60 days</v>
      </c>
      <c r="L4039">
        <v>46</v>
      </c>
      <c r="M4039">
        <v>2</v>
      </c>
      <c r="N4039">
        <v>1</v>
      </c>
      <c r="O4039" t="s">
        <v>25</v>
      </c>
      <c r="P4039" t="s">
        <v>50</v>
      </c>
      <c r="Q4039">
        <v>3.1</v>
      </c>
      <c r="R4039">
        <v>15</v>
      </c>
      <c r="S4039" t="s">
        <v>27</v>
      </c>
    </row>
    <row r="4040" spans="1:19" x14ac:dyDescent="0.3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 t="str">
        <f t="shared" si="63"/>
        <v>31-60 days</v>
      </c>
      <c r="L4040">
        <v>59</v>
      </c>
      <c r="M4040">
        <v>4</v>
      </c>
      <c r="N4040">
        <v>0</v>
      </c>
      <c r="O4040" t="s">
        <v>54</v>
      </c>
      <c r="P4040" t="s">
        <v>55</v>
      </c>
      <c r="Q4040">
        <v>8.8000000000000007</v>
      </c>
      <c r="R4040">
        <v>16</v>
      </c>
      <c r="S4040" t="s">
        <v>27</v>
      </c>
    </row>
    <row r="4041" spans="1:19" x14ac:dyDescent="0.3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 t="str">
        <f t="shared" si="63"/>
        <v>8-14 days</v>
      </c>
      <c r="L4041">
        <v>14</v>
      </c>
      <c r="M4041">
        <v>1</v>
      </c>
      <c r="N4041">
        <v>0</v>
      </c>
      <c r="O4041" t="s">
        <v>54</v>
      </c>
      <c r="P4041" t="s">
        <v>55</v>
      </c>
      <c r="Q4041">
        <v>11.6</v>
      </c>
      <c r="R4041">
        <v>2</v>
      </c>
      <c r="S4041" t="s">
        <v>36</v>
      </c>
    </row>
    <row r="4042" spans="1:19" x14ac:dyDescent="0.3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 t="str">
        <f t="shared" si="63"/>
        <v>31-60 days</v>
      </c>
      <c r="L4042">
        <v>44</v>
      </c>
      <c r="M4042">
        <v>1</v>
      </c>
      <c r="N4042">
        <v>0</v>
      </c>
      <c r="O4042" t="s">
        <v>25</v>
      </c>
      <c r="P4042" t="s">
        <v>26</v>
      </c>
      <c r="Q4042">
        <v>7.5</v>
      </c>
      <c r="R4042">
        <v>37</v>
      </c>
      <c r="S4042" t="s">
        <v>27</v>
      </c>
    </row>
    <row r="4043" spans="1:19" x14ac:dyDescent="0.3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 t="str">
        <f t="shared" si="63"/>
        <v>0-7 days</v>
      </c>
      <c r="L4043">
        <v>5</v>
      </c>
      <c r="M4043">
        <v>1</v>
      </c>
      <c r="N4043">
        <v>0</v>
      </c>
      <c r="O4043" t="s">
        <v>54</v>
      </c>
      <c r="P4043" t="s">
        <v>55</v>
      </c>
      <c r="Q4043">
        <v>22.5</v>
      </c>
      <c r="R4043">
        <v>18</v>
      </c>
      <c r="S4043" t="s">
        <v>36</v>
      </c>
    </row>
    <row r="4044" spans="1:19" x14ac:dyDescent="0.3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 t="str">
        <f t="shared" si="63"/>
        <v>31-60 days</v>
      </c>
      <c r="L4044">
        <v>33</v>
      </c>
      <c r="M4044">
        <v>3</v>
      </c>
      <c r="N4044">
        <v>1</v>
      </c>
      <c r="O4044" t="s">
        <v>25</v>
      </c>
      <c r="P4044" t="s">
        <v>26</v>
      </c>
      <c r="Q4044">
        <v>9.3000000000000007</v>
      </c>
      <c r="R4044">
        <v>20</v>
      </c>
      <c r="S4044" t="s">
        <v>36</v>
      </c>
    </row>
    <row r="4045" spans="1:19" x14ac:dyDescent="0.3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 t="str">
        <f t="shared" si="63"/>
        <v>15-30 days</v>
      </c>
      <c r="L4045">
        <v>25</v>
      </c>
      <c r="M4045">
        <v>3</v>
      </c>
      <c r="N4045">
        <v>2</v>
      </c>
      <c r="O4045" t="s">
        <v>25</v>
      </c>
      <c r="P4045" t="s">
        <v>35</v>
      </c>
      <c r="Q4045">
        <v>16.5</v>
      </c>
      <c r="R4045">
        <v>15</v>
      </c>
      <c r="S4045" t="s">
        <v>36</v>
      </c>
    </row>
    <row r="4046" spans="1:19" x14ac:dyDescent="0.3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 t="str">
        <f t="shared" si="63"/>
        <v>31-60 days</v>
      </c>
      <c r="L4046">
        <v>58</v>
      </c>
      <c r="M4046">
        <v>4</v>
      </c>
      <c r="N4046">
        <v>1</v>
      </c>
      <c r="O4046" t="s">
        <v>25</v>
      </c>
      <c r="P4046" t="s">
        <v>26</v>
      </c>
      <c r="Q4046">
        <v>5.8</v>
      </c>
      <c r="R4046">
        <v>30</v>
      </c>
      <c r="S4046" t="s">
        <v>27</v>
      </c>
    </row>
    <row r="4047" spans="1:19" x14ac:dyDescent="0.3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 t="str">
        <f t="shared" si="63"/>
        <v>31-60 days</v>
      </c>
      <c r="L4047">
        <v>47</v>
      </c>
      <c r="M4047">
        <v>4</v>
      </c>
      <c r="N4047">
        <v>2</v>
      </c>
      <c r="O4047" t="s">
        <v>25</v>
      </c>
      <c r="P4047" t="s">
        <v>26</v>
      </c>
      <c r="Q4047">
        <v>13.9</v>
      </c>
      <c r="R4047">
        <v>39</v>
      </c>
      <c r="S4047" t="s">
        <v>27</v>
      </c>
    </row>
    <row r="4048" spans="1:19" x14ac:dyDescent="0.3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 t="str">
        <f t="shared" si="63"/>
        <v>31-60 days</v>
      </c>
      <c r="L4048">
        <v>56</v>
      </c>
      <c r="M4048">
        <v>6</v>
      </c>
      <c r="N4048">
        <v>1</v>
      </c>
      <c r="O4048" t="s">
        <v>54</v>
      </c>
      <c r="P4048" t="s">
        <v>55</v>
      </c>
      <c r="Q4048">
        <v>5.0999999999999996</v>
      </c>
      <c r="R4048">
        <v>30</v>
      </c>
      <c r="S4048" t="s">
        <v>36</v>
      </c>
    </row>
    <row r="4049" spans="1:19" x14ac:dyDescent="0.3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 t="str">
        <f t="shared" si="63"/>
        <v>31-60 days</v>
      </c>
      <c r="L4049">
        <v>51</v>
      </c>
      <c r="M4049">
        <v>5</v>
      </c>
      <c r="N4049">
        <v>0</v>
      </c>
      <c r="O4049" t="s">
        <v>25</v>
      </c>
      <c r="P4049" t="s">
        <v>35</v>
      </c>
      <c r="Q4049">
        <v>14.2</v>
      </c>
      <c r="R4049">
        <v>28</v>
      </c>
      <c r="S4049" t="s">
        <v>27</v>
      </c>
    </row>
    <row r="4050" spans="1:19" x14ac:dyDescent="0.3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 t="str">
        <f t="shared" si="63"/>
        <v>15-30 days</v>
      </c>
      <c r="L4050">
        <v>25</v>
      </c>
      <c r="M4050">
        <v>2</v>
      </c>
      <c r="N4050">
        <v>0</v>
      </c>
      <c r="O4050" t="s">
        <v>25</v>
      </c>
      <c r="P4050" t="s">
        <v>26</v>
      </c>
      <c r="Q4050">
        <v>7.5</v>
      </c>
      <c r="R4050">
        <v>2</v>
      </c>
      <c r="S4050" t="s">
        <v>36</v>
      </c>
    </row>
    <row r="4051" spans="1:19" x14ac:dyDescent="0.3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 t="str">
        <f t="shared" si="63"/>
        <v>31-60 days</v>
      </c>
      <c r="L4051">
        <v>44</v>
      </c>
      <c r="M4051">
        <v>4</v>
      </c>
      <c r="N4051">
        <v>1</v>
      </c>
      <c r="O4051" t="s">
        <v>25</v>
      </c>
      <c r="P4051" t="s">
        <v>35</v>
      </c>
      <c r="Q4051">
        <v>3.2</v>
      </c>
      <c r="R4051">
        <v>23</v>
      </c>
      <c r="S4051" t="s">
        <v>36</v>
      </c>
    </row>
    <row r="4052" spans="1:19" x14ac:dyDescent="0.3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 t="str">
        <f t="shared" si="63"/>
        <v>0-7 days</v>
      </c>
      <c r="L4052">
        <v>1</v>
      </c>
      <c r="M4052">
        <v>3</v>
      </c>
      <c r="N4052">
        <v>0</v>
      </c>
      <c r="O4052" t="s">
        <v>25</v>
      </c>
      <c r="P4052" t="s">
        <v>35</v>
      </c>
      <c r="Q4052">
        <v>6.6</v>
      </c>
      <c r="R4052">
        <v>31</v>
      </c>
      <c r="S4052" t="s">
        <v>36</v>
      </c>
    </row>
    <row r="4053" spans="1:19" x14ac:dyDescent="0.3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 t="str">
        <f t="shared" si="63"/>
        <v>31-60 days</v>
      </c>
      <c r="L4053">
        <v>34</v>
      </c>
      <c r="M4053">
        <v>2</v>
      </c>
      <c r="N4053">
        <v>0</v>
      </c>
      <c r="O4053" t="s">
        <v>25</v>
      </c>
      <c r="P4053" t="s">
        <v>35</v>
      </c>
      <c r="Q4053">
        <v>4.5</v>
      </c>
      <c r="R4053">
        <v>37</v>
      </c>
      <c r="S4053" t="s">
        <v>36</v>
      </c>
    </row>
    <row r="4054" spans="1:19" x14ac:dyDescent="0.3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 t="str">
        <f t="shared" si="63"/>
        <v>0-7 days</v>
      </c>
      <c r="L4054">
        <v>2</v>
      </c>
      <c r="M4054">
        <v>0</v>
      </c>
      <c r="N4054">
        <v>0</v>
      </c>
      <c r="O4054" t="s">
        <v>25</v>
      </c>
      <c r="P4054" t="s">
        <v>26</v>
      </c>
      <c r="Q4054">
        <v>7</v>
      </c>
      <c r="R4054">
        <v>31</v>
      </c>
      <c r="S4054" t="s">
        <v>36</v>
      </c>
    </row>
    <row r="4055" spans="1:19" x14ac:dyDescent="0.3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 t="str">
        <f t="shared" si="63"/>
        <v>31-60 days</v>
      </c>
      <c r="L4055">
        <v>44</v>
      </c>
      <c r="M4055">
        <v>3</v>
      </c>
      <c r="N4055">
        <v>0</v>
      </c>
      <c r="O4055" t="s">
        <v>54</v>
      </c>
      <c r="P4055" t="s">
        <v>55</v>
      </c>
      <c r="Q4055">
        <v>3.3</v>
      </c>
      <c r="R4055">
        <v>47</v>
      </c>
      <c r="S4055" t="s">
        <v>27</v>
      </c>
    </row>
    <row r="4056" spans="1:19" x14ac:dyDescent="0.3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 t="str">
        <f t="shared" si="63"/>
        <v>31-60 days</v>
      </c>
      <c r="L4056">
        <v>58</v>
      </c>
      <c r="M4056">
        <v>1</v>
      </c>
      <c r="N4056">
        <v>0</v>
      </c>
      <c r="O4056" t="s">
        <v>25</v>
      </c>
      <c r="P4056" t="s">
        <v>50</v>
      </c>
      <c r="Q4056">
        <v>2.8</v>
      </c>
      <c r="R4056">
        <v>16</v>
      </c>
      <c r="S4056" t="s">
        <v>36</v>
      </c>
    </row>
    <row r="4057" spans="1:19" x14ac:dyDescent="0.3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 t="str">
        <f t="shared" si="63"/>
        <v>31-60 days</v>
      </c>
      <c r="L4057">
        <v>41</v>
      </c>
      <c r="M4057">
        <v>1</v>
      </c>
      <c r="N4057">
        <v>1</v>
      </c>
      <c r="O4057" t="s">
        <v>25</v>
      </c>
      <c r="P4057" t="s">
        <v>35</v>
      </c>
      <c r="Q4057">
        <v>4.3</v>
      </c>
      <c r="R4057">
        <v>16</v>
      </c>
      <c r="S4057" t="s">
        <v>36</v>
      </c>
    </row>
    <row r="4058" spans="1:19" x14ac:dyDescent="0.3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 t="str">
        <f t="shared" si="63"/>
        <v>31-60 days</v>
      </c>
      <c r="L4058">
        <v>51</v>
      </c>
      <c r="M4058">
        <v>5</v>
      </c>
      <c r="N4058">
        <v>0</v>
      </c>
      <c r="O4058" t="s">
        <v>25</v>
      </c>
      <c r="P4058" t="s">
        <v>35</v>
      </c>
      <c r="Q4058">
        <v>1.7</v>
      </c>
      <c r="R4058">
        <v>28</v>
      </c>
      <c r="S4058" t="s">
        <v>27</v>
      </c>
    </row>
    <row r="4059" spans="1:19" x14ac:dyDescent="0.3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 t="str">
        <f t="shared" si="63"/>
        <v>8-14 days</v>
      </c>
      <c r="L4059">
        <v>14</v>
      </c>
      <c r="M4059">
        <v>2</v>
      </c>
      <c r="N4059">
        <v>1</v>
      </c>
      <c r="O4059" t="s">
        <v>25</v>
      </c>
      <c r="P4059" t="s">
        <v>35</v>
      </c>
      <c r="Q4059">
        <v>17.899999999999999</v>
      </c>
      <c r="R4059">
        <v>38</v>
      </c>
      <c r="S4059" t="s">
        <v>36</v>
      </c>
    </row>
    <row r="4060" spans="1:19" x14ac:dyDescent="0.3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 t="str">
        <f t="shared" si="63"/>
        <v>31-60 days</v>
      </c>
      <c r="L4060">
        <v>60</v>
      </c>
      <c r="M4060">
        <v>7</v>
      </c>
      <c r="N4060">
        <v>0</v>
      </c>
      <c r="O4060" t="s">
        <v>54</v>
      </c>
      <c r="P4060" t="s">
        <v>55</v>
      </c>
      <c r="Q4060">
        <v>8.6999999999999993</v>
      </c>
      <c r="R4060">
        <v>40</v>
      </c>
      <c r="S4060" t="s">
        <v>36</v>
      </c>
    </row>
    <row r="4061" spans="1:19" x14ac:dyDescent="0.3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 t="str">
        <f t="shared" si="63"/>
        <v>31-60 days</v>
      </c>
      <c r="L4061">
        <v>33</v>
      </c>
      <c r="M4061">
        <v>4</v>
      </c>
      <c r="N4061">
        <v>1</v>
      </c>
      <c r="O4061" t="s">
        <v>25</v>
      </c>
      <c r="P4061" t="s">
        <v>26</v>
      </c>
      <c r="Q4061">
        <v>9.4</v>
      </c>
      <c r="R4061">
        <v>2</v>
      </c>
      <c r="S4061" t="s">
        <v>27</v>
      </c>
    </row>
    <row r="4062" spans="1:19" x14ac:dyDescent="0.3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 t="str">
        <f t="shared" si="63"/>
        <v>31-60 days</v>
      </c>
      <c r="L4062">
        <v>41</v>
      </c>
      <c r="M4062">
        <v>0</v>
      </c>
      <c r="N4062">
        <v>0</v>
      </c>
      <c r="O4062" t="s">
        <v>25</v>
      </c>
      <c r="P4062" t="s">
        <v>35</v>
      </c>
      <c r="Q4062">
        <v>7.2</v>
      </c>
      <c r="R4062">
        <v>25</v>
      </c>
      <c r="S4062" t="s">
        <v>36</v>
      </c>
    </row>
    <row r="4063" spans="1:19" x14ac:dyDescent="0.3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 t="str">
        <f t="shared" si="63"/>
        <v>31-60 days</v>
      </c>
      <c r="L4063">
        <v>47</v>
      </c>
      <c r="M4063">
        <v>4</v>
      </c>
      <c r="N4063">
        <v>2</v>
      </c>
      <c r="O4063" t="s">
        <v>25</v>
      </c>
      <c r="P4063" t="s">
        <v>50</v>
      </c>
      <c r="Q4063">
        <v>3.7</v>
      </c>
      <c r="R4063">
        <v>34</v>
      </c>
      <c r="S4063" t="s">
        <v>27</v>
      </c>
    </row>
    <row r="4064" spans="1:19" x14ac:dyDescent="0.3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 t="str">
        <f t="shared" si="63"/>
        <v>31-60 days</v>
      </c>
      <c r="L4064">
        <v>39</v>
      </c>
      <c r="M4064">
        <v>1</v>
      </c>
      <c r="N4064">
        <v>0</v>
      </c>
      <c r="O4064" t="s">
        <v>54</v>
      </c>
      <c r="P4064" t="s">
        <v>55</v>
      </c>
      <c r="Q4064">
        <v>11.6</v>
      </c>
      <c r="R4064">
        <v>34</v>
      </c>
      <c r="S4064" t="s">
        <v>27</v>
      </c>
    </row>
    <row r="4065" spans="1:19" x14ac:dyDescent="0.3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 t="str">
        <f t="shared" si="63"/>
        <v>15-30 days</v>
      </c>
      <c r="L4065">
        <v>19</v>
      </c>
      <c r="M4065">
        <v>1</v>
      </c>
      <c r="N4065">
        <v>0</v>
      </c>
      <c r="O4065" t="s">
        <v>25</v>
      </c>
      <c r="P4065" t="s">
        <v>35</v>
      </c>
      <c r="Q4065">
        <v>10.6</v>
      </c>
      <c r="R4065">
        <v>30</v>
      </c>
      <c r="S4065" t="s">
        <v>27</v>
      </c>
    </row>
    <row r="4066" spans="1:19" x14ac:dyDescent="0.3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 t="str">
        <f t="shared" si="63"/>
        <v>31-60 days</v>
      </c>
      <c r="L4066">
        <v>37</v>
      </c>
      <c r="M4066">
        <v>2</v>
      </c>
      <c r="N4066">
        <v>1</v>
      </c>
      <c r="O4066" t="s">
        <v>54</v>
      </c>
      <c r="P4066" t="s">
        <v>55</v>
      </c>
      <c r="Q4066">
        <v>3.9</v>
      </c>
      <c r="R4066">
        <v>23</v>
      </c>
      <c r="S4066" t="s">
        <v>27</v>
      </c>
    </row>
    <row r="4067" spans="1:19" x14ac:dyDescent="0.3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 t="str">
        <f t="shared" si="63"/>
        <v>31-60 days</v>
      </c>
      <c r="L4067">
        <v>39</v>
      </c>
      <c r="M4067">
        <v>3</v>
      </c>
      <c r="N4067">
        <v>0</v>
      </c>
      <c r="O4067" t="s">
        <v>25</v>
      </c>
      <c r="P4067" t="s">
        <v>35</v>
      </c>
      <c r="Q4067">
        <v>14.4</v>
      </c>
      <c r="R4067">
        <v>2</v>
      </c>
      <c r="S4067" t="s">
        <v>27</v>
      </c>
    </row>
    <row r="4068" spans="1:19" x14ac:dyDescent="0.3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 t="str">
        <f t="shared" si="63"/>
        <v>31-60 days</v>
      </c>
      <c r="L4068">
        <v>52</v>
      </c>
      <c r="M4068">
        <v>1</v>
      </c>
      <c r="N4068">
        <v>0</v>
      </c>
      <c r="O4068" t="s">
        <v>25</v>
      </c>
      <c r="P4068" t="s">
        <v>50</v>
      </c>
      <c r="Q4068">
        <v>3.3</v>
      </c>
      <c r="R4068">
        <v>47</v>
      </c>
      <c r="S4068" t="s">
        <v>27</v>
      </c>
    </row>
    <row r="4069" spans="1:19" x14ac:dyDescent="0.3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 t="str">
        <f t="shared" si="63"/>
        <v>15-30 days</v>
      </c>
      <c r="L4069">
        <v>29</v>
      </c>
      <c r="M4069">
        <v>2</v>
      </c>
      <c r="N4069">
        <v>1</v>
      </c>
      <c r="O4069" t="s">
        <v>25</v>
      </c>
      <c r="P4069" t="s">
        <v>50</v>
      </c>
      <c r="Q4069">
        <v>9.1999999999999993</v>
      </c>
      <c r="R4069">
        <v>31</v>
      </c>
      <c r="S4069" t="s">
        <v>36</v>
      </c>
    </row>
    <row r="4070" spans="1:19" x14ac:dyDescent="0.3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 t="str">
        <f t="shared" si="63"/>
        <v>15-30 days</v>
      </c>
      <c r="L4070">
        <v>30</v>
      </c>
      <c r="M4070">
        <v>3</v>
      </c>
      <c r="N4070">
        <v>0</v>
      </c>
      <c r="O4070" t="s">
        <v>25</v>
      </c>
      <c r="P4070" t="s">
        <v>26</v>
      </c>
      <c r="Q4070">
        <v>15.9</v>
      </c>
      <c r="R4070">
        <v>14</v>
      </c>
      <c r="S4070" t="s">
        <v>36</v>
      </c>
    </row>
    <row r="4071" spans="1:19" x14ac:dyDescent="0.3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 t="str">
        <f t="shared" si="63"/>
        <v>15-30 days</v>
      </c>
      <c r="L4071">
        <v>30</v>
      </c>
      <c r="M4071">
        <v>5</v>
      </c>
      <c r="N4071">
        <v>1</v>
      </c>
      <c r="O4071" t="s">
        <v>25</v>
      </c>
      <c r="P4071" t="s">
        <v>35</v>
      </c>
      <c r="Q4071">
        <v>20</v>
      </c>
      <c r="R4071">
        <v>20</v>
      </c>
      <c r="S4071" t="s">
        <v>71</v>
      </c>
    </row>
    <row r="4072" spans="1:19" x14ac:dyDescent="0.3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 t="str">
        <f t="shared" si="63"/>
        <v>0-7 days</v>
      </c>
      <c r="L4072">
        <v>6</v>
      </c>
      <c r="M4072">
        <v>1</v>
      </c>
      <c r="N4072">
        <v>0</v>
      </c>
      <c r="O4072" t="s">
        <v>25</v>
      </c>
      <c r="P4072" t="s">
        <v>35</v>
      </c>
      <c r="Q4072">
        <v>7.6</v>
      </c>
      <c r="R4072">
        <v>27</v>
      </c>
      <c r="S4072" t="s">
        <v>36</v>
      </c>
    </row>
    <row r="4073" spans="1:19" x14ac:dyDescent="0.3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 t="str">
        <f t="shared" si="63"/>
        <v>0-7 days</v>
      </c>
      <c r="L4073">
        <v>5</v>
      </c>
      <c r="M4073">
        <v>5</v>
      </c>
      <c r="N4073">
        <v>1</v>
      </c>
      <c r="O4073" t="s">
        <v>25</v>
      </c>
      <c r="P4073" t="s">
        <v>35</v>
      </c>
      <c r="Q4073">
        <v>4.8</v>
      </c>
      <c r="R4073">
        <v>29</v>
      </c>
      <c r="S4073" t="s">
        <v>36</v>
      </c>
    </row>
    <row r="4074" spans="1:19" x14ac:dyDescent="0.3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 t="str">
        <f t="shared" si="63"/>
        <v>0-7 days</v>
      </c>
      <c r="L4074">
        <v>1</v>
      </c>
      <c r="M4074">
        <v>1</v>
      </c>
      <c r="N4074">
        <v>0</v>
      </c>
      <c r="O4074" t="s">
        <v>25</v>
      </c>
      <c r="P4074" t="s">
        <v>26</v>
      </c>
      <c r="Q4074">
        <v>2.4</v>
      </c>
      <c r="R4074">
        <v>9</v>
      </c>
      <c r="S4074" t="s">
        <v>36</v>
      </c>
    </row>
    <row r="4075" spans="1:19" x14ac:dyDescent="0.3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 t="str">
        <f t="shared" si="63"/>
        <v>31-60 days</v>
      </c>
      <c r="L4075">
        <v>40</v>
      </c>
      <c r="M4075">
        <v>2</v>
      </c>
      <c r="N4075">
        <v>0</v>
      </c>
      <c r="O4075" t="s">
        <v>25</v>
      </c>
      <c r="P4075" t="s">
        <v>50</v>
      </c>
      <c r="Q4075">
        <v>6.7</v>
      </c>
      <c r="R4075">
        <v>13</v>
      </c>
      <c r="S4075" t="s">
        <v>36</v>
      </c>
    </row>
    <row r="4076" spans="1:19" x14ac:dyDescent="0.3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 t="str">
        <f t="shared" si="63"/>
        <v>15-30 days</v>
      </c>
      <c r="L4076">
        <v>25</v>
      </c>
      <c r="M4076">
        <v>5</v>
      </c>
      <c r="N4076">
        <v>0</v>
      </c>
      <c r="O4076" t="s">
        <v>25</v>
      </c>
      <c r="P4076" t="s">
        <v>26</v>
      </c>
      <c r="Q4076">
        <v>6.5</v>
      </c>
      <c r="R4076">
        <v>30</v>
      </c>
      <c r="S4076" t="s">
        <v>27</v>
      </c>
    </row>
    <row r="4077" spans="1:19" x14ac:dyDescent="0.3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 t="str">
        <f t="shared" si="63"/>
        <v>31-60 days</v>
      </c>
      <c r="L4077">
        <v>52</v>
      </c>
      <c r="M4077">
        <v>3</v>
      </c>
      <c r="N4077">
        <v>1</v>
      </c>
      <c r="O4077" t="s">
        <v>54</v>
      </c>
      <c r="P4077" t="s">
        <v>55</v>
      </c>
      <c r="Q4077">
        <v>16.5</v>
      </c>
      <c r="R4077">
        <v>18</v>
      </c>
      <c r="S4077" t="s">
        <v>27</v>
      </c>
    </row>
    <row r="4078" spans="1:19" x14ac:dyDescent="0.3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 t="str">
        <f t="shared" si="63"/>
        <v>31-60 days</v>
      </c>
      <c r="L4078">
        <v>42</v>
      </c>
      <c r="M4078">
        <v>8</v>
      </c>
      <c r="N4078">
        <v>2</v>
      </c>
      <c r="O4078" t="s">
        <v>25</v>
      </c>
      <c r="P4078" t="s">
        <v>26</v>
      </c>
      <c r="Q4078">
        <v>9.3000000000000007</v>
      </c>
      <c r="R4078">
        <v>4</v>
      </c>
      <c r="S4078" t="s">
        <v>27</v>
      </c>
    </row>
    <row r="4079" spans="1:19" x14ac:dyDescent="0.3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 t="str">
        <f t="shared" si="63"/>
        <v>8-14 days</v>
      </c>
      <c r="L4079">
        <v>8</v>
      </c>
      <c r="M4079">
        <v>3</v>
      </c>
      <c r="N4079">
        <v>0</v>
      </c>
      <c r="O4079" t="s">
        <v>54</v>
      </c>
      <c r="P4079" t="s">
        <v>55</v>
      </c>
      <c r="Q4079">
        <v>3.2</v>
      </c>
      <c r="R4079">
        <v>15</v>
      </c>
      <c r="S4079" t="s">
        <v>36</v>
      </c>
    </row>
    <row r="4080" spans="1:19" x14ac:dyDescent="0.3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 t="str">
        <f t="shared" si="63"/>
        <v>0-7 days</v>
      </c>
      <c r="L4080">
        <v>6</v>
      </c>
      <c r="M4080">
        <v>3</v>
      </c>
      <c r="N4080">
        <v>1</v>
      </c>
      <c r="O4080" t="s">
        <v>54</v>
      </c>
      <c r="P4080" t="s">
        <v>55</v>
      </c>
      <c r="Q4080">
        <v>14.3</v>
      </c>
      <c r="R4080">
        <v>24</v>
      </c>
      <c r="S4080" t="s">
        <v>36</v>
      </c>
    </row>
    <row r="4081" spans="1:19" x14ac:dyDescent="0.3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 t="str">
        <f t="shared" si="63"/>
        <v>15-30 days</v>
      </c>
      <c r="L4081">
        <v>22</v>
      </c>
      <c r="M4081">
        <v>5</v>
      </c>
      <c r="N4081">
        <v>0</v>
      </c>
      <c r="O4081" t="s">
        <v>25</v>
      </c>
      <c r="P4081" t="s">
        <v>35</v>
      </c>
      <c r="Q4081">
        <v>16</v>
      </c>
      <c r="R4081">
        <v>6</v>
      </c>
      <c r="S4081" t="s">
        <v>36</v>
      </c>
    </row>
    <row r="4082" spans="1:19" x14ac:dyDescent="0.3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 t="str">
        <f t="shared" si="63"/>
        <v>31-60 days</v>
      </c>
      <c r="L4082">
        <v>56</v>
      </c>
      <c r="M4082">
        <v>4</v>
      </c>
      <c r="N4082">
        <v>0</v>
      </c>
      <c r="O4082" t="s">
        <v>54</v>
      </c>
      <c r="P4082" t="s">
        <v>55</v>
      </c>
      <c r="Q4082">
        <v>10.1</v>
      </c>
      <c r="R4082">
        <v>42</v>
      </c>
      <c r="S4082" t="s">
        <v>27</v>
      </c>
    </row>
    <row r="4083" spans="1:19" x14ac:dyDescent="0.3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 t="str">
        <f t="shared" si="63"/>
        <v>0-7 days</v>
      </c>
      <c r="L4083">
        <v>2</v>
      </c>
      <c r="M4083">
        <v>5</v>
      </c>
      <c r="N4083">
        <v>1</v>
      </c>
      <c r="O4083" t="s">
        <v>25</v>
      </c>
      <c r="P4083" t="s">
        <v>35</v>
      </c>
      <c r="Q4083">
        <v>14.5</v>
      </c>
      <c r="R4083">
        <v>37</v>
      </c>
      <c r="S4083" t="s">
        <v>36</v>
      </c>
    </row>
    <row r="4084" spans="1:19" x14ac:dyDescent="0.3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 t="str">
        <f t="shared" si="63"/>
        <v>8-14 days</v>
      </c>
      <c r="L4084">
        <v>11</v>
      </c>
      <c r="M4084">
        <v>1</v>
      </c>
      <c r="N4084">
        <v>0</v>
      </c>
      <c r="O4084" t="s">
        <v>25</v>
      </c>
      <c r="P4084" t="s">
        <v>35</v>
      </c>
      <c r="Q4084">
        <v>8.4</v>
      </c>
      <c r="R4084">
        <v>34</v>
      </c>
      <c r="S4084" t="s">
        <v>36</v>
      </c>
    </row>
    <row r="4085" spans="1:19" x14ac:dyDescent="0.3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 t="str">
        <f t="shared" si="63"/>
        <v>0-7 days</v>
      </c>
      <c r="L4085">
        <v>1</v>
      </c>
      <c r="M4085">
        <v>4</v>
      </c>
      <c r="N4085">
        <v>0</v>
      </c>
      <c r="O4085" t="s">
        <v>25</v>
      </c>
      <c r="P4085" t="s">
        <v>26</v>
      </c>
      <c r="Q4085">
        <v>13.6</v>
      </c>
      <c r="R4085">
        <v>25</v>
      </c>
      <c r="S4085" t="s">
        <v>27</v>
      </c>
    </row>
    <row r="4086" spans="1:19" x14ac:dyDescent="0.3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 t="str">
        <f t="shared" si="63"/>
        <v>15-30 days</v>
      </c>
      <c r="L4086">
        <v>25</v>
      </c>
      <c r="M4086">
        <v>4</v>
      </c>
      <c r="N4086">
        <v>1</v>
      </c>
      <c r="O4086" t="s">
        <v>25</v>
      </c>
      <c r="P4086" t="s">
        <v>35</v>
      </c>
      <c r="Q4086">
        <v>5.8</v>
      </c>
      <c r="R4086">
        <v>10</v>
      </c>
      <c r="S4086" t="s">
        <v>27</v>
      </c>
    </row>
    <row r="4087" spans="1:19" x14ac:dyDescent="0.3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 t="str">
        <f t="shared" si="63"/>
        <v>31-60 days</v>
      </c>
      <c r="L4087">
        <v>60</v>
      </c>
      <c r="M4087">
        <v>2</v>
      </c>
      <c r="N4087">
        <v>1</v>
      </c>
      <c r="O4087" t="s">
        <v>25</v>
      </c>
      <c r="P4087" t="s">
        <v>26</v>
      </c>
      <c r="Q4087">
        <v>20.399999999999999</v>
      </c>
      <c r="R4087">
        <v>15</v>
      </c>
      <c r="S4087" t="s">
        <v>27</v>
      </c>
    </row>
    <row r="4088" spans="1:19" x14ac:dyDescent="0.3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 t="str">
        <f t="shared" si="63"/>
        <v>31-60 days</v>
      </c>
      <c r="L4088">
        <v>41</v>
      </c>
      <c r="M4088">
        <v>5</v>
      </c>
      <c r="N4088">
        <v>0</v>
      </c>
      <c r="O4088" t="s">
        <v>54</v>
      </c>
      <c r="P4088" t="s">
        <v>55</v>
      </c>
      <c r="Q4088">
        <v>3.5</v>
      </c>
      <c r="R4088">
        <v>39</v>
      </c>
      <c r="S4088" t="s">
        <v>71</v>
      </c>
    </row>
    <row r="4089" spans="1:19" x14ac:dyDescent="0.3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 t="str">
        <f t="shared" si="63"/>
        <v>15-30 days</v>
      </c>
      <c r="L4089">
        <v>30</v>
      </c>
      <c r="M4089">
        <v>4</v>
      </c>
      <c r="N4089">
        <v>0</v>
      </c>
      <c r="O4089" t="s">
        <v>54</v>
      </c>
      <c r="P4089" t="s">
        <v>55</v>
      </c>
      <c r="Q4089">
        <v>35.799999999999997</v>
      </c>
      <c r="R4089">
        <v>15</v>
      </c>
      <c r="S4089" t="s">
        <v>27</v>
      </c>
    </row>
    <row r="4090" spans="1:19" x14ac:dyDescent="0.3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 t="str">
        <f t="shared" si="63"/>
        <v>8-14 days</v>
      </c>
      <c r="L4090">
        <v>8</v>
      </c>
      <c r="M4090">
        <v>3</v>
      </c>
      <c r="N4090">
        <v>1</v>
      </c>
      <c r="O4090" t="s">
        <v>25</v>
      </c>
      <c r="P4090" t="s">
        <v>50</v>
      </c>
      <c r="Q4090">
        <v>26.1</v>
      </c>
      <c r="R4090">
        <v>24</v>
      </c>
      <c r="S4090" t="s">
        <v>27</v>
      </c>
    </row>
    <row r="4091" spans="1:19" x14ac:dyDescent="0.3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 t="str">
        <f t="shared" si="63"/>
        <v>15-30 days</v>
      </c>
      <c r="L4091">
        <v>21</v>
      </c>
      <c r="M4091">
        <v>2</v>
      </c>
      <c r="N4091">
        <v>1</v>
      </c>
      <c r="O4091" t="s">
        <v>25</v>
      </c>
      <c r="P4091" t="s">
        <v>35</v>
      </c>
      <c r="Q4091">
        <v>20.8</v>
      </c>
      <c r="R4091">
        <v>21</v>
      </c>
      <c r="S4091" t="s">
        <v>27</v>
      </c>
    </row>
    <row r="4092" spans="1:19" x14ac:dyDescent="0.3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 t="str">
        <f t="shared" si="63"/>
        <v>31-60 days</v>
      </c>
      <c r="L4092">
        <v>31</v>
      </c>
      <c r="M4092">
        <v>7</v>
      </c>
      <c r="N4092">
        <v>1</v>
      </c>
      <c r="O4092" t="s">
        <v>54</v>
      </c>
      <c r="P4092" t="s">
        <v>55</v>
      </c>
      <c r="Q4092">
        <v>4.8</v>
      </c>
      <c r="R4092">
        <v>22</v>
      </c>
      <c r="S4092" t="s">
        <v>27</v>
      </c>
    </row>
    <row r="4093" spans="1:19" x14ac:dyDescent="0.3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 t="str">
        <f t="shared" si="63"/>
        <v>15-30 days</v>
      </c>
      <c r="L4093">
        <v>16</v>
      </c>
      <c r="M4093">
        <v>1</v>
      </c>
      <c r="N4093">
        <v>1</v>
      </c>
      <c r="O4093" t="s">
        <v>54</v>
      </c>
      <c r="P4093" t="s">
        <v>55</v>
      </c>
      <c r="Q4093">
        <v>6.9</v>
      </c>
      <c r="R4093">
        <v>23</v>
      </c>
      <c r="S4093" t="s">
        <v>36</v>
      </c>
    </row>
    <row r="4094" spans="1:19" x14ac:dyDescent="0.3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 t="str">
        <f t="shared" si="63"/>
        <v>31-60 days</v>
      </c>
      <c r="L4094">
        <v>43</v>
      </c>
      <c r="M4094">
        <v>5</v>
      </c>
      <c r="N4094">
        <v>3</v>
      </c>
      <c r="O4094" t="s">
        <v>25</v>
      </c>
      <c r="P4094" t="s">
        <v>35</v>
      </c>
      <c r="Q4094">
        <v>6.1</v>
      </c>
      <c r="R4094">
        <v>21</v>
      </c>
      <c r="S4094" t="s">
        <v>27</v>
      </c>
    </row>
    <row r="4095" spans="1:19" x14ac:dyDescent="0.3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 t="str">
        <f t="shared" si="63"/>
        <v>31-60 days</v>
      </c>
      <c r="L4095">
        <v>59</v>
      </c>
      <c r="M4095">
        <v>3</v>
      </c>
      <c r="N4095">
        <v>0</v>
      </c>
      <c r="O4095" t="s">
        <v>54</v>
      </c>
      <c r="P4095" t="s">
        <v>55</v>
      </c>
      <c r="Q4095">
        <v>5</v>
      </c>
      <c r="R4095">
        <v>19</v>
      </c>
      <c r="S4095" t="s">
        <v>27</v>
      </c>
    </row>
    <row r="4096" spans="1:19" x14ac:dyDescent="0.3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 t="str">
        <f t="shared" si="63"/>
        <v>8-14 days</v>
      </c>
      <c r="L4096">
        <v>12</v>
      </c>
      <c r="M4096">
        <v>3</v>
      </c>
      <c r="N4096">
        <v>0</v>
      </c>
      <c r="O4096" t="s">
        <v>25</v>
      </c>
      <c r="P4096" t="s">
        <v>35</v>
      </c>
      <c r="Q4096">
        <v>5.9</v>
      </c>
      <c r="R4096">
        <v>20</v>
      </c>
      <c r="S4096" t="s">
        <v>27</v>
      </c>
    </row>
    <row r="4097" spans="1:19" x14ac:dyDescent="0.3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 t="str">
        <f t="shared" si="63"/>
        <v>15-30 days</v>
      </c>
      <c r="L4097">
        <v>15</v>
      </c>
      <c r="M4097">
        <v>1</v>
      </c>
      <c r="N4097">
        <v>0</v>
      </c>
      <c r="O4097" t="s">
        <v>25</v>
      </c>
      <c r="P4097" t="s">
        <v>35</v>
      </c>
      <c r="Q4097">
        <v>12.2</v>
      </c>
      <c r="R4097">
        <v>22</v>
      </c>
      <c r="S4097" t="s">
        <v>71</v>
      </c>
    </row>
    <row r="4098" spans="1:19" x14ac:dyDescent="0.3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 t="str">
        <f t="shared" si="63"/>
        <v>0-7 days</v>
      </c>
      <c r="L4098">
        <v>7</v>
      </c>
      <c r="M4098">
        <v>5</v>
      </c>
      <c r="N4098">
        <v>0</v>
      </c>
      <c r="O4098" t="s">
        <v>25</v>
      </c>
      <c r="P4098" t="s">
        <v>26</v>
      </c>
      <c r="Q4098">
        <v>7.1</v>
      </c>
      <c r="R4098">
        <v>14</v>
      </c>
      <c r="S4098" t="s">
        <v>36</v>
      </c>
    </row>
    <row r="4099" spans="1:19" x14ac:dyDescent="0.3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 t="str">
        <f t="shared" ref="K4099:K4162" si="64">IF(L4099&lt;=7,"0-7 days",IF(L4099&lt;=14,"8-14 days",IF(L4099&lt;=30,"15-30 days","31-60 days")))</f>
        <v>31-60 days</v>
      </c>
      <c r="L4099">
        <v>44</v>
      </c>
      <c r="M4099">
        <v>3</v>
      </c>
      <c r="N4099">
        <v>0</v>
      </c>
      <c r="O4099" t="s">
        <v>54</v>
      </c>
      <c r="P4099" t="s">
        <v>55</v>
      </c>
      <c r="Q4099">
        <v>3.9</v>
      </c>
      <c r="R4099">
        <v>9</v>
      </c>
      <c r="S4099" t="s">
        <v>27</v>
      </c>
    </row>
    <row r="4100" spans="1:19" x14ac:dyDescent="0.3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 t="str">
        <f t="shared" si="64"/>
        <v>15-30 days</v>
      </c>
      <c r="L4100">
        <v>28</v>
      </c>
      <c r="M4100">
        <v>2</v>
      </c>
      <c r="N4100">
        <v>1</v>
      </c>
      <c r="O4100" t="s">
        <v>25</v>
      </c>
      <c r="P4100" t="s">
        <v>35</v>
      </c>
      <c r="Q4100">
        <v>2.1</v>
      </c>
      <c r="R4100">
        <v>20</v>
      </c>
      <c r="S4100" t="s">
        <v>27</v>
      </c>
    </row>
    <row r="4101" spans="1:19" x14ac:dyDescent="0.3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 t="str">
        <f t="shared" si="64"/>
        <v>15-30 days</v>
      </c>
      <c r="L4101">
        <v>17</v>
      </c>
      <c r="M4101">
        <v>0</v>
      </c>
      <c r="N4101">
        <v>0</v>
      </c>
      <c r="O4101" t="s">
        <v>54</v>
      </c>
      <c r="P4101" t="s">
        <v>55</v>
      </c>
      <c r="Q4101">
        <v>15.2</v>
      </c>
      <c r="R4101">
        <v>14</v>
      </c>
      <c r="S4101" t="s">
        <v>27</v>
      </c>
    </row>
    <row r="4102" spans="1:19" x14ac:dyDescent="0.3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 t="str">
        <f t="shared" si="64"/>
        <v>8-14 days</v>
      </c>
      <c r="L4102">
        <v>13</v>
      </c>
      <c r="M4102">
        <v>3</v>
      </c>
      <c r="N4102">
        <v>1</v>
      </c>
      <c r="O4102" t="s">
        <v>54</v>
      </c>
      <c r="P4102" t="s">
        <v>55</v>
      </c>
      <c r="Q4102">
        <v>9.8000000000000007</v>
      </c>
      <c r="R4102">
        <v>23</v>
      </c>
      <c r="S4102" t="s">
        <v>27</v>
      </c>
    </row>
    <row r="4103" spans="1:19" x14ac:dyDescent="0.3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 t="str">
        <f t="shared" si="64"/>
        <v>0-7 days</v>
      </c>
      <c r="L4103">
        <v>4</v>
      </c>
      <c r="M4103">
        <v>3</v>
      </c>
      <c r="N4103">
        <v>1</v>
      </c>
      <c r="O4103" t="s">
        <v>25</v>
      </c>
      <c r="P4103" t="s">
        <v>35</v>
      </c>
      <c r="R4103">
        <v>12</v>
      </c>
      <c r="S4103" t="s">
        <v>36</v>
      </c>
    </row>
    <row r="4104" spans="1:19" x14ac:dyDescent="0.3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 t="str">
        <f t="shared" si="64"/>
        <v>15-30 days</v>
      </c>
      <c r="L4104">
        <v>29</v>
      </c>
      <c r="M4104">
        <v>6</v>
      </c>
      <c r="N4104">
        <v>1</v>
      </c>
      <c r="O4104" t="s">
        <v>25</v>
      </c>
      <c r="P4104" t="s">
        <v>50</v>
      </c>
      <c r="Q4104">
        <v>0.9</v>
      </c>
      <c r="R4104">
        <v>3</v>
      </c>
      <c r="S4104" t="s">
        <v>36</v>
      </c>
    </row>
    <row r="4105" spans="1:19" x14ac:dyDescent="0.3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 t="str">
        <f t="shared" si="64"/>
        <v>31-60 days</v>
      </c>
      <c r="L4105">
        <v>41</v>
      </c>
      <c r="M4105">
        <v>3</v>
      </c>
      <c r="N4105">
        <v>1</v>
      </c>
      <c r="O4105" t="s">
        <v>25</v>
      </c>
      <c r="P4105" t="s">
        <v>35</v>
      </c>
      <c r="Q4105">
        <v>4</v>
      </c>
      <c r="R4105">
        <v>40</v>
      </c>
      <c r="S4105" t="s">
        <v>27</v>
      </c>
    </row>
    <row r="4106" spans="1:19" x14ac:dyDescent="0.3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 t="str">
        <f t="shared" si="64"/>
        <v>8-14 days</v>
      </c>
      <c r="L4106">
        <v>14</v>
      </c>
      <c r="M4106">
        <v>4</v>
      </c>
      <c r="N4106">
        <v>2</v>
      </c>
      <c r="O4106" t="s">
        <v>25</v>
      </c>
      <c r="P4106" t="s">
        <v>35</v>
      </c>
      <c r="Q4106">
        <v>9</v>
      </c>
      <c r="R4106">
        <v>17</v>
      </c>
      <c r="S4106" t="s">
        <v>36</v>
      </c>
    </row>
    <row r="4107" spans="1:19" x14ac:dyDescent="0.3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 t="str">
        <f t="shared" si="64"/>
        <v>0-7 days</v>
      </c>
      <c r="L4107">
        <v>0</v>
      </c>
      <c r="M4107">
        <v>3</v>
      </c>
      <c r="N4107">
        <v>1</v>
      </c>
      <c r="O4107" t="s">
        <v>25</v>
      </c>
      <c r="P4107" t="s">
        <v>26</v>
      </c>
      <c r="Q4107">
        <v>11.7</v>
      </c>
      <c r="R4107">
        <v>2</v>
      </c>
      <c r="S4107" t="s">
        <v>36</v>
      </c>
    </row>
    <row r="4108" spans="1:19" x14ac:dyDescent="0.3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 t="str">
        <f t="shared" si="64"/>
        <v>15-30 days</v>
      </c>
      <c r="L4108">
        <v>28</v>
      </c>
      <c r="M4108">
        <v>4</v>
      </c>
      <c r="N4108">
        <v>1</v>
      </c>
      <c r="O4108" t="s">
        <v>54</v>
      </c>
      <c r="P4108" t="s">
        <v>55</v>
      </c>
      <c r="Q4108">
        <v>0.7</v>
      </c>
      <c r="R4108">
        <v>32</v>
      </c>
      <c r="S4108" t="s">
        <v>36</v>
      </c>
    </row>
    <row r="4109" spans="1:19" x14ac:dyDescent="0.3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 t="str">
        <f t="shared" si="64"/>
        <v>31-60 days</v>
      </c>
      <c r="L4109">
        <v>41</v>
      </c>
      <c r="M4109">
        <v>3</v>
      </c>
      <c r="N4109">
        <v>1</v>
      </c>
      <c r="O4109" t="s">
        <v>25</v>
      </c>
      <c r="P4109" t="s">
        <v>35</v>
      </c>
      <c r="Q4109">
        <v>8.6999999999999993</v>
      </c>
      <c r="R4109">
        <v>19</v>
      </c>
      <c r="S4109" t="s">
        <v>27</v>
      </c>
    </row>
    <row r="4110" spans="1:19" x14ac:dyDescent="0.3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 t="str">
        <f t="shared" si="64"/>
        <v>15-30 days</v>
      </c>
      <c r="L4110">
        <v>21</v>
      </c>
      <c r="M4110">
        <v>4</v>
      </c>
      <c r="N4110">
        <v>1</v>
      </c>
      <c r="O4110" t="s">
        <v>25</v>
      </c>
      <c r="P4110" t="s">
        <v>35</v>
      </c>
      <c r="Q4110">
        <v>10.4</v>
      </c>
      <c r="R4110">
        <v>23</v>
      </c>
      <c r="S4110" t="s">
        <v>36</v>
      </c>
    </row>
    <row r="4111" spans="1:19" x14ac:dyDescent="0.3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 t="str">
        <f t="shared" si="64"/>
        <v>15-30 days</v>
      </c>
      <c r="L4111">
        <v>15</v>
      </c>
      <c r="M4111">
        <v>2</v>
      </c>
      <c r="N4111">
        <v>0</v>
      </c>
      <c r="O4111" t="s">
        <v>54</v>
      </c>
      <c r="P4111" t="s">
        <v>55</v>
      </c>
      <c r="Q4111">
        <v>4.4000000000000004</v>
      </c>
      <c r="R4111">
        <v>25</v>
      </c>
      <c r="S4111" t="s">
        <v>27</v>
      </c>
    </row>
    <row r="4112" spans="1:19" x14ac:dyDescent="0.3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 t="str">
        <f t="shared" si="64"/>
        <v>8-14 days</v>
      </c>
      <c r="L4112">
        <v>9</v>
      </c>
      <c r="M4112">
        <v>2</v>
      </c>
      <c r="N4112">
        <v>0</v>
      </c>
      <c r="O4112" t="s">
        <v>54</v>
      </c>
      <c r="P4112" t="s">
        <v>55</v>
      </c>
      <c r="Q4112">
        <v>17.600000000000001</v>
      </c>
      <c r="R4112">
        <v>34</v>
      </c>
      <c r="S4112" t="s">
        <v>36</v>
      </c>
    </row>
    <row r="4113" spans="1:19" x14ac:dyDescent="0.3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 t="str">
        <f t="shared" si="64"/>
        <v>31-60 days</v>
      </c>
      <c r="L4113">
        <v>45</v>
      </c>
      <c r="M4113">
        <v>2</v>
      </c>
      <c r="N4113">
        <v>0</v>
      </c>
      <c r="O4113" t="s">
        <v>54</v>
      </c>
      <c r="P4113" t="s">
        <v>55</v>
      </c>
      <c r="Q4113">
        <v>3.2</v>
      </c>
      <c r="R4113">
        <v>26</v>
      </c>
      <c r="S4113" t="s">
        <v>27</v>
      </c>
    </row>
    <row r="4114" spans="1:19" x14ac:dyDescent="0.3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 t="str">
        <f t="shared" si="64"/>
        <v>31-60 days</v>
      </c>
      <c r="L4114">
        <v>52</v>
      </c>
      <c r="M4114">
        <v>3</v>
      </c>
      <c r="N4114">
        <v>0</v>
      </c>
      <c r="O4114" t="s">
        <v>25</v>
      </c>
      <c r="P4114" t="s">
        <v>35</v>
      </c>
      <c r="Q4114">
        <v>10.5</v>
      </c>
      <c r="R4114">
        <v>8</v>
      </c>
      <c r="S4114" t="s">
        <v>27</v>
      </c>
    </row>
    <row r="4115" spans="1:19" x14ac:dyDescent="0.3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 t="str">
        <f t="shared" si="64"/>
        <v>31-60 days</v>
      </c>
      <c r="L4115">
        <v>46</v>
      </c>
      <c r="M4115">
        <v>5</v>
      </c>
      <c r="N4115">
        <v>0</v>
      </c>
      <c r="O4115" t="s">
        <v>25</v>
      </c>
      <c r="P4115" t="s">
        <v>26</v>
      </c>
      <c r="R4115">
        <v>10</v>
      </c>
      <c r="S4115" t="s">
        <v>27</v>
      </c>
    </row>
    <row r="4116" spans="1:19" x14ac:dyDescent="0.3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 t="str">
        <f t="shared" si="64"/>
        <v>31-60 days</v>
      </c>
      <c r="L4116">
        <v>31</v>
      </c>
      <c r="M4116">
        <v>2</v>
      </c>
      <c r="N4116">
        <v>0</v>
      </c>
      <c r="O4116" t="s">
        <v>25</v>
      </c>
      <c r="P4116" t="s">
        <v>35</v>
      </c>
      <c r="Q4116">
        <v>12.5</v>
      </c>
      <c r="R4116">
        <v>7</v>
      </c>
      <c r="S4116" t="s">
        <v>27</v>
      </c>
    </row>
    <row r="4117" spans="1:19" x14ac:dyDescent="0.3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 t="str">
        <f t="shared" si="64"/>
        <v>31-60 days</v>
      </c>
      <c r="L4117">
        <v>44</v>
      </c>
      <c r="M4117">
        <v>3</v>
      </c>
      <c r="N4117">
        <v>0</v>
      </c>
      <c r="O4117" t="s">
        <v>25</v>
      </c>
      <c r="P4117" t="s">
        <v>35</v>
      </c>
      <c r="Q4117">
        <v>8.5</v>
      </c>
      <c r="R4117">
        <v>18</v>
      </c>
      <c r="S4117" t="s">
        <v>27</v>
      </c>
    </row>
    <row r="4118" spans="1:19" x14ac:dyDescent="0.3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 t="str">
        <f t="shared" si="64"/>
        <v>15-30 days</v>
      </c>
      <c r="L4118">
        <v>24</v>
      </c>
      <c r="M4118">
        <v>5</v>
      </c>
      <c r="N4118">
        <v>0</v>
      </c>
      <c r="O4118" t="s">
        <v>25</v>
      </c>
      <c r="P4118" t="s">
        <v>35</v>
      </c>
      <c r="Q4118">
        <v>16.5</v>
      </c>
      <c r="R4118">
        <v>27</v>
      </c>
      <c r="S4118" t="s">
        <v>36</v>
      </c>
    </row>
    <row r="4119" spans="1:19" x14ac:dyDescent="0.3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 t="str">
        <f t="shared" si="64"/>
        <v>0-7 days</v>
      </c>
      <c r="L4119">
        <v>1</v>
      </c>
      <c r="M4119">
        <v>1</v>
      </c>
      <c r="N4119">
        <v>0</v>
      </c>
      <c r="O4119" t="s">
        <v>54</v>
      </c>
      <c r="P4119" t="s">
        <v>55</v>
      </c>
      <c r="Q4119">
        <v>3.9</v>
      </c>
      <c r="R4119">
        <v>14</v>
      </c>
      <c r="S4119" t="s">
        <v>36</v>
      </c>
    </row>
    <row r="4120" spans="1:19" x14ac:dyDescent="0.3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 t="str">
        <f t="shared" si="64"/>
        <v>15-30 days</v>
      </c>
      <c r="L4120">
        <v>22</v>
      </c>
      <c r="M4120">
        <v>3</v>
      </c>
      <c r="N4120">
        <v>1</v>
      </c>
      <c r="O4120" t="s">
        <v>54</v>
      </c>
      <c r="P4120" t="s">
        <v>55</v>
      </c>
      <c r="Q4120">
        <v>6.2</v>
      </c>
      <c r="R4120">
        <v>16</v>
      </c>
      <c r="S4120" t="s">
        <v>27</v>
      </c>
    </row>
    <row r="4121" spans="1:19" x14ac:dyDescent="0.3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 t="str">
        <f t="shared" si="64"/>
        <v>31-60 days</v>
      </c>
      <c r="L4121">
        <v>42</v>
      </c>
      <c r="M4121">
        <v>4</v>
      </c>
      <c r="N4121">
        <v>1</v>
      </c>
      <c r="O4121" t="s">
        <v>25</v>
      </c>
      <c r="P4121" t="s">
        <v>26</v>
      </c>
      <c r="Q4121">
        <v>12.6</v>
      </c>
      <c r="R4121">
        <v>15</v>
      </c>
      <c r="S4121" t="s">
        <v>27</v>
      </c>
    </row>
    <row r="4122" spans="1:19" x14ac:dyDescent="0.3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 t="str">
        <f t="shared" si="64"/>
        <v>31-60 days</v>
      </c>
      <c r="L4122">
        <v>39</v>
      </c>
      <c r="M4122">
        <v>7</v>
      </c>
      <c r="N4122">
        <v>2</v>
      </c>
      <c r="O4122" t="s">
        <v>54</v>
      </c>
      <c r="P4122" t="s">
        <v>55</v>
      </c>
      <c r="Q4122">
        <v>9.4</v>
      </c>
      <c r="R4122">
        <v>17</v>
      </c>
      <c r="S4122" t="s">
        <v>27</v>
      </c>
    </row>
    <row r="4123" spans="1:19" x14ac:dyDescent="0.3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 t="str">
        <f t="shared" si="64"/>
        <v>31-60 days</v>
      </c>
      <c r="L4123">
        <v>60</v>
      </c>
      <c r="M4123">
        <v>2</v>
      </c>
      <c r="N4123">
        <v>0</v>
      </c>
      <c r="O4123" t="s">
        <v>25</v>
      </c>
      <c r="P4123" t="s">
        <v>35</v>
      </c>
      <c r="Q4123">
        <v>12.7</v>
      </c>
      <c r="R4123">
        <v>30</v>
      </c>
      <c r="S4123" t="s">
        <v>36</v>
      </c>
    </row>
    <row r="4124" spans="1:19" x14ac:dyDescent="0.3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 t="str">
        <f t="shared" si="64"/>
        <v>31-60 days</v>
      </c>
      <c r="L4124">
        <v>60</v>
      </c>
      <c r="M4124">
        <v>2</v>
      </c>
      <c r="N4124">
        <v>1</v>
      </c>
      <c r="O4124" t="s">
        <v>25</v>
      </c>
      <c r="P4124" t="s">
        <v>26</v>
      </c>
      <c r="Q4124">
        <v>14.2</v>
      </c>
      <c r="R4124">
        <v>20</v>
      </c>
      <c r="S4124" t="s">
        <v>36</v>
      </c>
    </row>
    <row r="4125" spans="1:19" x14ac:dyDescent="0.3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 t="str">
        <f t="shared" si="64"/>
        <v>8-14 days</v>
      </c>
      <c r="L4125">
        <v>14</v>
      </c>
      <c r="M4125">
        <v>2</v>
      </c>
      <c r="N4125">
        <v>1</v>
      </c>
      <c r="O4125" t="s">
        <v>25</v>
      </c>
      <c r="P4125" t="s">
        <v>35</v>
      </c>
      <c r="Q4125">
        <v>13.8</v>
      </c>
      <c r="R4125">
        <v>35</v>
      </c>
      <c r="S4125" t="s">
        <v>27</v>
      </c>
    </row>
    <row r="4126" spans="1:19" x14ac:dyDescent="0.3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 t="str">
        <f t="shared" si="64"/>
        <v>0-7 days</v>
      </c>
      <c r="L4126">
        <v>0</v>
      </c>
      <c r="M4126">
        <v>4</v>
      </c>
      <c r="N4126">
        <v>1</v>
      </c>
      <c r="O4126" t="s">
        <v>25</v>
      </c>
      <c r="P4126" t="s">
        <v>26</v>
      </c>
      <c r="Q4126">
        <v>10.3</v>
      </c>
      <c r="R4126">
        <v>17</v>
      </c>
      <c r="S4126" t="s">
        <v>36</v>
      </c>
    </row>
    <row r="4127" spans="1:19" x14ac:dyDescent="0.3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 t="str">
        <f t="shared" si="64"/>
        <v>15-30 days</v>
      </c>
      <c r="L4127">
        <v>16</v>
      </c>
      <c r="M4127">
        <v>4</v>
      </c>
      <c r="N4127">
        <v>1</v>
      </c>
      <c r="O4127" t="s">
        <v>54</v>
      </c>
      <c r="P4127" t="s">
        <v>55</v>
      </c>
      <c r="Q4127">
        <v>14</v>
      </c>
      <c r="R4127">
        <v>23</v>
      </c>
      <c r="S4127" t="s">
        <v>27</v>
      </c>
    </row>
    <row r="4128" spans="1:19" x14ac:dyDescent="0.3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 t="str">
        <f t="shared" si="64"/>
        <v>31-60 days</v>
      </c>
      <c r="L4128">
        <v>53</v>
      </c>
      <c r="M4128">
        <v>3</v>
      </c>
      <c r="N4128">
        <v>0</v>
      </c>
      <c r="O4128" t="s">
        <v>25</v>
      </c>
      <c r="P4128" t="s">
        <v>35</v>
      </c>
      <c r="Q4128">
        <v>8</v>
      </c>
      <c r="R4128">
        <v>21</v>
      </c>
      <c r="S4128" t="s">
        <v>27</v>
      </c>
    </row>
    <row r="4129" spans="1:19" x14ac:dyDescent="0.3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 t="str">
        <f t="shared" si="64"/>
        <v>31-60 days</v>
      </c>
      <c r="L4129">
        <v>49</v>
      </c>
      <c r="M4129">
        <v>3</v>
      </c>
      <c r="N4129">
        <v>1</v>
      </c>
      <c r="O4129" t="s">
        <v>54</v>
      </c>
      <c r="P4129" t="s">
        <v>55</v>
      </c>
      <c r="Q4129">
        <v>12.1</v>
      </c>
      <c r="R4129">
        <v>26</v>
      </c>
      <c r="S4129" t="s">
        <v>27</v>
      </c>
    </row>
    <row r="4130" spans="1:19" x14ac:dyDescent="0.3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 t="str">
        <f t="shared" si="64"/>
        <v>0-7 days</v>
      </c>
      <c r="L4130">
        <v>6</v>
      </c>
      <c r="M4130">
        <v>2</v>
      </c>
      <c r="N4130">
        <v>1</v>
      </c>
      <c r="O4130" t="s">
        <v>25</v>
      </c>
      <c r="P4130" t="s">
        <v>35</v>
      </c>
      <c r="Q4130">
        <v>3.6</v>
      </c>
      <c r="R4130">
        <v>29</v>
      </c>
      <c r="S4130" t="s">
        <v>36</v>
      </c>
    </row>
    <row r="4131" spans="1:19" x14ac:dyDescent="0.3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 t="str">
        <f t="shared" si="64"/>
        <v>8-14 days</v>
      </c>
      <c r="L4131">
        <v>9</v>
      </c>
      <c r="M4131">
        <v>2</v>
      </c>
      <c r="N4131">
        <v>0</v>
      </c>
      <c r="O4131" t="s">
        <v>25</v>
      </c>
      <c r="P4131" t="s">
        <v>26</v>
      </c>
      <c r="Q4131">
        <v>9.6999999999999993</v>
      </c>
      <c r="R4131">
        <v>24</v>
      </c>
      <c r="S4131" t="s">
        <v>36</v>
      </c>
    </row>
    <row r="4132" spans="1:19" x14ac:dyDescent="0.3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 t="str">
        <f t="shared" si="64"/>
        <v>31-60 days</v>
      </c>
      <c r="L4132">
        <v>34</v>
      </c>
      <c r="M4132">
        <v>3</v>
      </c>
      <c r="N4132">
        <v>0</v>
      </c>
      <c r="O4132" t="s">
        <v>25</v>
      </c>
      <c r="P4132" t="s">
        <v>35</v>
      </c>
      <c r="Q4132">
        <v>10</v>
      </c>
      <c r="R4132">
        <v>53</v>
      </c>
      <c r="S4132" t="s">
        <v>36</v>
      </c>
    </row>
    <row r="4133" spans="1:19" x14ac:dyDescent="0.3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 t="str">
        <f t="shared" si="64"/>
        <v>31-60 days</v>
      </c>
      <c r="L4133">
        <v>40</v>
      </c>
      <c r="M4133">
        <v>1</v>
      </c>
      <c r="N4133">
        <v>0</v>
      </c>
      <c r="O4133" t="s">
        <v>25</v>
      </c>
      <c r="P4133" t="s">
        <v>50</v>
      </c>
      <c r="Q4133">
        <v>21.9</v>
      </c>
      <c r="R4133">
        <v>40</v>
      </c>
      <c r="S4133" t="s">
        <v>27</v>
      </c>
    </row>
    <row r="4134" spans="1:19" x14ac:dyDescent="0.3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 t="str">
        <f t="shared" si="64"/>
        <v>31-60 days</v>
      </c>
      <c r="L4134">
        <v>59</v>
      </c>
      <c r="M4134">
        <v>1</v>
      </c>
      <c r="N4134">
        <v>0</v>
      </c>
      <c r="O4134" t="s">
        <v>25</v>
      </c>
      <c r="P4134" t="s">
        <v>50</v>
      </c>
      <c r="Q4134">
        <v>7.4</v>
      </c>
      <c r="R4134">
        <v>17</v>
      </c>
      <c r="S4134" t="s">
        <v>36</v>
      </c>
    </row>
    <row r="4135" spans="1:19" x14ac:dyDescent="0.3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 t="str">
        <f t="shared" si="64"/>
        <v>31-60 days</v>
      </c>
      <c r="L4135">
        <v>46</v>
      </c>
      <c r="M4135">
        <v>4</v>
      </c>
      <c r="N4135">
        <v>2</v>
      </c>
      <c r="O4135" t="s">
        <v>25</v>
      </c>
      <c r="P4135" t="s">
        <v>35</v>
      </c>
      <c r="Q4135">
        <v>2.8</v>
      </c>
      <c r="R4135">
        <v>38</v>
      </c>
      <c r="S4135" t="s">
        <v>36</v>
      </c>
    </row>
    <row r="4136" spans="1:19" x14ac:dyDescent="0.3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 t="str">
        <f t="shared" si="64"/>
        <v>8-14 days</v>
      </c>
      <c r="L4136">
        <v>12</v>
      </c>
      <c r="M4136">
        <v>4</v>
      </c>
      <c r="N4136">
        <v>1</v>
      </c>
      <c r="O4136" t="s">
        <v>25</v>
      </c>
      <c r="P4136" t="s">
        <v>26</v>
      </c>
      <c r="Q4136">
        <v>2.8</v>
      </c>
      <c r="R4136">
        <v>37</v>
      </c>
      <c r="S4136" t="s">
        <v>27</v>
      </c>
    </row>
    <row r="4137" spans="1:19" x14ac:dyDescent="0.3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 t="str">
        <f t="shared" si="64"/>
        <v>0-7 days</v>
      </c>
      <c r="L4137">
        <v>2</v>
      </c>
      <c r="M4137">
        <v>4</v>
      </c>
      <c r="N4137">
        <v>0</v>
      </c>
      <c r="O4137" t="s">
        <v>25</v>
      </c>
      <c r="P4137" t="s">
        <v>35</v>
      </c>
      <c r="Q4137">
        <v>21.8</v>
      </c>
      <c r="R4137">
        <v>9</v>
      </c>
      <c r="S4137" t="s">
        <v>36</v>
      </c>
    </row>
    <row r="4138" spans="1:19" x14ac:dyDescent="0.3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 t="str">
        <f t="shared" si="64"/>
        <v>31-60 days</v>
      </c>
      <c r="L4138">
        <v>38</v>
      </c>
      <c r="M4138">
        <v>2</v>
      </c>
      <c r="N4138">
        <v>0</v>
      </c>
      <c r="O4138" t="s">
        <v>25</v>
      </c>
      <c r="P4138" t="s">
        <v>26</v>
      </c>
      <c r="Q4138">
        <v>19.2</v>
      </c>
      <c r="R4138">
        <v>2</v>
      </c>
      <c r="S4138" t="s">
        <v>36</v>
      </c>
    </row>
    <row r="4139" spans="1:19" x14ac:dyDescent="0.3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 t="str">
        <f t="shared" si="64"/>
        <v>31-60 days</v>
      </c>
      <c r="L4139">
        <v>33</v>
      </c>
      <c r="M4139">
        <v>5</v>
      </c>
      <c r="N4139">
        <v>1</v>
      </c>
      <c r="O4139" t="s">
        <v>25</v>
      </c>
      <c r="P4139" t="s">
        <v>26</v>
      </c>
      <c r="Q4139">
        <v>10.9</v>
      </c>
      <c r="R4139">
        <v>26</v>
      </c>
      <c r="S4139" t="s">
        <v>27</v>
      </c>
    </row>
    <row r="4140" spans="1:19" x14ac:dyDescent="0.3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 t="str">
        <f t="shared" si="64"/>
        <v>31-60 days</v>
      </c>
      <c r="L4140">
        <v>56</v>
      </c>
      <c r="M4140">
        <v>1</v>
      </c>
      <c r="N4140">
        <v>0</v>
      </c>
      <c r="O4140" t="s">
        <v>54</v>
      </c>
      <c r="P4140" t="s">
        <v>55</v>
      </c>
      <c r="Q4140">
        <v>2.2000000000000002</v>
      </c>
      <c r="R4140">
        <v>22</v>
      </c>
      <c r="S4140" t="s">
        <v>27</v>
      </c>
    </row>
    <row r="4141" spans="1:19" x14ac:dyDescent="0.3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 t="str">
        <f t="shared" si="64"/>
        <v>31-60 days</v>
      </c>
      <c r="L4141">
        <v>35</v>
      </c>
      <c r="M4141">
        <v>7</v>
      </c>
      <c r="N4141">
        <v>1</v>
      </c>
      <c r="O4141" t="s">
        <v>25</v>
      </c>
      <c r="P4141" t="s">
        <v>26</v>
      </c>
      <c r="Q4141">
        <v>11</v>
      </c>
      <c r="R4141">
        <v>2</v>
      </c>
      <c r="S4141" t="s">
        <v>36</v>
      </c>
    </row>
    <row r="4142" spans="1:19" x14ac:dyDescent="0.3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 t="str">
        <f t="shared" si="64"/>
        <v>15-30 days</v>
      </c>
      <c r="L4142">
        <v>30</v>
      </c>
      <c r="M4142">
        <v>4</v>
      </c>
      <c r="N4142">
        <v>0</v>
      </c>
      <c r="O4142" t="s">
        <v>25</v>
      </c>
      <c r="P4142" t="s">
        <v>50</v>
      </c>
      <c r="Q4142">
        <v>11.6</v>
      </c>
      <c r="R4142">
        <v>25</v>
      </c>
      <c r="S4142" t="s">
        <v>36</v>
      </c>
    </row>
    <row r="4143" spans="1:19" x14ac:dyDescent="0.3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 t="str">
        <f t="shared" si="64"/>
        <v>15-30 days</v>
      </c>
      <c r="L4143">
        <v>18</v>
      </c>
      <c r="M4143">
        <v>0</v>
      </c>
      <c r="N4143">
        <v>0</v>
      </c>
      <c r="O4143" t="s">
        <v>54</v>
      </c>
      <c r="P4143" t="s">
        <v>55</v>
      </c>
      <c r="Q4143">
        <v>8.8000000000000007</v>
      </c>
      <c r="S4143" t="s">
        <v>27</v>
      </c>
    </row>
    <row r="4144" spans="1:19" x14ac:dyDescent="0.3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 t="str">
        <f t="shared" si="64"/>
        <v>0-7 days</v>
      </c>
      <c r="L4144">
        <v>5</v>
      </c>
      <c r="M4144">
        <v>1</v>
      </c>
      <c r="N4144">
        <v>0</v>
      </c>
      <c r="O4144" t="s">
        <v>54</v>
      </c>
      <c r="P4144" t="s">
        <v>55</v>
      </c>
      <c r="Q4144">
        <v>11</v>
      </c>
      <c r="R4144">
        <v>17</v>
      </c>
      <c r="S4144" t="s">
        <v>36</v>
      </c>
    </row>
    <row r="4145" spans="1:19" x14ac:dyDescent="0.3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 t="str">
        <f t="shared" si="64"/>
        <v>31-60 days</v>
      </c>
      <c r="L4145">
        <v>53</v>
      </c>
      <c r="M4145">
        <v>3</v>
      </c>
      <c r="N4145">
        <v>0</v>
      </c>
      <c r="O4145" t="s">
        <v>25</v>
      </c>
      <c r="P4145" t="s">
        <v>50</v>
      </c>
      <c r="Q4145">
        <v>6.7</v>
      </c>
      <c r="R4145">
        <v>41</v>
      </c>
      <c r="S4145" t="s">
        <v>27</v>
      </c>
    </row>
    <row r="4146" spans="1:19" x14ac:dyDescent="0.3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 t="str">
        <f t="shared" si="64"/>
        <v>31-60 days</v>
      </c>
      <c r="L4146">
        <v>50</v>
      </c>
      <c r="M4146">
        <v>2</v>
      </c>
      <c r="N4146">
        <v>0</v>
      </c>
      <c r="O4146" t="s">
        <v>25</v>
      </c>
      <c r="P4146" t="s">
        <v>26</v>
      </c>
      <c r="Q4146">
        <v>2.2000000000000002</v>
      </c>
      <c r="R4146">
        <v>21</v>
      </c>
      <c r="S4146" t="s">
        <v>36</v>
      </c>
    </row>
    <row r="4147" spans="1:19" x14ac:dyDescent="0.3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 t="str">
        <f t="shared" si="64"/>
        <v>8-14 days</v>
      </c>
      <c r="L4147">
        <v>9</v>
      </c>
      <c r="M4147">
        <v>3</v>
      </c>
      <c r="N4147">
        <v>1</v>
      </c>
      <c r="O4147" t="s">
        <v>25</v>
      </c>
      <c r="P4147" t="s">
        <v>35</v>
      </c>
      <c r="Q4147">
        <v>15</v>
      </c>
      <c r="R4147">
        <v>19</v>
      </c>
      <c r="S4147" t="s">
        <v>71</v>
      </c>
    </row>
    <row r="4148" spans="1:19" x14ac:dyDescent="0.3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 t="str">
        <f t="shared" si="64"/>
        <v>31-60 days</v>
      </c>
      <c r="L4148">
        <v>42</v>
      </c>
      <c r="M4148">
        <v>3</v>
      </c>
      <c r="N4148">
        <v>1</v>
      </c>
      <c r="O4148" t="s">
        <v>25</v>
      </c>
      <c r="P4148" t="s">
        <v>35</v>
      </c>
      <c r="Q4148">
        <v>10.7</v>
      </c>
      <c r="R4148">
        <v>24</v>
      </c>
      <c r="S4148" t="s">
        <v>36</v>
      </c>
    </row>
    <row r="4149" spans="1:19" x14ac:dyDescent="0.3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 t="str">
        <f t="shared" si="64"/>
        <v>15-30 days</v>
      </c>
      <c r="L4149">
        <v>22</v>
      </c>
      <c r="M4149">
        <v>4</v>
      </c>
      <c r="N4149">
        <v>0</v>
      </c>
      <c r="O4149" t="s">
        <v>25</v>
      </c>
      <c r="P4149" t="s">
        <v>26</v>
      </c>
      <c r="Q4149">
        <v>19.2</v>
      </c>
      <c r="R4149">
        <v>9</v>
      </c>
      <c r="S4149" t="s">
        <v>36</v>
      </c>
    </row>
    <row r="4150" spans="1:19" x14ac:dyDescent="0.3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 t="str">
        <f t="shared" si="64"/>
        <v>15-30 days</v>
      </c>
      <c r="L4150">
        <v>26</v>
      </c>
      <c r="M4150">
        <v>1</v>
      </c>
      <c r="N4150">
        <v>0</v>
      </c>
      <c r="O4150" t="s">
        <v>25</v>
      </c>
      <c r="P4150" t="s">
        <v>50</v>
      </c>
      <c r="Q4150">
        <v>13.6</v>
      </c>
      <c r="S4150" t="s">
        <v>36</v>
      </c>
    </row>
    <row r="4151" spans="1:19" x14ac:dyDescent="0.3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 t="str">
        <f t="shared" si="64"/>
        <v>31-60 days</v>
      </c>
      <c r="L4151">
        <v>51</v>
      </c>
      <c r="M4151">
        <v>2</v>
      </c>
      <c r="N4151">
        <v>1</v>
      </c>
      <c r="O4151" t="s">
        <v>54</v>
      </c>
      <c r="P4151" t="s">
        <v>55</v>
      </c>
      <c r="Q4151">
        <v>4.7</v>
      </c>
      <c r="R4151">
        <v>2</v>
      </c>
      <c r="S4151" t="s">
        <v>27</v>
      </c>
    </row>
    <row r="4152" spans="1:19" x14ac:dyDescent="0.3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 t="str">
        <f t="shared" si="64"/>
        <v>31-60 days</v>
      </c>
      <c r="L4152">
        <v>51</v>
      </c>
      <c r="M4152">
        <v>6</v>
      </c>
      <c r="N4152">
        <v>1</v>
      </c>
      <c r="O4152" t="s">
        <v>25</v>
      </c>
      <c r="P4152" t="s">
        <v>35</v>
      </c>
      <c r="Q4152">
        <v>1.8</v>
      </c>
      <c r="R4152">
        <v>28</v>
      </c>
      <c r="S4152" t="s">
        <v>36</v>
      </c>
    </row>
    <row r="4153" spans="1:19" x14ac:dyDescent="0.3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 t="str">
        <f t="shared" si="64"/>
        <v>8-14 days</v>
      </c>
      <c r="L4153">
        <v>11</v>
      </c>
      <c r="M4153">
        <v>2</v>
      </c>
      <c r="N4153">
        <v>0</v>
      </c>
      <c r="O4153" t="s">
        <v>54</v>
      </c>
      <c r="P4153" t="s">
        <v>55</v>
      </c>
      <c r="Q4153">
        <v>11.4</v>
      </c>
      <c r="R4153">
        <v>34</v>
      </c>
      <c r="S4153" t="s">
        <v>27</v>
      </c>
    </row>
    <row r="4154" spans="1:19" x14ac:dyDescent="0.3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 t="str">
        <f t="shared" si="64"/>
        <v>15-30 days</v>
      </c>
      <c r="L4154">
        <v>18</v>
      </c>
      <c r="M4154">
        <v>2</v>
      </c>
      <c r="N4154">
        <v>0</v>
      </c>
      <c r="O4154" t="s">
        <v>25</v>
      </c>
      <c r="P4154" t="s">
        <v>35</v>
      </c>
      <c r="Q4154">
        <v>8.8000000000000007</v>
      </c>
      <c r="R4154">
        <v>27</v>
      </c>
      <c r="S4154" t="s">
        <v>71</v>
      </c>
    </row>
    <row r="4155" spans="1:19" x14ac:dyDescent="0.3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 t="str">
        <f t="shared" si="64"/>
        <v>31-60 days</v>
      </c>
      <c r="L4155">
        <v>50</v>
      </c>
      <c r="M4155">
        <v>7</v>
      </c>
      <c r="N4155">
        <v>0</v>
      </c>
      <c r="O4155" t="s">
        <v>25</v>
      </c>
      <c r="P4155" t="s">
        <v>35</v>
      </c>
      <c r="Q4155">
        <v>9.3000000000000007</v>
      </c>
      <c r="R4155">
        <v>26</v>
      </c>
      <c r="S4155" t="s">
        <v>27</v>
      </c>
    </row>
    <row r="4156" spans="1:19" x14ac:dyDescent="0.3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 t="str">
        <f t="shared" si="64"/>
        <v>31-60 days</v>
      </c>
      <c r="L4156">
        <v>55</v>
      </c>
      <c r="M4156">
        <v>4</v>
      </c>
      <c r="N4156">
        <v>2</v>
      </c>
      <c r="O4156" t="s">
        <v>25</v>
      </c>
      <c r="P4156" t="s">
        <v>35</v>
      </c>
      <c r="Q4156">
        <v>10.8</v>
      </c>
      <c r="R4156">
        <v>23</v>
      </c>
      <c r="S4156" t="s">
        <v>27</v>
      </c>
    </row>
    <row r="4157" spans="1:19" x14ac:dyDescent="0.3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 t="str">
        <f t="shared" si="64"/>
        <v>0-7 days</v>
      </c>
      <c r="L4157">
        <v>4</v>
      </c>
      <c r="M4157">
        <v>5</v>
      </c>
      <c r="N4157">
        <v>0</v>
      </c>
      <c r="O4157" t="s">
        <v>54</v>
      </c>
      <c r="P4157" t="s">
        <v>55</v>
      </c>
      <c r="Q4157">
        <v>1.6</v>
      </c>
      <c r="R4157">
        <v>40</v>
      </c>
      <c r="S4157" t="s">
        <v>36</v>
      </c>
    </row>
    <row r="4158" spans="1:19" x14ac:dyDescent="0.3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 t="str">
        <f t="shared" si="64"/>
        <v>31-60 days</v>
      </c>
      <c r="L4158">
        <v>50</v>
      </c>
      <c r="M4158">
        <v>3</v>
      </c>
      <c r="N4158">
        <v>0</v>
      </c>
      <c r="O4158" t="s">
        <v>25</v>
      </c>
      <c r="P4158" t="s">
        <v>26</v>
      </c>
      <c r="Q4158">
        <v>7.9</v>
      </c>
      <c r="R4158">
        <v>22</v>
      </c>
      <c r="S4158" t="s">
        <v>36</v>
      </c>
    </row>
    <row r="4159" spans="1:19" x14ac:dyDescent="0.3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 t="str">
        <f t="shared" si="64"/>
        <v>15-30 days</v>
      </c>
      <c r="L4159">
        <v>29</v>
      </c>
      <c r="M4159">
        <v>2</v>
      </c>
      <c r="N4159">
        <v>0</v>
      </c>
      <c r="O4159" t="s">
        <v>25</v>
      </c>
      <c r="P4159" t="s">
        <v>35</v>
      </c>
      <c r="Q4159">
        <v>4.7</v>
      </c>
      <c r="R4159">
        <v>33</v>
      </c>
      <c r="S4159" t="s">
        <v>36</v>
      </c>
    </row>
    <row r="4160" spans="1:19" x14ac:dyDescent="0.3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 t="str">
        <f t="shared" si="64"/>
        <v>31-60 days</v>
      </c>
      <c r="L4160">
        <v>36</v>
      </c>
      <c r="M4160">
        <v>4</v>
      </c>
      <c r="N4160">
        <v>0</v>
      </c>
      <c r="O4160" t="s">
        <v>25</v>
      </c>
      <c r="P4160" t="s">
        <v>26</v>
      </c>
      <c r="Q4160">
        <v>9.6999999999999993</v>
      </c>
      <c r="R4160">
        <v>32</v>
      </c>
      <c r="S4160" t="s">
        <v>71</v>
      </c>
    </row>
    <row r="4161" spans="1:19" x14ac:dyDescent="0.3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 t="str">
        <f t="shared" si="64"/>
        <v>0-7 days</v>
      </c>
      <c r="L4161">
        <v>4</v>
      </c>
      <c r="M4161">
        <v>2</v>
      </c>
      <c r="N4161">
        <v>0</v>
      </c>
      <c r="O4161" t="s">
        <v>25</v>
      </c>
      <c r="P4161" t="s">
        <v>35</v>
      </c>
      <c r="Q4161">
        <v>5</v>
      </c>
      <c r="R4161">
        <v>8</v>
      </c>
      <c r="S4161" t="s">
        <v>36</v>
      </c>
    </row>
    <row r="4162" spans="1:19" x14ac:dyDescent="0.3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 t="str">
        <f t="shared" si="64"/>
        <v>31-60 days</v>
      </c>
      <c r="L4162">
        <v>41</v>
      </c>
      <c r="M4162">
        <v>1</v>
      </c>
      <c r="N4162">
        <v>1</v>
      </c>
      <c r="O4162" t="s">
        <v>54</v>
      </c>
      <c r="P4162" t="s">
        <v>55</v>
      </c>
      <c r="Q4162">
        <v>6.7</v>
      </c>
      <c r="R4162">
        <v>31</v>
      </c>
      <c r="S4162" t="s">
        <v>36</v>
      </c>
    </row>
    <row r="4163" spans="1:19" x14ac:dyDescent="0.3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 t="str">
        <f t="shared" ref="K4163:K4226" si="65">IF(L4163&lt;=7,"0-7 days",IF(L4163&lt;=14,"8-14 days",IF(L4163&lt;=30,"15-30 days","31-60 days")))</f>
        <v>31-60 days</v>
      </c>
      <c r="L4163">
        <v>41</v>
      </c>
      <c r="M4163">
        <v>3</v>
      </c>
      <c r="N4163">
        <v>0</v>
      </c>
      <c r="O4163" t="s">
        <v>25</v>
      </c>
      <c r="P4163" t="s">
        <v>26</v>
      </c>
      <c r="Q4163">
        <v>6.4</v>
      </c>
      <c r="R4163">
        <v>11</v>
      </c>
      <c r="S4163" t="s">
        <v>27</v>
      </c>
    </row>
    <row r="4164" spans="1:19" x14ac:dyDescent="0.3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 t="str">
        <f t="shared" si="65"/>
        <v>31-60 days</v>
      </c>
      <c r="L4164">
        <v>40</v>
      </c>
      <c r="M4164">
        <v>7</v>
      </c>
      <c r="N4164">
        <v>0</v>
      </c>
      <c r="O4164" t="s">
        <v>25</v>
      </c>
      <c r="P4164" t="s">
        <v>35</v>
      </c>
      <c r="Q4164">
        <v>6.7</v>
      </c>
      <c r="R4164">
        <v>17</v>
      </c>
      <c r="S4164" t="s">
        <v>27</v>
      </c>
    </row>
    <row r="4165" spans="1:19" x14ac:dyDescent="0.3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 t="str">
        <f t="shared" si="65"/>
        <v>31-60 days</v>
      </c>
      <c r="L4165">
        <v>48</v>
      </c>
      <c r="M4165">
        <v>0</v>
      </c>
      <c r="N4165">
        <v>0</v>
      </c>
      <c r="O4165" t="s">
        <v>54</v>
      </c>
      <c r="P4165" t="s">
        <v>55</v>
      </c>
      <c r="Q4165">
        <v>14.5</v>
      </c>
      <c r="R4165">
        <v>22</v>
      </c>
      <c r="S4165" t="s">
        <v>27</v>
      </c>
    </row>
    <row r="4166" spans="1:19" x14ac:dyDescent="0.3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 t="str">
        <f t="shared" si="65"/>
        <v>31-60 days</v>
      </c>
      <c r="L4166">
        <v>57</v>
      </c>
      <c r="M4166">
        <v>2</v>
      </c>
      <c r="N4166">
        <v>1</v>
      </c>
      <c r="O4166" t="s">
        <v>25</v>
      </c>
      <c r="P4166" t="s">
        <v>26</v>
      </c>
      <c r="Q4166">
        <v>6.4</v>
      </c>
      <c r="R4166">
        <v>37</v>
      </c>
      <c r="S4166" t="s">
        <v>27</v>
      </c>
    </row>
    <row r="4167" spans="1:19" x14ac:dyDescent="0.3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 t="str">
        <f t="shared" si="65"/>
        <v>31-60 days</v>
      </c>
      <c r="L4167">
        <v>51</v>
      </c>
      <c r="M4167">
        <v>4</v>
      </c>
      <c r="N4167">
        <v>2</v>
      </c>
      <c r="O4167" t="s">
        <v>54</v>
      </c>
      <c r="P4167" t="s">
        <v>55</v>
      </c>
      <c r="Q4167">
        <v>15.3</v>
      </c>
      <c r="R4167">
        <v>16</v>
      </c>
      <c r="S4167" t="s">
        <v>27</v>
      </c>
    </row>
    <row r="4168" spans="1:19" x14ac:dyDescent="0.3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 t="str">
        <f t="shared" si="65"/>
        <v>31-60 days</v>
      </c>
      <c r="L4168">
        <v>45</v>
      </c>
      <c r="M4168">
        <v>8</v>
      </c>
      <c r="N4168">
        <v>3</v>
      </c>
      <c r="O4168" t="s">
        <v>25</v>
      </c>
      <c r="P4168" t="s">
        <v>35</v>
      </c>
      <c r="Q4168">
        <v>1.1000000000000001</v>
      </c>
      <c r="R4168">
        <v>27</v>
      </c>
      <c r="S4168" t="s">
        <v>27</v>
      </c>
    </row>
    <row r="4169" spans="1:19" x14ac:dyDescent="0.3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 t="str">
        <f t="shared" si="65"/>
        <v>31-60 days</v>
      </c>
      <c r="L4169">
        <v>59</v>
      </c>
      <c r="M4169">
        <v>4</v>
      </c>
      <c r="N4169">
        <v>0</v>
      </c>
      <c r="O4169" t="s">
        <v>54</v>
      </c>
      <c r="P4169" t="s">
        <v>55</v>
      </c>
      <c r="Q4169">
        <v>5</v>
      </c>
      <c r="R4169">
        <v>6</v>
      </c>
      <c r="S4169" t="s">
        <v>27</v>
      </c>
    </row>
    <row r="4170" spans="1:19" x14ac:dyDescent="0.3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 t="str">
        <f t="shared" si="65"/>
        <v>31-60 days</v>
      </c>
      <c r="L4170">
        <v>41</v>
      </c>
      <c r="M4170">
        <v>3</v>
      </c>
      <c r="N4170">
        <v>1</v>
      </c>
      <c r="O4170" t="s">
        <v>25</v>
      </c>
      <c r="P4170" t="s">
        <v>35</v>
      </c>
      <c r="Q4170">
        <v>1.5</v>
      </c>
      <c r="R4170">
        <v>21</v>
      </c>
      <c r="S4170" t="s">
        <v>27</v>
      </c>
    </row>
    <row r="4171" spans="1:19" x14ac:dyDescent="0.3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 t="str">
        <f t="shared" si="65"/>
        <v>31-60 days</v>
      </c>
      <c r="L4171">
        <v>40</v>
      </c>
      <c r="M4171">
        <v>3</v>
      </c>
      <c r="N4171">
        <v>1</v>
      </c>
      <c r="O4171" t="s">
        <v>25</v>
      </c>
      <c r="P4171" t="s">
        <v>35</v>
      </c>
      <c r="Q4171">
        <v>13.1</v>
      </c>
      <c r="R4171">
        <v>18</v>
      </c>
      <c r="S4171" t="s">
        <v>27</v>
      </c>
    </row>
    <row r="4172" spans="1:19" x14ac:dyDescent="0.3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 t="str">
        <f t="shared" si="65"/>
        <v>31-60 days</v>
      </c>
      <c r="L4172">
        <v>33</v>
      </c>
      <c r="M4172">
        <v>5</v>
      </c>
      <c r="N4172">
        <v>0</v>
      </c>
      <c r="O4172" t="s">
        <v>25</v>
      </c>
      <c r="P4172" t="s">
        <v>35</v>
      </c>
      <c r="Q4172">
        <v>8.1999999999999993</v>
      </c>
      <c r="R4172">
        <v>37</v>
      </c>
      <c r="S4172" t="s">
        <v>36</v>
      </c>
    </row>
    <row r="4173" spans="1:19" x14ac:dyDescent="0.3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 t="str">
        <f t="shared" si="65"/>
        <v>31-60 days</v>
      </c>
      <c r="L4173">
        <v>46</v>
      </c>
      <c r="M4173">
        <v>3</v>
      </c>
      <c r="N4173">
        <v>1</v>
      </c>
      <c r="O4173" t="s">
        <v>25</v>
      </c>
      <c r="P4173" t="s">
        <v>26</v>
      </c>
      <c r="Q4173">
        <v>7.2</v>
      </c>
      <c r="R4173">
        <v>15</v>
      </c>
      <c r="S4173" t="s">
        <v>27</v>
      </c>
    </row>
    <row r="4174" spans="1:19" x14ac:dyDescent="0.3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 t="str">
        <f t="shared" si="65"/>
        <v>0-7 days</v>
      </c>
      <c r="L4174">
        <v>4</v>
      </c>
      <c r="M4174">
        <v>5</v>
      </c>
      <c r="N4174">
        <v>1</v>
      </c>
      <c r="O4174" t="s">
        <v>25</v>
      </c>
      <c r="P4174" t="s">
        <v>35</v>
      </c>
      <c r="Q4174">
        <v>5.6</v>
      </c>
      <c r="R4174">
        <v>6</v>
      </c>
      <c r="S4174" t="s">
        <v>36</v>
      </c>
    </row>
    <row r="4175" spans="1:19" x14ac:dyDescent="0.3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 t="str">
        <f t="shared" si="65"/>
        <v>15-30 days</v>
      </c>
      <c r="L4175">
        <v>30</v>
      </c>
      <c r="M4175">
        <v>1</v>
      </c>
      <c r="N4175">
        <v>0</v>
      </c>
      <c r="O4175" t="s">
        <v>25</v>
      </c>
      <c r="P4175" t="s">
        <v>26</v>
      </c>
      <c r="Q4175">
        <v>14.6</v>
      </c>
      <c r="R4175">
        <v>19</v>
      </c>
      <c r="S4175" t="s">
        <v>71</v>
      </c>
    </row>
    <row r="4176" spans="1:19" x14ac:dyDescent="0.3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 t="str">
        <f t="shared" si="65"/>
        <v>15-30 days</v>
      </c>
      <c r="L4176">
        <v>25</v>
      </c>
      <c r="M4176">
        <v>4</v>
      </c>
      <c r="N4176">
        <v>0</v>
      </c>
      <c r="O4176" t="s">
        <v>25</v>
      </c>
      <c r="P4176" t="s">
        <v>35</v>
      </c>
      <c r="Q4176">
        <v>10.1</v>
      </c>
      <c r="R4176">
        <v>17</v>
      </c>
      <c r="S4176" t="s">
        <v>36</v>
      </c>
    </row>
    <row r="4177" spans="1:19" x14ac:dyDescent="0.3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 t="str">
        <f t="shared" si="65"/>
        <v>31-60 days</v>
      </c>
      <c r="L4177">
        <v>55</v>
      </c>
      <c r="M4177">
        <v>2</v>
      </c>
      <c r="N4177">
        <v>0</v>
      </c>
      <c r="O4177" t="s">
        <v>25</v>
      </c>
      <c r="P4177" t="s">
        <v>35</v>
      </c>
      <c r="Q4177">
        <v>5.6</v>
      </c>
      <c r="R4177">
        <v>26</v>
      </c>
      <c r="S4177" t="s">
        <v>27</v>
      </c>
    </row>
    <row r="4178" spans="1:19" x14ac:dyDescent="0.3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 t="str">
        <f t="shared" si="65"/>
        <v>0-7 days</v>
      </c>
      <c r="L4178">
        <v>4</v>
      </c>
      <c r="M4178">
        <v>2</v>
      </c>
      <c r="N4178">
        <v>0</v>
      </c>
      <c r="O4178" t="s">
        <v>25</v>
      </c>
      <c r="P4178" t="s">
        <v>35</v>
      </c>
      <c r="Q4178">
        <v>27.2</v>
      </c>
      <c r="R4178">
        <v>38</v>
      </c>
      <c r="S4178" t="s">
        <v>36</v>
      </c>
    </row>
    <row r="4179" spans="1:19" x14ac:dyDescent="0.3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 t="str">
        <f t="shared" si="65"/>
        <v>31-60 days</v>
      </c>
      <c r="L4179">
        <v>39</v>
      </c>
      <c r="M4179">
        <v>4</v>
      </c>
      <c r="N4179">
        <v>0</v>
      </c>
      <c r="O4179" t="s">
        <v>54</v>
      </c>
      <c r="P4179" t="s">
        <v>55</v>
      </c>
      <c r="Q4179">
        <v>6.6</v>
      </c>
      <c r="R4179">
        <v>20</v>
      </c>
      <c r="S4179" t="s">
        <v>71</v>
      </c>
    </row>
    <row r="4180" spans="1:19" x14ac:dyDescent="0.3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 t="str">
        <f t="shared" si="65"/>
        <v>8-14 days</v>
      </c>
      <c r="L4180">
        <v>11</v>
      </c>
      <c r="M4180">
        <v>7</v>
      </c>
      <c r="N4180">
        <v>0</v>
      </c>
      <c r="O4180" t="s">
        <v>25</v>
      </c>
      <c r="P4180" t="s">
        <v>35</v>
      </c>
      <c r="Q4180">
        <v>2.2000000000000002</v>
      </c>
      <c r="R4180">
        <v>28</v>
      </c>
      <c r="S4180" t="s">
        <v>36</v>
      </c>
    </row>
    <row r="4181" spans="1:19" x14ac:dyDescent="0.3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 t="str">
        <f t="shared" si="65"/>
        <v>31-60 days</v>
      </c>
      <c r="L4181">
        <v>53</v>
      </c>
      <c r="M4181">
        <v>3</v>
      </c>
      <c r="N4181">
        <v>1</v>
      </c>
      <c r="O4181" t="s">
        <v>25</v>
      </c>
      <c r="P4181" t="s">
        <v>26</v>
      </c>
      <c r="Q4181">
        <v>16.399999999999999</v>
      </c>
      <c r="R4181">
        <v>23</v>
      </c>
      <c r="S4181" t="s">
        <v>27</v>
      </c>
    </row>
    <row r="4182" spans="1:19" x14ac:dyDescent="0.3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 t="str">
        <f t="shared" si="65"/>
        <v>31-60 days</v>
      </c>
      <c r="L4182">
        <v>51</v>
      </c>
      <c r="M4182">
        <v>4</v>
      </c>
      <c r="N4182">
        <v>0</v>
      </c>
      <c r="O4182" t="s">
        <v>25</v>
      </c>
      <c r="P4182" t="s">
        <v>35</v>
      </c>
      <c r="Q4182">
        <v>5.8</v>
      </c>
      <c r="R4182">
        <v>29</v>
      </c>
      <c r="S4182" t="s">
        <v>27</v>
      </c>
    </row>
    <row r="4183" spans="1:19" x14ac:dyDescent="0.3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 t="str">
        <f t="shared" si="65"/>
        <v>8-14 days</v>
      </c>
      <c r="L4183">
        <v>14</v>
      </c>
      <c r="M4183">
        <v>4</v>
      </c>
      <c r="N4183">
        <v>0</v>
      </c>
      <c r="O4183" t="s">
        <v>25</v>
      </c>
      <c r="P4183" t="s">
        <v>26</v>
      </c>
      <c r="Q4183">
        <v>4.2</v>
      </c>
      <c r="R4183">
        <v>13</v>
      </c>
      <c r="S4183" t="s">
        <v>36</v>
      </c>
    </row>
    <row r="4184" spans="1:19" x14ac:dyDescent="0.3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 t="str">
        <f t="shared" si="65"/>
        <v>31-60 days</v>
      </c>
      <c r="L4184">
        <v>53</v>
      </c>
      <c r="M4184">
        <v>2</v>
      </c>
      <c r="N4184">
        <v>0</v>
      </c>
      <c r="O4184" t="s">
        <v>25</v>
      </c>
      <c r="P4184" t="s">
        <v>35</v>
      </c>
      <c r="Q4184">
        <v>12.7</v>
      </c>
      <c r="R4184">
        <v>23</v>
      </c>
      <c r="S4184" t="s">
        <v>27</v>
      </c>
    </row>
    <row r="4185" spans="1:19" x14ac:dyDescent="0.3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 t="str">
        <f t="shared" si="65"/>
        <v>15-30 days</v>
      </c>
      <c r="L4185">
        <v>30</v>
      </c>
      <c r="M4185">
        <v>2</v>
      </c>
      <c r="N4185">
        <v>0</v>
      </c>
      <c r="O4185" t="s">
        <v>25</v>
      </c>
      <c r="P4185" t="s">
        <v>35</v>
      </c>
      <c r="Q4185">
        <v>10.8</v>
      </c>
      <c r="R4185">
        <v>34</v>
      </c>
      <c r="S4185" t="s">
        <v>27</v>
      </c>
    </row>
    <row r="4186" spans="1:19" x14ac:dyDescent="0.3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 t="str">
        <f t="shared" si="65"/>
        <v>31-60 days</v>
      </c>
      <c r="L4186">
        <v>59</v>
      </c>
      <c r="M4186">
        <v>4</v>
      </c>
      <c r="N4186">
        <v>0</v>
      </c>
      <c r="O4186" t="s">
        <v>54</v>
      </c>
      <c r="P4186" t="s">
        <v>55</v>
      </c>
      <c r="Q4186">
        <v>5.5</v>
      </c>
      <c r="R4186">
        <v>15</v>
      </c>
      <c r="S4186" t="s">
        <v>27</v>
      </c>
    </row>
    <row r="4187" spans="1:19" x14ac:dyDescent="0.3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 t="str">
        <f t="shared" si="65"/>
        <v>31-60 days</v>
      </c>
      <c r="L4187">
        <v>44</v>
      </c>
      <c r="M4187">
        <v>2</v>
      </c>
      <c r="N4187">
        <v>1</v>
      </c>
      <c r="O4187" t="s">
        <v>25</v>
      </c>
      <c r="P4187" t="s">
        <v>35</v>
      </c>
      <c r="Q4187">
        <v>5.2</v>
      </c>
      <c r="R4187">
        <v>22</v>
      </c>
      <c r="S4187" t="s">
        <v>27</v>
      </c>
    </row>
    <row r="4188" spans="1:19" x14ac:dyDescent="0.3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 t="str">
        <f t="shared" si="65"/>
        <v>0-7 days</v>
      </c>
      <c r="L4188">
        <v>2</v>
      </c>
      <c r="M4188">
        <v>7</v>
      </c>
      <c r="N4188">
        <v>2</v>
      </c>
      <c r="O4188" t="s">
        <v>54</v>
      </c>
      <c r="P4188" t="s">
        <v>55</v>
      </c>
      <c r="Q4188">
        <v>14.1</v>
      </c>
      <c r="R4188">
        <v>23</v>
      </c>
      <c r="S4188" t="s">
        <v>36</v>
      </c>
    </row>
    <row r="4189" spans="1:19" x14ac:dyDescent="0.3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 t="str">
        <f t="shared" si="65"/>
        <v>8-14 days</v>
      </c>
      <c r="L4189">
        <v>12</v>
      </c>
      <c r="M4189">
        <v>5</v>
      </c>
      <c r="N4189">
        <v>0</v>
      </c>
      <c r="O4189" t="s">
        <v>25</v>
      </c>
      <c r="P4189" t="s">
        <v>35</v>
      </c>
      <c r="Q4189">
        <v>9.1</v>
      </c>
      <c r="R4189">
        <v>7</v>
      </c>
      <c r="S4189" t="s">
        <v>36</v>
      </c>
    </row>
    <row r="4190" spans="1:19" x14ac:dyDescent="0.3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 t="str">
        <f t="shared" si="65"/>
        <v>15-30 days</v>
      </c>
      <c r="L4190">
        <v>24</v>
      </c>
      <c r="M4190">
        <v>3</v>
      </c>
      <c r="N4190">
        <v>1</v>
      </c>
      <c r="O4190" t="s">
        <v>25</v>
      </c>
      <c r="P4190" t="s">
        <v>26</v>
      </c>
      <c r="Q4190">
        <v>14.1</v>
      </c>
      <c r="R4190">
        <v>32</v>
      </c>
      <c r="S4190" t="s">
        <v>36</v>
      </c>
    </row>
    <row r="4191" spans="1:19" x14ac:dyDescent="0.3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 t="str">
        <f t="shared" si="65"/>
        <v>8-14 days</v>
      </c>
      <c r="L4191">
        <v>12</v>
      </c>
      <c r="M4191">
        <v>4</v>
      </c>
      <c r="N4191">
        <v>0</v>
      </c>
      <c r="O4191" t="s">
        <v>25</v>
      </c>
      <c r="P4191" t="s">
        <v>50</v>
      </c>
      <c r="Q4191">
        <v>7.9</v>
      </c>
      <c r="R4191">
        <v>17</v>
      </c>
      <c r="S4191" t="s">
        <v>36</v>
      </c>
    </row>
    <row r="4192" spans="1:19" x14ac:dyDescent="0.3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 t="str">
        <f t="shared" si="65"/>
        <v>8-14 days</v>
      </c>
      <c r="L4192">
        <v>8</v>
      </c>
      <c r="M4192">
        <v>1</v>
      </c>
      <c r="N4192">
        <v>0</v>
      </c>
      <c r="O4192" t="s">
        <v>25</v>
      </c>
      <c r="P4192" t="s">
        <v>26</v>
      </c>
      <c r="Q4192">
        <v>3.7</v>
      </c>
      <c r="R4192">
        <v>23</v>
      </c>
      <c r="S4192" t="s">
        <v>36</v>
      </c>
    </row>
    <row r="4193" spans="1:19" x14ac:dyDescent="0.3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 t="str">
        <f t="shared" si="65"/>
        <v>31-60 days</v>
      </c>
      <c r="L4193">
        <v>59</v>
      </c>
      <c r="M4193">
        <v>1</v>
      </c>
      <c r="N4193">
        <v>0</v>
      </c>
      <c r="O4193" t="s">
        <v>25</v>
      </c>
      <c r="P4193" t="s">
        <v>35</v>
      </c>
      <c r="Q4193">
        <v>10.8</v>
      </c>
      <c r="R4193">
        <v>30</v>
      </c>
      <c r="S4193" t="s">
        <v>27</v>
      </c>
    </row>
    <row r="4194" spans="1:19" x14ac:dyDescent="0.3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 t="str">
        <f t="shared" si="65"/>
        <v>31-60 days</v>
      </c>
      <c r="L4194">
        <v>53</v>
      </c>
      <c r="M4194">
        <v>4</v>
      </c>
      <c r="N4194">
        <v>2</v>
      </c>
      <c r="O4194" t="s">
        <v>25</v>
      </c>
      <c r="P4194" t="s">
        <v>26</v>
      </c>
      <c r="Q4194">
        <v>11.8</v>
      </c>
      <c r="R4194">
        <v>31</v>
      </c>
      <c r="S4194" t="s">
        <v>27</v>
      </c>
    </row>
    <row r="4195" spans="1:19" x14ac:dyDescent="0.3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 t="str">
        <f t="shared" si="65"/>
        <v>15-30 days</v>
      </c>
      <c r="L4195">
        <v>26</v>
      </c>
      <c r="M4195">
        <v>3</v>
      </c>
      <c r="N4195">
        <v>0</v>
      </c>
      <c r="O4195" t="s">
        <v>25</v>
      </c>
      <c r="P4195" t="s">
        <v>26</v>
      </c>
      <c r="Q4195">
        <v>7.1</v>
      </c>
      <c r="S4195" t="s">
        <v>36</v>
      </c>
    </row>
    <row r="4196" spans="1:19" x14ac:dyDescent="0.3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 t="str">
        <f t="shared" si="65"/>
        <v>8-14 days</v>
      </c>
      <c r="L4196">
        <v>13</v>
      </c>
      <c r="M4196">
        <v>3</v>
      </c>
      <c r="N4196">
        <v>1</v>
      </c>
      <c r="O4196" t="s">
        <v>25</v>
      </c>
      <c r="P4196" t="s">
        <v>26</v>
      </c>
      <c r="Q4196">
        <v>7.9</v>
      </c>
      <c r="R4196">
        <v>28</v>
      </c>
      <c r="S4196" t="s">
        <v>27</v>
      </c>
    </row>
    <row r="4197" spans="1:19" x14ac:dyDescent="0.3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 t="str">
        <f t="shared" si="65"/>
        <v>8-14 days</v>
      </c>
      <c r="L4197">
        <v>11</v>
      </c>
      <c r="M4197">
        <v>4</v>
      </c>
      <c r="N4197">
        <v>0</v>
      </c>
      <c r="O4197" t="s">
        <v>54</v>
      </c>
      <c r="P4197" t="s">
        <v>55</v>
      </c>
      <c r="Q4197">
        <v>4.2</v>
      </c>
      <c r="R4197">
        <v>34</v>
      </c>
      <c r="S4197" t="s">
        <v>36</v>
      </c>
    </row>
    <row r="4198" spans="1:19" x14ac:dyDescent="0.3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 t="str">
        <f t="shared" si="65"/>
        <v>31-60 days</v>
      </c>
      <c r="L4198">
        <v>55</v>
      </c>
      <c r="M4198">
        <v>4</v>
      </c>
      <c r="N4198">
        <v>1</v>
      </c>
      <c r="O4198" t="s">
        <v>25</v>
      </c>
      <c r="P4198" t="s">
        <v>35</v>
      </c>
      <c r="Q4198">
        <v>2.6</v>
      </c>
      <c r="R4198">
        <v>16</v>
      </c>
      <c r="S4198" t="s">
        <v>27</v>
      </c>
    </row>
    <row r="4199" spans="1:19" x14ac:dyDescent="0.3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 t="str">
        <f t="shared" si="65"/>
        <v>15-30 days</v>
      </c>
      <c r="L4199">
        <v>20</v>
      </c>
      <c r="M4199">
        <v>6</v>
      </c>
      <c r="N4199">
        <v>1</v>
      </c>
      <c r="O4199" t="s">
        <v>54</v>
      </c>
      <c r="P4199" t="s">
        <v>55</v>
      </c>
      <c r="Q4199">
        <v>13</v>
      </c>
      <c r="R4199">
        <v>32</v>
      </c>
      <c r="S4199" t="s">
        <v>27</v>
      </c>
    </row>
    <row r="4200" spans="1:19" x14ac:dyDescent="0.3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 t="str">
        <f t="shared" si="65"/>
        <v>0-7 days</v>
      </c>
      <c r="L4200">
        <v>0</v>
      </c>
      <c r="M4200">
        <v>2</v>
      </c>
      <c r="N4200">
        <v>0</v>
      </c>
      <c r="O4200" t="s">
        <v>54</v>
      </c>
      <c r="P4200" t="s">
        <v>55</v>
      </c>
      <c r="Q4200">
        <v>3.5</v>
      </c>
      <c r="R4200">
        <v>28</v>
      </c>
      <c r="S4200" t="s">
        <v>27</v>
      </c>
    </row>
    <row r="4201" spans="1:19" x14ac:dyDescent="0.3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 t="str">
        <f t="shared" si="65"/>
        <v>15-30 days</v>
      </c>
      <c r="L4201">
        <v>24</v>
      </c>
      <c r="M4201">
        <v>1</v>
      </c>
      <c r="N4201">
        <v>0</v>
      </c>
      <c r="O4201" t="s">
        <v>25</v>
      </c>
      <c r="P4201" t="s">
        <v>35</v>
      </c>
      <c r="Q4201">
        <v>10.6</v>
      </c>
      <c r="R4201">
        <v>29</v>
      </c>
      <c r="S4201" t="s">
        <v>36</v>
      </c>
    </row>
    <row r="4202" spans="1:19" x14ac:dyDescent="0.3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 t="str">
        <f t="shared" si="65"/>
        <v>15-30 days</v>
      </c>
      <c r="L4202">
        <v>27</v>
      </c>
      <c r="M4202">
        <v>2</v>
      </c>
      <c r="N4202">
        <v>1</v>
      </c>
      <c r="O4202" t="s">
        <v>54</v>
      </c>
      <c r="P4202" t="s">
        <v>55</v>
      </c>
      <c r="R4202">
        <v>33</v>
      </c>
      <c r="S4202" t="s">
        <v>27</v>
      </c>
    </row>
    <row r="4203" spans="1:19" x14ac:dyDescent="0.3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 t="str">
        <f t="shared" si="65"/>
        <v>31-60 days</v>
      </c>
      <c r="L4203">
        <v>38</v>
      </c>
      <c r="M4203">
        <v>2</v>
      </c>
      <c r="N4203">
        <v>2</v>
      </c>
      <c r="O4203" t="s">
        <v>54</v>
      </c>
      <c r="P4203" t="s">
        <v>55</v>
      </c>
      <c r="Q4203">
        <v>11.9</v>
      </c>
      <c r="R4203">
        <v>14</v>
      </c>
      <c r="S4203" t="s">
        <v>36</v>
      </c>
    </row>
    <row r="4204" spans="1:19" x14ac:dyDescent="0.3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 t="str">
        <f t="shared" si="65"/>
        <v>15-30 days</v>
      </c>
      <c r="L4204">
        <v>20</v>
      </c>
      <c r="M4204">
        <v>4</v>
      </c>
      <c r="N4204">
        <v>0</v>
      </c>
      <c r="O4204" t="s">
        <v>25</v>
      </c>
      <c r="P4204" t="s">
        <v>50</v>
      </c>
      <c r="Q4204">
        <v>13.5</v>
      </c>
      <c r="R4204">
        <v>13</v>
      </c>
      <c r="S4204" t="s">
        <v>36</v>
      </c>
    </row>
    <row r="4205" spans="1:19" x14ac:dyDescent="0.3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 t="str">
        <f t="shared" si="65"/>
        <v>31-60 days</v>
      </c>
      <c r="L4205">
        <v>56</v>
      </c>
      <c r="M4205">
        <v>2</v>
      </c>
      <c r="N4205">
        <v>1</v>
      </c>
      <c r="O4205" t="s">
        <v>25</v>
      </c>
      <c r="P4205" t="s">
        <v>35</v>
      </c>
      <c r="Q4205">
        <v>17.600000000000001</v>
      </c>
      <c r="R4205">
        <v>36</v>
      </c>
      <c r="S4205" t="s">
        <v>27</v>
      </c>
    </row>
    <row r="4206" spans="1:19" x14ac:dyDescent="0.3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 t="str">
        <f t="shared" si="65"/>
        <v>31-60 days</v>
      </c>
      <c r="L4206">
        <v>39</v>
      </c>
      <c r="M4206">
        <v>4</v>
      </c>
      <c r="N4206">
        <v>1</v>
      </c>
      <c r="O4206" t="s">
        <v>54</v>
      </c>
      <c r="P4206" t="s">
        <v>55</v>
      </c>
      <c r="Q4206">
        <v>1.9</v>
      </c>
      <c r="R4206">
        <v>20</v>
      </c>
      <c r="S4206" t="s">
        <v>27</v>
      </c>
    </row>
    <row r="4207" spans="1:19" x14ac:dyDescent="0.3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 t="str">
        <f t="shared" si="65"/>
        <v>31-60 days</v>
      </c>
      <c r="L4207">
        <v>60</v>
      </c>
      <c r="M4207">
        <v>3</v>
      </c>
      <c r="N4207">
        <v>0</v>
      </c>
      <c r="O4207" t="s">
        <v>54</v>
      </c>
      <c r="P4207" t="s">
        <v>55</v>
      </c>
      <c r="Q4207">
        <v>11.8</v>
      </c>
      <c r="R4207">
        <v>8</v>
      </c>
      <c r="S4207" t="s">
        <v>27</v>
      </c>
    </row>
    <row r="4208" spans="1:19" x14ac:dyDescent="0.3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 t="str">
        <f t="shared" si="65"/>
        <v>15-30 days</v>
      </c>
      <c r="L4208">
        <v>22</v>
      </c>
      <c r="M4208">
        <v>3</v>
      </c>
      <c r="N4208">
        <v>0</v>
      </c>
      <c r="O4208" t="s">
        <v>54</v>
      </c>
      <c r="P4208" t="s">
        <v>55</v>
      </c>
      <c r="Q4208">
        <v>9.4</v>
      </c>
      <c r="R4208">
        <v>22</v>
      </c>
      <c r="S4208" t="s">
        <v>27</v>
      </c>
    </row>
    <row r="4209" spans="1:19" x14ac:dyDescent="0.3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 t="str">
        <f t="shared" si="65"/>
        <v>31-60 days</v>
      </c>
      <c r="L4209">
        <v>39</v>
      </c>
      <c r="M4209">
        <v>4</v>
      </c>
      <c r="N4209">
        <v>2</v>
      </c>
      <c r="O4209" t="s">
        <v>25</v>
      </c>
      <c r="P4209" t="s">
        <v>35</v>
      </c>
      <c r="Q4209">
        <v>9.3000000000000007</v>
      </c>
      <c r="R4209">
        <v>23</v>
      </c>
      <c r="S4209" t="s">
        <v>27</v>
      </c>
    </row>
    <row r="4210" spans="1:19" x14ac:dyDescent="0.3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 t="str">
        <f t="shared" si="65"/>
        <v>15-30 days</v>
      </c>
      <c r="L4210">
        <v>22</v>
      </c>
      <c r="M4210">
        <v>4</v>
      </c>
      <c r="N4210">
        <v>1</v>
      </c>
      <c r="O4210" t="s">
        <v>25</v>
      </c>
      <c r="P4210" t="s">
        <v>35</v>
      </c>
      <c r="Q4210">
        <v>11.9</v>
      </c>
      <c r="R4210">
        <v>27</v>
      </c>
      <c r="S4210" t="s">
        <v>27</v>
      </c>
    </row>
    <row r="4211" spans="1:19" x14ac:dyDescent="0.3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 t="str">
        <f t="shared" si="65"/>
        <v>31-60 days</v>
      </c>
      <c r="L4211">
        <v>42</v>
      </c>
      <c r="M4211">
        <v>4</v>
      </c>
      <c r="N4211">
        <v>0</v>
      </c>
      <c r="O4211" t="s">
        <v>25</v>
      </c>
      <c r="P4211" t="s">
        <v>50</v>
      </c>
      <c r="Q4211">
        <v>2.9</v>
      </c>
      <c r="R4211">
        <v>20</v>
      </c>
      <c r="S4211" t="s">
        <v>36</v>
      </c>
    </row>
    <row r="4212" spans="1:19" x14ac:dyDescent="0.3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 t="str">
        <f t="shared" si="65"/>
        <v>31-60 days</v>
      </c>
      <c r="L4212">
        <v>45</v>
      </c>
      <c r="M4212">
        <v>1</v>
      </c>
      <c r="N4212">
        <v>0</v>
      </c>
      <c r="O4212" t="s">
        <v>25</v>
      </c>
      <c r="P4212" t="s">
        <v>26</v>
      </c>
      <c r="Q4212">
        <v>19.3</v>
      </c>
      <c r="R4212">
        <v>43</v>
      </c>
      <c r="S4212" t="s">
        <v>27</v>
      </c>
    </row>
    <row r="4213" spans="1:19" x14ac:dyDescent="0.3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 t="str">
        <f t="shared" si="65"/>
        <v>15-30 days</v>
      </c>
      <c r="L4213">
        <v>19</v>
      </c>
      <c r="M4213">
        <v>5</v>
      </c>
      <c r="N4213">
        <v>0</v>
      </c>
      <c r="O4213" t="s">
        <v>25</v>
      </c>
      <c r="P4213" t="s">
        <v>35</v>
      </c>
      <c r="Q4213">
        <v>11.1</v>
      </c>
      <c r="R4213">
        <v>14</v>
      </c>
      <c r="S4213" t="s">
        <v>36</v>
      </c>
    </row>
    <row r="4214" spans="1:19" x14ac:dyDescent="0.3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 t="str">
        <f t="shared" si="65"/>
        <v>31-60 days</v>
      </c>
      <c r="L4214">
        <v>57</v>
      </c>
      <c r="M4214">
        <v>2</v>
      </c>
      <c r="N4214">
        <v>0</v>
      </c>
      <c r="O4214" t="s">
        <v>25</v>
      </c>
      <c r="P4214" t="s">
        <v>26</v>
      </c>
      <c r="Q4214">
        <v>1.8</v>
      </c>
      <c r="R4214">
        <v>2</v>
      </c>
      <c r="S4214" t="s">
        <v>27</v>
      </c>
    </row>
    <row r="4215" spans="1:19" x14ac:dyDescent="0.3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 t="str">
        <f t="shared" si="65"/>
        <v>31-60 days</v>
      </c>
      <c r="L4215">
        <v>52</v>
      </c>
      <c r="M4215">
        <v>4</v>
      </c>
      <c r="N4215">
        <v>0</v>
      </c>
      <c r="O4215" t="s">
        <v>25</v>
      </c>
      <c r="P4215" t="s">
        <v>50</v>
      </c>
      <c r="Q4215">
        <v>12.5</v>
      </c>
      <c r="R4215">
        <v>8</v>
      </c>
      <c r="S4215" t="s">
        <v>36</v>
      </c>
    </row>
    <row r="4216" spans="1:19" x14ac:dyDescent="0.3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 t="str">
        <f t="shared" si="65"/>
        <v>31-60 days</v>
      </c>
      <c r="L4216">
        <v>54</v>
      </c>
      <c r="M4216">
        <v>2</v>
      </c>
      <c r="N4216">
        <v>1</v>
      </c>
      <c r="O4216" t="s">
        <v>54</v>
      </c>
      <c r="P4216" t="s">
        <v>55</v>
      </c>
      <c r="Q4216">
        <v>1.9</v>
      </c>
      <c r="R4216">
        <v>16</v>
      </c>
      <c r="S4216" t="s">
        <v>27</v>
      </c>
    </row>
    <row r="4217" spans="1:19" x14ac:dyDescent="0.3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 t="str">
        <f t="shared" si="65"/>
        <v>8-14 days</v>
      </c>
      <c r="L4217">
        <v>13</v>
      </c>
      <c r="M4217">
        <v>2</v>
      </c>
      <c r="N4217">
        <v>0</v>
      </c>
      <c r="O4217" t="s">
        <v>25</v>
      </c>
      <c r="P4217" t="s">
        <v>35</v>
      </c>
      <c r="Q4217">
        <v>14.8</v>
      </c>
      <c r="R4217">
        <v>29</v>
      </c>
      <c r="S4217" t="s">
        <v>36</v>
      </c>
    </row>
    <row r="4218" spans="1:19" x14ac:dyDescent="0.3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 t="str">
        <f t="shared" si="65"/>
        <v>31-60 days</v>
      </c>
      <c r="L4218">
        <v>43</v>
      </c>
      <c r="M4218">
        <v>1</v>
      </c>
      <c r="N4218">
        <v>0</v>
      </c>
      <c r="O4218" t="s">
        <v>25</v>
      </c>
      <c r="P4218" t="s">
        <v>50</v>
      </c>
      <c r="Q4218">
        <v>14.6</v>
      </c>
      <c r="S4218" t="s">
        <v>36</v>
      </c>
    </row>
    <row r="4219" spans="1:19" x14ac:dyDescent="0.3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 t="str">
        <f t="shared" si="65"/>
        <v>0-7 days</v>
      </c>
      <c r="L4219">
        <v>6</v>
      </c>
      <c r="M4219">
        <v>1</v>
      </c>
      <c r="N4219">
        <v>0</v>
      </c>
      <c r="O4219" t="s">
        <v>54</v>
      </c>
      <c r="P4219" t="s">
        <v>55</v>
      </c>
      <c r="Q4219">
        <v>3.5</v>
      </c>
      <c r="R4219">
        <v>28</v>
      </c>
      <c r="S4219" t="s">
        <v>36</v>
      </c>
    </row>
    <row r="4220" spans="1:19" x14ac:dyDescent="0.3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 t="str">
        <f t="shared" si="65"/>
        <v>0-7 days</v>
      </c>
      <c r="L4220">
        <v>6</v>
      </c>
      <c r="M4220">
        <v>4</v>
      </c>
      <c r="N4220">
        <v>0</v>
      </c>
      <c r="O4220" t="s">
        <v>25</v>
      </c>
      <c r="P4220" t="s">
        <v>26</v>
      </c>
      <c r="Q4220">
        <v>2.2000000000000002</v>
      </c>
      <c r="R4220">
        <v>16</v>
      </c>
      <c r="S4220" t="s">
        <v>36</v>
      </c>
    </row>
    <row r="4221" spans="1:19" x14ac:dyDescent="0.3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 t="str">
        <f t="shared" si="65"/>
        <v>31-60 days</v>
      </c>
      <c r="L4221">
        <v>59</v>
      </c>
      <c r="M4221">
        <v>3</v>
      </c>
      <c r="N4221">
        <v>1</v>
      </c>
      <c r="O4221" t="s">
        <v>25</v>
      </c>
      <c r="P4221" t="s">
        <v>35</v>
      </c>
      <c r="Q4221">
        <v>11.5</v>
      </c>
      <c r="R4221">
        <v>28</v>
      </c>
      <c r="S4221" t="s">
        <v>27</v>
      </c>
    </row>
    <row r="4222" spans="1:19" x14ac:dyDescent="0.3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 t="str">
        <f t="shared" si="65"/>
        <v>8-14 days</v>
      </c>
      <c r="L4222">
        <v>9</v>
      </c>
      <c r="M4222">
        <v>2</v>
      </c>
      <c r="N4222">
        <v>0</v>
      </c>
      <c r="O4222" t="s">
        <v>25</v>
      </c>
      <c r="P4222" t="s">
        <v>35</v>
      </c>
      <c r="Q4222">
        <v>2</v>
      </c>
      <c r="R4222">
        <v>6</v>
      </c>
      <c r="S4222" t="s">
        <v>27</v>
      </c>
    </row>
    <row r="4223" spans="1:19" x14ac:dyDescent="0.3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 t="str">
        <f t="shared" si="65"/>
        <v>31-60 days</v>
      </c>
      <c r="L4223">
        <v>52</v>
      </c>
      <c r="M4223">
        <v>2</v>
      </c>
      <c r="N4223">
        <v>1</v>
      </c>
      <c r="O4223" t="s">
        <v>25</v>
      </c>
      <c r="P4223" t="s">
        <v>26</v>
      </c>
      <c r="Q4223">
        <v>7.1</v>
      </c>
      <c r="R4223">
        <v>26</v>
      </c>
      <c r="S4223" t="s">
        <v>27</v>
      </c>
    </row>
    <row r="4224" spans="1:19" x14ac:dyDescent="0.3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 t="str">
        <f t="shared" si="65"/>
        <v>15-30 days</v>
      </c>
      <c r="L4224">
        <v>26</v>
      </c>
      <c r="M4224">
        <v>1</v>
      </c>
      <c r="N4224">
        <v>0</v>
      </c>
      <c r="O4224" t="s">
        <v>54</v>
      </c>
      <c r="P4224" t="s">
        <v>55</v>
      </c>
      <c r="Q4224">
        <v>20.9</v>
      </c>
      <c r="R4224">
        <v>30</v>
      </c>
      <c r="S4224" t="s">
        <v>36</v>
      </c>
    </row>
    <row r="4225" spans="1:19" x14ac:dyDescent="0.3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 t="str">
        <f t="shared" si="65"/>
        <v>15-30 days</v>
      </c>
      <c r="L4225">
        <v>18</v>
      </c>
      <c r="M4225">
        <v>5</v>
      </c>
      <c r="N4225">
        <v>1</v>
      </c>
      <c r="O4225" t="s">
        <v>54</v>
      </c>
      <c r="P4225" t="s">
        <v>55</v>
      </c>
      <c r="Q4225">
        <v>7.6</v>
      </c>
      <c r="R4225">
        <v>14</v>
      </c>
      <c r="S4225" t="s">
        <v>27</v>
      </c>
    </row>
    <row r="4226" spans="1:19" x14ac:dyDescent="0.3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 t="str">
        <f t="shared" si="65"/>
        <v>0-7 days</v>
      </c>
      <c r="L4226">
        <v>4</v>
      </c>
      <c r="M4226">
        <v>5</v>
      </c>
      <c r="N4226">
        <v>0</v>
      </c>
      <c r="O4226" t="s">
        <v>25</v>
      </c>
      <c r="P4226" t="s">
        <v>35</v>
      </c>
      <c r="Q4226">
        <v>14.4</v>
      </c>
      <c r="R4226">
        <v>42</v>
      </c>
      <c r="S4226" t="s">
        <v>36</v>
      </c>
    </row>
    <row r="4227" spans="1:19" x14ac:dyDescent="0.3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 t="str">
        <f t="shared" ref="K4227:K4290" si="66">IF(L4227&lt;=7,"0-7 days",IF(L4227&lt;=14,"8-14 days",IF(L4227&lt;=30,"15-30 days","31-60 days")))</f>
        <v>31-60 days</v>
      </c>
      <c r="L4227">
        <v>41</v>
      </c>
      <c r="M4227">
        <v>1</v>
      </c>
      <c r="N4227">
        <v>0</v>
      </c>
      <c r="O4227" t="s">
        <v>54</v>
      </c>
      <c r="P4227" t="s">
        <v>55</v>
      </c>
      <c r="Q4227">
        <v>18.100000000000001</v>
      </c>
      <c r="R4227">
        <v>3</v>
      </c>
      <c r="S4227" t="s">
        <v>27</v>
      </c>
    </row>
    <row r="4228" spans="1:19" x14ac:dyDescent="0.3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 t="str">
        <f t="shared" si="66"/>
        <v>31-60 days</v>
      </c>
      <c r="L4228">
        <v>44</v>
      </c>
      <c r="M4228">
        <v>2</v>
      </c>
      <c r="N4228">
        <v>1</v>
      </c>
      <c r="O4228" t="s">
        <v>25</v>
      </c>
      <c r="P4228" t="s">
        <v>35</v>
      </c>
      <c r="Q4228">
        <v>16.600000000000001</v>
      </c>
      <c r="R4228">
        <v>31</v>
      </c>
      <c r="S4228" t="s">
        <v>27</v>
      </c>
    </row>
    <row r="4229" spans="1:19" x14ac:dyDescent="0.3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 t="str">
        <f t="shared" si="66"/>
        <v>15-30 days</v>
      </c>
      <c r="L4229">
        <v>28</v>
      </c>
      <c r="M4229">
        <v>1</v>
      </c>
      <c r="N4229">
        <v>1</v>
      </c>
      <c r="O4229" t="s">
        <v>25</v>
      </c>
      <c r="P4229" t="s">
        <v>26</v>
      </c>
      <c r="Q4229">
        <v>9.6</v>
      </c>
      <c r="R4229">
        <v>33</v>
      </c>
      <c r="S4229" t="s">
        <v>36</v>
      </c>
    </row>
    <row r="4230" spans="1:19" x14ac:dyDescent="0.3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 t="str">
        <f t="shared" si="66"/>
        <v>31-60 days</v>
      </c>
      <c r="L4230">
        <v>49</v>
      </c>
      <c r="M4230">
        <v>2</v>
      </c>
      <c r="N4230">
        <v>0</v>
      </c>
      <c r="O4230" t="s">
        <v>54</v>
      </c>
      <c r="P4230" t="s">
        <v>55</v>
      </c>
      <c r="Q4230">
        <v>4.7</v>
      </c>
      <c r="R4230">
        <v>14</v>
      </c>
      <c r="S4230" t="s">
        <v>36</v>
      </c>
    </row>
    <row r="4231" spans="1:19" x14ac:dyDescent="0.3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 t="str">
        <f t="shared" si="66"/>
        <v>15-30 days</v>
      </c>
      <c r="L4231">
        <v>19</v>
      </c>
      <c r="M4231">
        <v>6</v>
      </c>
      <c r="N4231">
        <v>2</v>
      </c>
      <c r="O4231" t="s">
        <v>25</v>
      </c>
      <c r="P4231" t="s">
        <v>26</v>
      </c>
      <c r="Q4231">
        <v>18.100000000000001</v>
      </c>
      <c r="R4231">
        <v>27</v>
      </c>
      <c r="S4231" t="s">
        <v>27</v>
      </c>
    </row>
    <row r="4232" spans="1:19" x14ac:dyDescent="0.3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 t="str">
        <f t="shared" si="66"/>
        <v>31-60 days</v>
      </c>
      <c r="L4232">
        <v>33</v>
      </c>
      <c r="M4232">
        <v>4</v>
      </c>
      <c r="N4232">
        <v>2</v>
      </c>
      <c r="O4232" t="s">
        <v>25</v>
      </c>
      <c r="P4232" t="s">
        <v>50</v>
      </c>
      <c r="Q4232">
        <v>0.5</v>
      </c>
      <c r="R4232">
        <v>14</v>
      </c>
      <c r="S4232" t="s">
        <v>27</v>
      </c>
    </row>
    <row r="4233" spans="1:19" x14ac:dyDescent="0.3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 t="str">
        <f t="shared" si="66"/>
        <v>15-30 days</v>
      </c>
      <c r="L4233">
        <v>17</v>
      </c>
      <c r="M4233">
        <v>2</v>
      </c>
      <c r="N4233">
        <v>1</v>
      </c>
      <c r="O4233" t="s">
        <v>54</v>
      </c>
      <c r="P4233" t="s">
        <v>55</v>
      </c>
      <c r="Q4233">
        <v>0.9</v>
      </c>
      <c r="S4233" t="s">
        <v>36</v>
      </c>
    </row>
    <row r="4234" spans="1:19" x14ac:dyDescent="0.3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 t="str">
        <f t="shared" si="66"/>
        <v>31-60 days</v>
      </c>
      <c r="L4234">
        <v>35</v>
      </c>
      <c r="M4234">
        <v>1</v>
      </c>
      <c r="N4234">
        <v>0</v>
      </c>
      <c r="O4234" t="s">
        <v>25</v>
      </c>
      <c r="P4234" t="s">
        <v>50</v>
      </c>
      <c r="Q4234">
        <v>2.7</v>
      </c>
      <c r="R4234">
        <v>21</v>
      </c>
      <c r="S4234" t="s">
        <v>27</v>
      </c>
    </row>
    <row r="4235" spans="1:19" x14ac:dyDescent="0.3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 t="str">
        <f t="shared" si="66"/>
        <v>8-14 days</v>
      </c>
      <c r="L4235">
        <v>8</v>
      </c>
      <c r="M4235">
        <v>3</v>
      </c>
      <c r="N4235">
        <v>0</v>
      </c>
      <c r="O4235" t="s">
        <v>54</v>
      </c>
      <c r="P4235" t="s">
        <v>55</v>
      </c>
      <c r="Q4235">
        <v>9.3000000000000007</v>
      </c>
      <c r="R4235">
        <v>24</v>
      </c>
      <c r="S4235" t="s">
        <v>36</v>
      </c>
    </row>
    <row r="4236" spans="1:19" x14ac:dyDescent="0.3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 t="str">
        <f t="shared" si="66"/>
        <v>15-30 days</v>
      </c>
      <c r="L4236">
        <v>29</v>
      </c>
      <c r="M4236">
        <v>2</v>
      </c>
      <c r="N4236">
        <v>0</v>
      </c>
      <c r="O4236" t="s">
        <v>25</v>
      </c>
      <c r="P4236" t="s">
        <v>50</v>
      </c>
      <c r="Q4236">
        <v>20.5</v>
      </c>
      <c r="R4236">
        <v>17</v>
      </c>
      <c r="S4236" t="s">
        <v>36</v>
      </c>
    </row>
    <row r="4237" spans="1:19" x14ac:dyDescent="0.3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 t="str">
        <f t="shared" si="66"/>
        <v>31-60 days</v>
      </c>
      <c r="L4237">
        <v>33</v>
      </c>
      <c r="M4237">
        <v>5</v>
      </c>
      <c r="N4237">
        <v>2</v>
      </c>
      <c r="O4237" t="s">
        <v>25</v>
      </c>
      <c r="P4237" t="s">
        <v>26</v>
      </c>
      <c r="Q4237">
        <v>17.7</v>
      </c>
      <c r="R4237">
        <v>17</v>
      </c>
      <c r="S4237" t="s">
        <v>27</v>
      </c>
    </row>
    <row r="4238" spans="1:19" x14ac:dyDescent="0.3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 t="str">
        <f t="shared" si="66"/>
        <v>31-60 days</v>
      </c>
      <c r="L4238">
        <v>33</v>
      </c>
      <c r="M4238">
        <v>5</v>
      </c>
      <c r="N4238">
        <v>3</v>
      </c>
      <c r="O4238" t="s">
        <v>54</v>
      </c>
      <c r="P4238" t="s">
        <v>55</v>
      </c>
      <c r="Q4238">
        <v>7.2</v>
      </c>
      <c r="R4238">
        <v>15</v>
      </c>
      <c r="S4238" t="s">
        <v>36</v>
      </c>
    </row>
    <row r="4239" spans="1:19" x14ac:dyDescent="0.3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 t="str">
        <f t="shared" si="66"/>
        <v>15-30 days</v>
      </c>
      <c r="L4239">
        <v>27</v>
      </c>
      <c r="M4239">
        <v>5</v>
      </c>
      <c r="N4239">
        <v>2</v>
      </c>
      <c r="O4239" t="s">
        <v>25</v>
      </c>
      <c r="P4239" t="s">
        <v>35</v>
      </c>
      <c r="Q4239">
        <v>14.8</v>
      </c>
      <c r="R4239">
        <v>31</v>
      </c>
      <c r="S4239" t="s">
        <v>27</v>
      </c>
    </row>
    <row r="4240" spans="1:19" x14ac:dyDescent="0.3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 t="str">
        <f t="shared" si="66"/>
        <v>31-60 days</v>
      </c>
      <c r="L4240">
        <v>39</v>
      </c>
      <c r="M4240">
        <v>1</v>
      </c>
      <c r="N4240">
        <v>0</v>
      </c>
      <c r="O4240" t="s">
        <v>25</v>
      </c>
      <c r="P4240" t="s">
        <v>35</v>
      </c>
      <c r="Q4240">
        <v>8.1999999999999993</v>
      </c>
      <c r="R4240">
        <v>42</v>
      </c>
      <c r="S4240" t="s">
        <v>36</v>
      </c>
    </row>
    <row r="4241" spans="1:19" x14ac:dyDescent="0.3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 t="str">
        <f t="shared" si="66"/>
        <v>31-60 days</v>
      </c>
      <c r="L4241">
        <v>31</v>
      </c>
      <c r="M4241">
        <v>1</v>
      </c>
      <c r="N4241">
        <v>0</v>
      </c>
      <c r="O4241" t="s">
        <v>54</v>
      </c>
      <c r="P4241" t="s">
        <v>55</v>
      </c>
      <c r="Q4241">
        <v>6.3</v>
      </c>
      <c r="R4241">
        <v>49</v>
      </c>
      <c r="S4241" t="s">
        <v>27</v>
      </c>
    </row>
    <row r="4242" spans="1:19" x14ac:dyDescent="0.3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 t="str">
        <f t="shared" si="66"/>
        <v>15-30 days</v>
      </c>
      <c r="L4242">
        <v>17</v>
      </c>
      <c r="M4242">
        <v>0</v>
      </c>
      <c r="N4242">
        <v>0</v>
      </c>
      <c r="O4242" t="s">
        <v>25</v>
      </c>
      <c r="P4242" t="s">
        <v>26</v>
      </c>
      <c r="Q4242">
        <v>11.8</v>
      </c>
      <c r="R4242">
        <v>34</v>
      </c>
      <c r="S4242" t="s">
        <v>36</v>
      </c>
    </row>
    <row r="4243" spans="1:19" x14ac:dyDescent="0.3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 t="str">
        <f t="shared" si="66"/>
        <v>8-14 days</v>
      </c>
      <c r="L4243">
        <v>13</v>
      </c>
      <c r="M4243">
        <v>4</v>
      </c>
      <c r="N4243">
        <v>1</v>
      </c>
      <c r="O4243" t="s">
        <v>54</v>
      </c>
      <c r="P4243" t="s">
        <v>55</v>
      </c>
      <c r="Q4243">
        <v>7.4</v>
      </c>
      <c r="R4243">
        <v>24</v>
      </c>
      <c r="S4243" t="s">
        <v>36</v>
      </c>
    </row>
    <row r="4244" spans="1:19" x14ac:dyDescent="0.3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 t="str">
        <f t="shared" si="66"/>
        <v>31-60 days</v>
      </c>
      <c r="L4244">
        <v>39</v>
      </c>
      <c r="M4244">
        <v>1</v>
      </c>
      <c r="N4244">
        <v>0</v>
      </c>
      <c r="O4244" t="s">
        <v>54</v>
      </c>
      <c r="P4244" t="s">
        <v>55</v>
      </c>
      <c r="Q4244">
        <v>11.2</v>
      </c>
      <c r="R4244">
        <v>35</v>
      </c>
      <c r="S4244" t="s">
        <v>27</v>
      </c>
    </row>
    <row r="4245" spans="1:19" x14ac:dyDescent="0.3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 t="str">
        <f t="shared" si="66"/>
        <v>31-60 days</v>
      </c>
      <c r="L4245">
        <v>57</v>
      </c>
      <c r="M4245">
        <v>3</v>
      </c>
      <c r="N4245">
        <v>0</v>
      </c>
      <c r="O4245" t="s">
        <v>54</v>
      </c>
      <c r="P4245" t="s">
        <v>55</v>
      </c>
      <c r="Q4245">
        <v>15.7</v>
      </c>
      <c r="R4245">
        <v>28</v>
      </c>
      <c r="S4245" t="s">
        <v>27</v>
      </c>
    </row>
    <row r="4246" spans="1:19" x14ac:dyDescent="0.3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 t="str">
        <f t="shared" si="66"/>
        <v>31-60 days</v>
      </c>
      <c r="L4246">
        <v>45</v>
      </c>
      <c r="M4246">
        <v>5</v>
      </c>
      <c r="N4246">
        <v>1</v>
      </c>
      <c r="O4246" t="s">
        <v>25</v>
      </c>
      <c r="P4246" t="s">
        <v>35</v>
      </c>
      <c r="Q4246">
        <v>12.9</v>
      </c>
      <c r="R4246">
        <v>20</v>
      </c>
      <c r="S4246" t="s">
        <v>36</v>
      </c>
    </row>
    <row r="4247" spans="1:19" x14ac:dyDescent="0.3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 t="str">
        <f t="shared" si="66"/>
        <v>31-60 days</v>
      </c>
      <c r="L4247">
        <v>38</v>
      </c>
      <c r="M4247">
        <v>6</v>
      </c>
      <c r="N4247">
        <v>1</v>
      </c>
      <c r="O4247" t="s">
        <v>54</v>
      </c>
      <c r="P4247" t="s">
        <v>55</v>
      </c>
      <c r="Q4247">
        <v>3.4</v>
      </c>
      <c r="R4247">
        <v>45</v>
      </c>
      <c r="S4247" t="s">
        <v>27</v>
      </c>
    </row>
    <row r="4248" spans="1:19" x14ac:dyDescent="0.3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 t="str">
        <f t="shared" si="66"/>
        <v>31-60 days</v>
      </c>
      <c r="L4248">
        <v>56</v>
      </c>
      <c r="M4248">
        <v>5</v>
      </c>
      <c r="N4248">
        <v>1</v>
      </c>
      <c r="O4248" t="s">
        <v>25</v>
      </c>
      <c r="P4248" t="s">
        <v>50</v>
      </c>
      <c r="Q4248">
        <v>5.2</v>
      </c>
      <c r="R4248">
        <v>35</v>
      </c>
      <c r="S4248" t="s">
        <v>36</v>
      </c>
    </row>
    <row r="4249" spans="1:19" x14ac:dyDescent="0.3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 t="str">
        <f t="shared" si="66"/>
        <v>31-60 days</v>
      </c>
      <c r="L4249">
        <v>54</v>
      </c>
      <c r="M4249">
        <v>2</v>
      </c>
      <c r="N4249">
        <v>1</v>
      </c>
      <c r="O4249" t="s">
        <v>25</v>
      </c>
      <c r="P4249" t="s">
        <v>26</v>
      </c>
      <c r="Q4249">
        <v>20.7</v>
      </c>
      <c r="R4249">
        <v>16</v>
      </c>
      <c r="S4249" t="s">
        <v>27</v>
      </c>
    </row>
    <row r="4250" spans="1:19" x14ac:dyDescent="0.3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 t="str">
        <f t="shared" si="66"/>
        <v>15-30 days</v>
      </c>
      <c r="L4250">
        <v>30</v>
      </c>
      <c r="M4250">
        <v>1</v>
      </c>
      <c r="N4250">
        <v>0</v>
      </c>
      <c r="O4250" t="s">
        <v>54</v>
      </c>
      <c r="P4250" t="s">
        <v>55</v>
      </c>
      <c r="Q4250">
        <v>14.9</v>
      </c>
      <c r="R4250">
        <v>34</v>
      </c>
      <c r="S4250" t="s">
        <v>36</v>
      </c>
    </row>
    <row r="4251" spans="1:19" x14ac:dyDescent="0.3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 t="str">
        <f t="shared" si="66"/>
        <v>0-7 days</v>
      </c>
      <c r="L4251">
        <v>6</v>
      </c>
      <c r="M4251">
        <v>0</v>
      </c>
      <c r="N4251">
        <v>0</v>
      </c>
      <c r="O4251" t="s">
        <v>25</v>
      </c>
      <c r="P4251" t="s">
        <v>35</v>
      </c>
      <c r="Q4251">
        <v>9.6</v>
      </c>
      <c r="R4251">
        <v>30</v>
      </c>
      <c r="S4251" t="s">
        <v>36</v>
      </c>
    </row>
    <row r="4252" spans="1:19" x14ac:dyDescent="0.3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 t="str">
        <f t="shared" si="66"/>
        <v>31-60 days</v>
      </c>
      <c r="L4252">
        <v>38</v>
      </c>
      <c r="M4252">
        <v>4</v>
      </c>
      <c r="N4252">
        <v>0</v>
      </c>
      <c r="O4252" t="s">
        <v>54</v>
      </c>
      <c r="P4252" t="s">
        <v>55</v>
      </c>
      <c r="Q4252">
        <v>6.5</v>
      </c>
      <c r="R4252">
        <v>14</v>
      </c>
      <c r="S4252" t="s">
        <v>27</v>
      </c>
    </row>
    <row r="4253" spans="1:19" x14ac:dyDescent="0.3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 t="str">
        <f t="shared" si="66"/>
        <v>31-60 days</v>
      </c>
      <c r="L4253">
        <v>37</v>
      </c>
      <c r="M4253">
        <v>3</v>
      </c>
      <c r="N4253">
        <v>0</v>
      </c>
      <c r="O4253" t="s">
        <v>25</v>
      </c>
      <c r="P4253" t="s">
        <v>35</v>
      </c>
      <c r="Q4253">
        <v>14.5</v>
      </c>
      <c r="R4253">
        <v>25</v>
      </c>
      <c r="S4253" t="s">
        <v>27</v>
      </c>
    </row>
    <row r="4254" spans="1:19" x14ac:dyDescent="0.3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 t="str">
        <f t="shared" si="66"/>
        <v>15-30 days</v>
      </c>
      <c r="L4254">
        <v>16</v>
      </c>
      <c r="M4254">
        <v>6</v>
      </c>
      <c r="N4254">
        <v>0</v>
      </c>
      <c r="O4254" t="s">
        <v>25</v>
      </c>
      <c r="P4254" t="s">
        <v>35</v>
      </c>
      <c r="Q4254">
        <v>5.8</v>
      </c>
      <c r="R4254">
        <v>23</v>
      </c>
      <c r="S4254" t="s">
        <v>36</v>
      </c>
    </row>
    <row r="4255" spans="1:19" x14ac:dyDescent="0.3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 t="str">
        <f t="shared" si="66"/>
        <v>31-60 days</v>
      </c>
      <c r="L4255">
        <v>51</v>
      </c>
      <c r="M4255">
        <v>3</v>
      </c>
      <c r="N4255">
        <v>0</v>
      </c>
      <c r="O4255" t="s">
        <v>25</v>
      </c>
      <c r="P4255" t="s">
        <v>26</v>
      </c>
      <c r="Q4255">
        <v>11.5</v>
      </c>
      <c r="R4255">
        <v>2</v>
      </c>
      <c r="S4255" t="s">
        <v>71</v>
      </c>
    </row>
    <row r="4256" spans="1:19" x14ac:dyDescent="0.3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 t="str">
        <f t="shared" si="66"/>
        <v>31-60 days</v>
      </c>
      <c r="L4256">
        <v>53</v>
      </c>
      <c r="M4256">
        <v>6</v>
      </c>
      <c r="N4256">
        <v>2</v>
      </c>
      <c r="O4256" t="s">
        <v>25</v>
      </c>
      <c r="P4256" t="s">
        <v>26</v>
      </c>
      <c r="Q4256">
        <v>7.9</v>
      </c>
      <c r="R4256">
        <v>8</v>
      </c>
      <c r="S4256" t="s">
        <v>27</v>
      </c>
    </row>
    <row r="4257" spans="1:19" x14ac:dyDescent="0.3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 t="str">
        <f t="shared" si="66"/>
        <v>15-30 days</v>
      </c>
      <c r="L4257">
        <v>20</v>
      </c>
      <c r="M4257">
        <v>3</v>
      </c>
      <c r="N4257">
        <v>1</v>
      </c>
      <c r="O4257" t="s">
        <v>54</v>
      </c>
      <c r="P4257" t="s">
        <v>55</v>
      </c>
      <c r="Q4257">
        <v>9.6999999999999993</v>
      </c>
      <c r="R4257">
        <v>36</v>
      </c>
      <c r="S4257" t="s">
        <v>36</v>
      </c>
    </row>
    <row r="4258" spans="1:19" x14ac:dyDescent="0.3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 t="str">
        <f t="shared" si="66"/>
        <v>15-30 days</v>
      </c>
      <c r="L4258">
        <v>29</v>
      </c>
      <c r="M4258">
        <v>7</v>
      </c>
      <c r="N4258">
        <v>2</v>
      </c>
      <c r="O4258" t="s">
        <v>25</v>
      </c>
      <c r="P4258" t="s">
        <v>26</v>
      </c>
      <c r="Q4258">
        <v>7</v>
      </c>
      <c r="R4258">
        <v>16</v>
      </c>
      <c r="S4258" t="s">
        <v>27</v>
      </c>
    </row>
    <row r="4259" spans="1:19" x14ac:dyDescent="0.3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 t="str">
        <f t="shared" si="66"/>
        <v>8-14 days</v>
      </c>
      <c r="L4259">
        <v>11</v>
      </c>
      <c r="M4259">
        <v>0</v>
      </c>
      <c r="N4259">
        <v>0</v>
      </c>
      <c r="O4259" t="s">
        <v>25</v>
      </c>
      <c r="P4259" t="s">
        <v>35</v>
      </c>
      <c r="Q4259">
        <v>13.4</v>
      </c>
      <c r="R4259">
        <v>30</v>
      </c>
      <c r="S4259" t="s">
        <v>36</v>
      </c>
    </row>
    <row r="4260" spans="1:19" x14ac:dyDescent="0.3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 t="str">
        <f t="shared" si="66"/>
        <v>8-14 days</v>
      </c>
      <c r="L4260">
        <v>10</v>
      </c>
      <c r="M4260">
        <v>2</v>
      </c>
      <c r="N4260">
        <v>0</v>
      </c>
      <c r="O4260" t="s">
        <v>25</v>
      </c>
      <c r="P4260" t="s">
        <v>26</v>
      </c>
      <c r="Q4260">
        <v>1.3</v>
      </c>
      <c r="R4260">
        <v>38</v>
      </c>
      <c r="S4260" t="s">
        <v>36</v>
      </c>
    </row>
    <row r="4261" spans="1:19" x14ac:dyDescent="0.3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 t="str">
        <f t="shared" si="66"/>
        <v>15-30 days</v>
      </c>
      <c r="L4261">
        <v>16</v>
      </c>
      <c r="M4261">
        <v>3</v>
      </c>
      <c r="N4261">
        <v>1</v>
      </c>
      <c r="O4261" t="s">
        <v>25</v>
      </c>
      <c r="P4261" t="s">
        <v>35</v>
      </c>
      <c r="Q4261">
        <v>3.2</v>
      </c>
      <c r="R4261">
        <v>2</v>
      </c>
      <c r="S4261" t="s">
        <v>36</v>
      </c>
    </row>
    <row r="4262" spans="1:19" x14ac:dyDescent="0.3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 t="str">
        <f t="shared" si="66"/>
        <v>15-30 days</v>
      </c>
      <c r="L4262">
        <v>22</v>
      </c>
      <c r="M4262">
        <v>2</v>
      </c>
      <c r="N4262">
        <v>0</v>
      </c>
      <c r="O4262" t="s">
        <v>25</v>
      </c>
      <c r="P4262" t="s">
        <v>35</v>
      </c>
      <c r="Q4262">
        <v>7.2</v>
      </c>
      <c r="R4262">
        <v>42</v>
      </c>
      <c r="S4262" t="s">
        <v>27</v>
      </c>
    </row>
    <row r="4263" spans="1:19" x14ac:dyDescent="0.3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 t="str">
        <f t="shared" si="66"/>
        <v>15-30 days</v>
      </c>
      <c r="L4263">
        <v>16</v>
      </c>
      <c r="M4263">
        <v>7</v>
      </c>
      <c r="N4263">
        <v>0</v>
      </c>
      <c r="O4263" t="s">
        <v>54</v>
      </c>
      <c r="P4263" t="s">
        <v>55</v>
      </c>
      <c r="Q4263">
        <v>9.1</v>
      </c>
      <c r="R4263">
        <v>22</v>
      </c>
      <c r="S4263" t="s">
        <v>36</v>
      </c>
    </row>
    <row r="4264" spans="1:19" x14ac:dyDescent="0.3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 t="str">
        <f t="shared" si="66"/>
        <v>8-14 days</v>
      </c>
      <c r="L4264">
        <v>9</v>
      </c>
      <c r="M4264">
        <v>2</v>
      </c>
      <c r="N4264">
        <v>1</v>
      </c>
      <c r="O4264" t="s">
        <v>54</v>
      </c>
      <c r="P4264" t="s">
        <v>55</v>
      </c>
      <c r="Q4264">
        <v>18.8</v>
      </c>
      <c r="R4264">
        <v>28</v>
      </c>
      <c r="S4264" t="s">
        <v>27</v>
      </c>
    </row>
    <row r="4265" spans="1:19" x14ac:dyDescent="0.3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 t="str">
        <f t="shared" si="66"/>
        <v>15-30 days</v>
      </c>
      <c r="L4265">
        <v>27</v>
      </c>
      <c r="M4265">
        <v>2</v>
      </c>
      <c r="N4265">
        <v>0</v>
      </c>
      <c r="O4265" t="s">
        <v>25</v>
      </c>
      <c r="P4265" t="s">
        <v>35</v>
      </c>
      <c r="Q4265">
        <v>15.4</v>
      </c>
      <c r="R4265">
        <v>45</v>
      </c>
      <c r="S4265" t="s">
        <v>36</v>
      </c>
    </row>
    <row r="4266" spans="1:19" x14ac:dyDescent="0.3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 t="str">
        <f t="shared" si="66"/>
        <v>31-60 days</v>
      </c>
      <c r="L4266">
        <v>38</v>
      </c>
      <c r="M4266">
        <v>2</v>
      </c>
      <c r="N4266">
        <v>1</v>
      </c>
      <c r="O4266" t="s">
        <v>25</v>
      </c>
      <c r="P4266" t="s">
        <v>26</v>
      </c>
      <c r="Q4266">
        <v>2.5</v>
      </c>
      <c r="R4266">
        <v>35</v>
      </c>
      <c r="S4266" t="s">
        <v>27</v>
      </c>
    </row>
    <row r="4267" spans="1:19" x14ac:dyDescent="0.3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 t="str">
        <f t="shared" si="66"/>
        <v>15-30 days</v>
      </c>
      <c r="L4267">
        <v>19</v>
      </c>
      <c r="M4267">
        <v>5</v>
      </c>
      <c r="N4267">
        <v>2</v>
      </c>
      <c r="O4267" t="s">
        <v>25</v>
      </c>
      <c r="P4267" t="s">
        <v>26</v>
      </c>
      <c r="Q4267">
        <v>9.8000000000000007</v>
      </c>
      <c r="R4267">
        <v>22</v>
      </c>
      <c r="S4267" t="s">
        <v>71</v>
      </c>
    </row>
    <row r="4268" spans="1:19" x14ac:dyDescent="0.3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 t="str">
        <f t="shared" si="66"/>
        <v>31-60 days</v>
      </c>
      <c r="L4268">
        <v>32</v>
      </c>
      <c r="M4268">
        <v>1</v>
      </c>
      <c r="N4268">
        <v>0</v>
      </c>
      <c r="O4268" t="s">
        <v>25</v>
      </c>
      <c r="P4268" t="s">
        <v>35</v>
      </c>
      <c r="Q4268">
        <v>8.9</v>
      </c>
      <c r="R4268">
        <v>18</v>
      </c>
      <c r="S4268" t="s">
        <v>27</v>
      </c>
    </row>
    <row r="4269" spans="1:19" x14ac:dyDescent="0.3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 t="str">
        <f t="shared" si="66"/>
        <v>15-30 days</v>
      </c>
      <c r="L4269">
        <v>16</v>
      </c>
      <c r="M4269">
        <v>2</v>
      </c>
      <c r="N4269">
        <v>1</v>
      </c>
      <c r="O4269" t="s">
        <v>25</v>
      </c>
      <c r="P4269" t="s">
        <v>35</v>
      </c>
      <c r="Q4269">
        <v>2</v>
      </c>
      <c r="R4269">
        <v>19</v>
      </c>
      <c r="S4269" t="s">
        <v>36</v>
      </c>
    </row>
    <row r="4270" spans="1:19" x14ac:dyDescent="0.3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 t="str">
        <f t="shared" si="66"/>
        <v>31-60 days</v>
      </c>
      <c r="L4270">
        <v>42</v>
      </c>
      <c r="M4270">
        <v>3</v>
      </c>
      <c r="N4270">
        <v>0</v>
      </c>
      <c r="O4270" t="s">
        <v>25</v>
      </c>
      <c r="P4270" t="s">
        <v>35</v>
      </c>
      <c r="Q4270">
        <v>11.4</v>
      </c>
      <c r="R4270">
        <v>18</v>
      </c>
      <c r="S4270" t="s">
        <v>36</v>
      </c>
    </row>
    <row r="4271" spans="1:19" x14ac:dyDescent="0.3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 t="str">
        <f t="shared" si="66"/>
        <v>31-60 days</v>
      </c>
      <c r="L4271">
        <v>39</v>
      </c>
      <c r="M4271">
        <v>1</v>
      </c>
      <c r="N4271">
        <v>0</v>
      </c>
      <c r="O4271" t="s">
        <v>25</v>
      </c>
      <c r="P4271" t="s">
        <v>50</v>
      </c>
      <c r="Q4271">
        <v>10</v>
      </c>
      <c r="R4271">
        <v>38</v>
      </c>
      <c r="S4271" t="s">
        <v>36</v>
      </c>
    </row>
    <row r="4272" spans="1:19" x14ac:dyDescent="0.3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 t="str">
        <f t="shared" si="66"/>
        <v>31-60 days</v>
      </c>
      <c r="L4272">
        <v>58</v>
      </c>
      <c r="M4272">
        <v>6</v>
      </c>
      <c r="N4272">
        <v>1</v>
      </c>
      <c r="O4272" t="s">
        <v>54</v>
      </c>
      <c r="P4272" t="s">
        <v>55</v>
      </c>
      <c r="Q4272">
        <v>15.6</v>
      </c>
      <c r="R4272">
        <v>30</v>
      </c>
      <c r="S4272" t="s">
        <v>27</v>
      </c>
    </row>
    <row r="4273" spans="1:19" x14ac:dyDescent="0.3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 t="str">
        <f t="shared" si="66"/>
        <v>0-7 days</v>
      </c>
      <c r="L4273">
        <v>3</v>
      </c>
      <c r="M4273">
        <v>2</v>
      </c>
      <c r="N4273">
        <v>1</v>
      </c>
      <c r="O4273" t="s">
        <v>25</v>
      </c>
      <c r="P4273" t="s">
        <v>26</v>
      </c>
      <c r="Q4273">
        <v>9.1999999999999993</v>
      </c>
      <c r="R4273">
        <v>26</v>
      </c>
      <c r="S4273" t="s">
        <v>36</v>
      </c>
    </row>
    <row r="4274" spans="1:19" x14ac:dyDescent="0.3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 t="str">
        <f t="shared" si="66"/>
        <v>31-60 days</v>
      </c>
      <c r="L4274">
        <v>52</v>
      </c>
      <c r="M4274">
        <v>5</v>
      </c>
      <c r="N4274">
        <v>1</v>
      </c>
      <c r="O4274" t="s">
        <v>25</v>
      </c>
      <c r="P4274" t="s">
        <v>35</v>
      </c>
      <c r="Q4274">
        <v>4.7</v>
      </c>
      <c r="R4274">
        <v>22</v>
      </c>
      <c r="S4274" t="s">
        <v>27</v>
      </c>
    </row>
    <row r="4275" spans="1:19" x14ac:dyDescent="0.3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 t="str">
        <f t="shared" si="66"/>
        <v>15-30 days</v>
      </c>
      <c r="L4275">
        <v>20</v>
      </c>
      <c r="M4275">
        <v>4</v>
      </c>
      <c r="N4275">
        <v>0</v>
      </c>
      <c r="O4275" t="s">
        <v>25</v>
      </c>
      <c r="P4275" t="s">
        <v>26</v>
      </c>
      <c r="Q4275">
        <v>9.1999999999999993</v>
      </c>
      <c r="R4275">
        <v>32</v>
      </c>
      <c r="S4275" t="s">
        <v>36</v>
      </c>
    </row>
    <row r="4276" spans="1:19" x14ac:dyDescent="0.3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 t="str">
        <f t="shared" si="66"/>
        <v>0-7 days</v>
      </c>
      <c r="L4276">
        <v>4</v>
      </c>
      <c r="M4276">
        <v>4</v>
      </c>
      <c r="N4276">
        <v>0</v>
      </c>
      <c r="O4276" t="s">
        <v>25</v>
      </c>
      <c r="P4276" t="s">
        <v>35</v>
      </c>
      <c r="Q4276">
        <v>3.4</v>
      </c>
      <c r="R4276">
        <v>3</v>
      </c>
      <c r="S4276" t="s">
        <v>36</v>
      </c>
    </row>
    <row r="4277" spans="1:19" x14ac:dyDescent="0.3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 t="str">
        <f t="shared" si="66"/>
        <v>31-60 days</v>
      </c>
      <c r="L4277">
        <v>42</v>
      </c>
      <c r="M4277">
        <v>0</v>
      </c>
      <c r="N4277">
        <v>0</v>
      </c>
      <c r="O4277" t="s">
        <v>25</v>
      </c>
      <c r="P4277" t="s">
        <v>26</v>
      </c>
      <c r="Q4277">
        <v>7.3</v>
      </c>
      <c r="R4277">
        <v>44</v>
      </c>
      <c r="S4277" t="s">
        <v>27</v>
      </c>
    </row>
    <row r="4278" spans="1:19" x14ac:dyDescent="0.3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 t="str">
        <f t="shared" si="66"/>
        <v>8-14 days</v>
      </c>
      <c r="L4278">
        <v>10</v>
      </c>
      <c r="M4278">
        <v>3</v>
      </c>
      <c r="N4278">
        <v>0</v>
      </c>
      <c r="O4278" t="s">
        <v>54</v>
      </c>
      <c r="P4278" t="s">
        <v>55</v>
      </c>
      <c r="Q4278">
        <v>4.3</v>
      </c>
      <c r="R4278">
        <v>21</v>
      </c>
      <c r="S4278" t="s">
        <v>36</v>
      </c>
    </row>
    <row r="4279" spans="1:19" x14ac:dyDescent="0.3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 t="str">
        <f t="shared" si="66"/>
        <v>8-14 days</v>
      </c>
      <c r="L4279">
        <v>10</v>
      </c>
      <c r="M4279">
        <v>4</v>
      </c>
      <c r="N4279">
        <v>0</v>
      </c>
      <c r="O4279" t="s">
        <v>25</v>
      </c>
      <c r="P4279" t="s">
        <v>50</v>
      </c>
      <c r="Q4279">
        <v>18.5</v>
      </c>
      <c r="R4279">
        <v>14</v>
      </c>
      <c r="S4279" t="s">
        <v>36</v>
      </c>
    </row>
    <row r="4280" spans="1:19" x14ac:dyDescent="0.3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 t="str">
        <f t="shared" si="66"/>
        <v>31-60 days</v>
      </c>
      <c r="L4280">
        <v>59</v>
      </c>
      <c r="M4280">
        <v>7</v>
      </c>
      <c r="N4280">
        <v>2</v>
      </c>
      <c r="O4280" t="s">
        <v>25</v>
      </c>
      <c r="P4280" t="s">
        <v>35</v>
      </c>
      <c r="Q4280">
        <v>8</v>
      </c>
      <c r="R4280">
        <v>37</v>
      </c>
      <c r="S4280" t="s">
        <v>27</v>
      </c>
    </row>
    <row r="4281" spans="1:19" x14ac:dyDescent="0.3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 t="str">
        <f t="shared" si="66"/>
        <v>8-14 days</v>
      </c>
      <c r="L4281">
        <v>13</v>
      </c>
      <c r="M4281">
        <v>4</v>
      </c>
      <c r="N4281">
        <v>1</v>
      </c>
      <c r="O4281" t="s">
        <v>25</v>
      </c>
      <c r="P4281" t="s">
        <v>35</v>
      </c>
      <c r="Q4281">
        <v>4.3</v>
      </c>
      <c r="R4281">
        <v>36</v>
      </c>
      <c r="S4281" t="s">
        <v>36</v>
      </c>
    </row>
    <row r="4282" spans="1:19" x14ac:dyDescent="0.3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 t="str">
        <f t="shared" si="66"/>
        <v>31-60 days</v>
      </c>
      <c r="L4282">
        <v>33</v>
      </c>
      <c r="M4282">
        <v>4</v>
      </c>
      <c r="N4282">
        <v>0</v>
      </c>
      <c r="O4282" t="s">
        <v>25</v>
      </c>
      <c r="P4282" t="s">
        <v>50</v>
      </c>
      <c r="Q4282">
        <v>21.6</v>
      </c>
      <c r="R4282">
        <v>23</v>
      </c>
      <c r="S4282" t="s">
        <v>27</v>
      </c>
    </row>
    <row r="4283" spans="1:19" x14ac:dyDescent="0.3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 t="str">
        <f t="shared" si="66"/>
        <v>8-14 days</v>
      </c>
      <c r="L4283">
        <v>12</v>
      </c>
      <c r="M4283">
        <v>1</v>
      </c>
      <c r="N4283">
        <v>0</v>
      </c>
      <c r="O4283" t="s">
        <v>25</v>
      </c>
      <c r="P4283" t="s">
        <v>35</v>
      </c>
      <c r="Q4283">
        <v>8.5</v>
      </c>
      <c r="S4283" t="s">
        <v>27</v>
      </c>
    </row>
    <row r="4284" spans="1:19" x14ac:dyDescent="0.3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 t="str">
        <f t="shared" si="66"/>
        <v>0-7 days</v>
      </c>
      <c r="L4284">
        <v>7</v>
      </c>
      <c r="M4284">
        <v>2</v>
      </c>
      <c r="N4284">
        <v>1</v>
      </c>
      <c r="O4284" t="s">
        <v>54</v>
      </c>
      <c r="P4284" t="s">
        <v>55</v>
      </c>
      <c r="Q4284">
        <v>5</v>
      </c>
      <c r="R4284">
        <v>35</v>
      </c>
      <c r="S4284" t="s">
        <v>27</v>
      </c>
    </row>
    <row r="4285" spans="1:19" x14ac:dyDescent="0.3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 t="str">
        <f t="shared" si="66"/>
        <v>0-7 days</v>
      </c>
      <c r="L4285">
        <v>0</v>
      </c>
      <c r="M4285">
        <v>2</v>
      </c>
      <c r="N4285">
        <v>1</v>
      </c>
      <c r="O4285" t="s">
        <v>25</v>
      </c>
      <c r="P4285" t="s">
        <v>50</v>
      </c>
      <c r="Q4285">
        <v>6.7</v>
      </c>
      <c r="R4285">
        <v>28</v>
      </c>
      <c r="S4285" t="s">
        <v>27</v>
      </c>
    </row>
    <row r="4286" spans="1:19" x14ac:dyDescent="0.3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 t="str">
        <f t="shared" si="66"/>
        <v>0-7 days</v>
      </c>
      <c r="L4286">
        <v>0</v>
      </c>
      <c r="M4286">
        <v>8</v>
      </c>
      <c r="N4286">
        <v>1</v>
      </c>
      <c r="O4286" t="s">
        <v>25</v>
      </c>
      <c r="P4286" t="s">
        <v>35</v>
      </c>
      <c r="Q4286">
        <v>13.8</v>
      </c>
      <c r="R4286">
        <v>6</v>
      </c>
      <c r="S4286" t="s">
        <v>36</v>
      </c>
    </row>
    <row r="4287" spans="1:19" x14ac:dyDescent="0.3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 t="str">
        <f t="shared" si="66"/>
        <v>15-30 days</v>
      </c>
      <c r="L4287">
        <v>28</v>
      </c>
      <c r="M4287">
        <v>5</v>
      </c>
      <c r="N4287">
        <v>1</v>
      </c>
      <c r="O4287" t="s">
        <v>25</v>
      </c>
      <c r="P4287" t="s">
        <v>35</v>
      </c>
      <c r="Q4287">
        <v>11.6</v>
      </c>
      <c r="R4287">
        <v>25</v>
      </c>
      <c r="S4287" t="s">
        <v>27</v>
      </c>
    </row>
    <row r="4288" spans="1:19" x14ac:dyDescent="0.3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 t="str">
        <f t="shared" si="66"/>
        <v>15-30 days</v>
      </c>
      <c r="L4288">
        <v>26</v>
      </c>
      <c r="M4288">
        <v>3</v>
      </c>
      <c r="N4288">
        <v>0</v>
      </c>
      <c r="O4288" t="s">
        <v>25</v>
      </c>
      <c r="P4288" t="s">
        <v>26</v>
      </c>
      <c r="Q4288">
        <v>9.8000000000000007</v>
      </c>
      <c r="R4288">
        <v>24</v>
      </c>
      <c r="S4288" t="s">
        <v>71</v>
      </c>
    </row>
    <row r="4289" spans="1:19" x14ac:dyDescent="0.3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 t="str">
        <f t="shared" si="66"/>
        <v>0-7 days</v>
      </c>
      <c r="L4289">
        <v>2</v>
      </c>
      <c r="M4289">
        <v>1</v>
      </c>
      <c r="N4289">
        <v>0</v>
      </c>
      <c r="O4289" t="s">
        <v>54</v>
      </c>
      <c r="P4289" t="s">
        <v>55</v>
      </c>
      <c r="Q4289">
        <v>3.1</v>
      </c>
      <c r="R4289">
        <v>21</v>
      </c>
      <c r="S4289" t="s">
        <v>27</v>
      </c>
    </row>
    <row r="4290" spans="1:19" x14ac:dyDescent="0.3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 t="str">
        <f t="shared" si="66"/>
        <v>15-30 days</v>
      </c>
      <c r="L4290">
        <v>21</v>
      </c>
      <c r="M4290">
        <v>2</v>
      </c>
      <c r="N4290">
        <v>1</v>
      </c>
      <c r="O4290" t="s">
        <v>25</v>
      </c>
      <c r="P4290" t="s">
        <v>35</v>
      </c>
      <c r="Q4290">
        <v>20.7</v>
      </c>
      <c r="R4290">
        <v>20</v>
      </c>
      <c r="S4290" t="s">
        <v>36</v>
      </c>
    </row>
    <row r="4291" spans="1:19" x14ac:dyDescent="0.3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 t="str">
        <f t="shared" ref="K4291:K4354" si="67">IF(L4291&lt;=7,"0-7 days",IF(L4291&lt;=14,"8-14 days",IF(L4291&lt;=30,"15-30 days","31-60 days")))</f>
        <v>15-30 days</v>
      </c>
      <c r="L4291">
        <v>16</v>
      </c>
      <c r="M4291">
        <v>4</v>
      </c>
      <c r="N4291">
        <v>0</v>
      </c>
      <c r="O4291" t="s">
        <v>25</v>
      </c>
      <c r="P4291" t="s">
        <v>35</v>
      </c>
      <c r="Q4291">
        <v>15.1</v>
      </c>
      <c r="R4291">
        <v>32</v>
      </c>
      <c r="S4291" t="s">
        <v>36</v>
      </c>
    </row>
    <row r="4292" spans="1:19" x14ac:dyDescent="0.3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 t="str">
        <f t="shared" si="67"/>
        <v>31-60 days</v>
      </c>
      <c r="L4292">
        <v>34</v>
      </c>
      <c r="M4292">
        <v>7</v>
      </c>
      <c r="N4292">
        <v>0</v>
      </c>
      <c r="O4292" t="s">
        <v>25</v>
      </c>
      <c r="P4292" t="s">
        <v>35</v>
      </c>
      <c r="Q4292">
        <v>27.9</v>
      </c>
      <c r="R4292">
        <v>10</v>
      </c>
      <c r="S4292" t="s">
        <v>71</v>
      </c>
    </row>
    <row r="4293" spans="1:19" x14ac:dyDescent="0.3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 t="str">
        <f t="shared" si="67"/>
        <v>31-60 days</v>
      </c>
      <c r="L4293">
        <v>60</v>
      </c>
      <c r="M4293">
        <v>6</v>
      </c>
      <c r="N4293">
        <v>1</v>
      </c>
      <c r="O4293" t="s">
        <v>54</v>
      </c>
      <c r="P4293" t="s">
        <v>55</v>
      </c>
      <c r="Q4293">
        <v>8.1</v>
      </c>
      <c r="R4293">
        <v>37</v>
      </c>
      <c r="S4293" t="s">
        <v>27</v>
      </c>
    </row>
    <row r="4294" spans="1:19" x14ac:dyDescent="0.3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 t="str">
        <f t="shared" si="67"/>
        <v>31-60 days</v>
      </c>
      <c r="L4294">
        <v>42</v>
      </c>
      <c r="M4294">
        <v>3</v>
      </c>
      <c r="N4294">
        <v>1</v>
      </c>
      <c r="O4294" t="s">
        <v>54</v>
      </c>
      <c r="P4294" t="s">
        <v>55</v>
      </c>
      <c r="Q4294">
        <v>8.5</v>
      </c>
      <c r="R4294">
        <v>23</v>
      </c>
      <c r="S4294" t="s">
        <v>36</v>
      </c>
    </row>
    <row r="4295" spans="1:19" x14ac:dyDescent="0.3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 t="str">
        <f t="shared" si="67"/>
        <v>31-60 days</v>
      </c>
      <c r="L4295">
        <v>56</v>
      </c>
      <c r="M4295">
        <v>2</v>
      </c>
      <c r="N4295">
        <v>0</v>
      </c>
      <c r="O4295" t="s">
        <v>25</v>
      </c>
      <c r="P4295" t="s">
        <v>26</v>
      </c>
      <c r="Q4295">
        <v>1.2</v>
      </c>
      <c r="R4295">
        <v>15</v>
      </c>
      <c r="S4295" t="s">
        <v>27</v>
      </c>
    </row>
    <row r="4296" spans="1:19" x14ac:dyDescent="0.3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 t="str">
        <f t="shared" si="67"/>
        <v>8-14 days</v>
      </c>
      <c r="L4296">
        <v>11</v>
      </c>
      <c r="M4296">
        <v>6</v>
      </c>
      <c r="N4296">
        <v>1</v>
      </c>
      <c r="O4296" t="s">
        <v>25</v>
      </c>
      <c r="P4296" t="s">
        <v>35</v>
      </c>
      <c r="Q4296">
        <v>7.3</v>
      </c>
      <c r="R4296">
        <v>21</v>
      </c>
      <c r="S4296" t="s">
        <v>27</v>
      </c>
    </row>
    <row r="4297" spans="1:19" x14ac:dyDescent="0.3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 t="str">
        <f t="shared" si="67"/>
        <v>8-14 days</v>
      </c>
      <c r="L4297">
        <v>13</v>
      </c>
      <c r="M4297">
        <v>3</v>
      </c>
      <c r="N4297">
        <v>1</v>
      </c>
      <c r="O4297" t="s">
        <v>25</v>
      </c>
      <c r="P4297" t="s">
        <v>35</v>
      </c>
      <c r="Q4297">
        <v>2.2000000000000002</v>
      </c>
      <c r="R4297">
        <v>26</v>
      </c>
      <c r="S4297" t="s">
        <v>36</v>
      </c>
    </row>
    <row r="4298" spans="1:19" x14ac:dyDescent="0.3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 t="str">
        <f t="shared" si="67"/>
        <v>31-60 days</v>
      </c>
      <c r="L4298">
        <v>45</v>
      </c>
      <c r="M4298">
        <v>3</v>
      </c>
      <c r="N4298">
        <v>1</v>
      </c>
      <c r="O4298" t="s">
        <v>54</v>
      </c>
      <c r="P4298" t="s">
        <v>55</v>
      </c>
      <c r="Q4298">
        <v>6.8</v>
      </c>
      <c r="R4298">
        <v>40</v>
      </c>
      <c r="S4298" t="s">
        <v>27</v>
      </c>
    </row>
    <row r="4299" spans="1:19" x14ac:dyDescent="0.3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 t="str">
        <f t="shared" si="67"/>
        <v>15-30 days</v>
      </c>
      <c r="L4299">
        <v>18</v>
      </c>
      <c r="M4299">
        <v>5</v>
      </c>
      <c r="N4299">
        <v>1</v>
      </c>
      <c r="O4299" t="s">
        <v>54</v>
      </c>
      <c r="P4299" t="s">
        <v>55</v>
      </c>
      <c r="Q4299">
        <v>17.100000000000001</v>
      </c>
      <c r="R4299">
        <v>32</v>
      </c>
      <c r="S4299" t="s">
        <v>27</v>
      </c>
    </row>
    <row r="4300" spans="1:19" x14ac:dyDescent="0.3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 t="str">
        <f t="shared" si="67"/>
        <v>31-60 days</v>
      </c>
      <c r="L4300">
        <v>51</v>
      </c>
      <c r="M4300">
        <v>2</v>
      </c>
      <c r="N4300">
        <v>0</v>
      </c>
      <c r="O4300" t="s">
        <v>25</v>
      </c>
      <c r="P4300" t="s">
        <v>35</v>
      </c>
      <c r="Q4300">
        <v>11.5</v>
      </c>
      <c r="R4300">
        <v>37</v>
      </c>
      <c r="S4300" t="s">
        <v>27</v>
      </c>
    </row>
    <row r="4301" spans="1:19" x14ac:dyDescent="0.3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 t="str">
        <f t="shared" si="67"/>
        <v>15-30 days</v>
      </c>
      <c r="L4301">
        <v>28</v>
      </c>
      <c r="M4301">
        <v>4</v>
      </c>
      <c r="N4301">
        <v>1</v>
      </c>
      <c r="O4301" t="s">
        <v>25</v>
      </c>
      <c r="P4301" t="s">
        <v>50</v>
      </c>
      <c r="Q4301">
        <v>18</v>
      </c>
      <c r="R4301">
        <v>23</v>
      </c>
      <c r="S4301" t="s">
        <v>27</v>
      </c>
    </row>
    <row r="4302" spans="1:19" x14ac:dyDescent="0.3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 t="str">
        <f t="shared" si="67"/>
        <v>8-14 days</v>
      </c>
      <c r="L4302">
        <v>12</v>
      </c>
      <c r="M4302">
        <v>7</v>
      </c>
      <c r="N4302">
        <v>3</v>
      </c>
      <c r="O4302" t="s">
        <v>25</v>
      </c>
      <c r="P4302" t="s">
        <v>26</v>
      </c>
      <c r="Q4302">
        <v>14.4</v>
      </c>
      <c r="R4302">
        <v>22</v>
      </c>
      <c r="S4302" t="s">
        <v>27</v>
      </c>
    </row>
    <row r="4303" spans="1:19" x14ac:dyDescent="0.3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 t="str">
        <f t="shared" si="67"/>
        <v>31-60 days</v>
      </c>
      <c r="L4303">
        <v>51</v>
      </c>
      <c r="M4303">
        <v>4</v>
      </c>
      <c r="N4303">
        <v>1</v>
      </c>
      <c r="O4303" t="s">
        <v>25</v>
      </c>
      <c r="P4303" t="s">
        <v>26</v>
      </c>
      <c r="Q4303">
        <v>7.2</v>
      </c>
      <c r="R4303">
        <v>44</v>
      </c>
      <c r="S4303" t="s">
        <v>27</v>
      </c>
    </row>
    <row r="4304" spans="1:19" x14ac:dyDescent="0.3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 t="str">
        <f t="shared" si="67"/>
        <v>31-60 days</v>
      </c>
      <c r="L4304">
        <v>33</v>
      </c>
      <c r="M4304">
        <v>4</v>
      </c>
      <c r="N4304">
        <v>2</v>
      </c>
      <c r="O4304" t="s">
        <v>25</v>
      </c>
      <c r="P4304" t="s">
        <v>35</v>
      </c>
      <c r="Q4304">
        <v>3.5</v>
      </c>
      <c r="R4304">
        <v>22</v>
      </c>
      <c r="S4304" t="s">
        <v>27</v>
      </c>
    </row>
    <row r="4305" spans="1:19" x14ac:dyDescent="0.3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 t="str">
        <f t="shared" si="67"/>
        <v>31-60 days</v>
      </c>
      <c r="L4305">
        <v>48</v>
      </c>
      <c r="M4305">
        <v>2</v>
      </c>
      <c r="N4305">
        <v>0</v>
      </c>
      <c r="O4305" t="s">
        <v>54</v>
      </c>
      <c r="P4305" t="s">
        <v>55</v>
      </c>
      <c r="Q4305">
        <v>14.9</v>
      </c>
      <c r="R4305">
        <v>18</v>
      </c>
      <c r="S4305" t="s">
        <v>27</v>
      </c>
    </row>
    <row r="4306" spans="1:19" x14ac:dyDescent="0.3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 t="str">
        <f t="shared" si="67"/>
        <v>15-30 days</v>
      </c>
      <c r="L4306">
        <v>27</v>
      </c>
      <c r="M4306">
        <v>5</v>
      </c>
      <c r="N4306">
        <v>0</v>
      </c>
      <c r="O4306" t="s">
        <v>54</v>
      </c>
      <c r="P4306" t="s">
        <v>55</v>
      </c>
      <c r="Q4306">
        <v>8.1</v>
      </c>
      <c r="R4306">
        <v>17</v>
      </c>
      <c r="S4306" t="s">
        <v>36</v>
      </c>
    </row>
    <row r="4307" spans="1:19" x14ac:dyDescent="0.3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 t="str">
        <f t="shared" si="67"/>
        <v>0-7 days</v>
      </c>
      <c r="L4307">
        <v>7</v>
      </c>
      <c r="M4307">
        <v>1</v>
      </c>
      <c r="N4307">
        <v>0</v>
      </c>
      <c r="O4307" t="s">
        <v>54</v>
      </c>
      <c r="P4307" t="s">
        <v>55</v>
      </c>
      <c r="Q4307">
        <v>16.399999999999999</v>
      </c>
      <c r="R4307">
        <v>27</v>
      </c>
      <c r="S4307" t="s">
        <v>36</v>
      </c>
    </row>
    <row r="4308" spans="1:19" x14ac:dyDescent="0.3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 t="str">
        <f t="shared" si="67"/>
        <v>31-60 days</v>
      </c>
      <c r="L4308">
        <v>41</v>
      </c>
      <c r="M4308">
        <v>2</v>
      </c>
      <c r="N4308">
        <v>1</v>
      </c>
      <c r="O4308" t="s">
        <v>25</v>
      </c>
      <c r="P4308" t="s">
        <v>26</v>
      </c>
      <c r="Q4308">
        <v>10.3</v>
      </c>
      <c r="R4308">
        <v>12</v>
      </c>
      <c r="S4308" t="s">
        <v>36</v>
      </c>
    </row>
    <row r="4309" spans="1:19" x14ac:dyDescent="0.3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 t="str">
        <f t="shared" si="67"/>
        <v>0-7 days</v>
      </c>
      <c r="L4309">
        <v>7</v>
      </c>
      <c r="M4309">
        <v>2</v>
      </c>
      <c r="N4309">
        <v>0</v>
      </c>
      <c r="O4309" t="s">
        <v>25</v>
      </c>
      <c r="P4309" t="s">
        <v>35</v>
      </c>
      <c r="Q4309">
        <v>11.6</v>
      </c>
      <c r="R4309">
        <v>26</v>
      </c>
      <c r="S4309" t="s">
        <v>27</v>
      </c>
    </row>
    <row r="4310" spans="1:19" x14ac:dyDescent="0.3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 t="str">
        <f t="shared" si="67"/>
        <v>31-60 days</v>
      </c>
      <c r="L4310">
        <v>40</v>
      </c>
      <c r="M4310">
        <v>4</v>
      </c>
      <c r="N4310">
        <v>1</v>
      </c>
      <c r="O4310" t="s">
        <v>25</v>
      </c>
      <c r="P4310" t="s">
        <v>35</v>
      </c>
      <c r="Q4310">
        <v>14.2</v>
      </c>
      <c r="R4310">
        <v>26</v>
      </c>
      <c r="S4310" t="s">
        <v>36</v>
      </c>
    </row>
    <row r="4311" spans="1:19" x14ac:dyDescent="0.3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 t="str">
        <f t="shared" si="67"/>
        <v>15-30 days</v>
      </c>
      <c r="L4311">
        <v>25</v>
      </c>
      <c r="M4311">
        <v>4</v>
      </c>
      <c r="N4311">
        <v>0</v>
      </c>
      <c r="O4311" t="s">
        <v>25</v>
      </c>
      <c r="P4311" t="s">
        <v>26</v>
      </c>
      <c r="Q4311">
        <v>19.3</v>
      </c>
      <c r="R4311">
        <v>31</v>
      </c>
      <c r="S4311" t="s">
        <v>36</v>
      </c>
    </row>
    <row r="4312" spans="1:19" x14ac:dyDescent="0.3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 t="str">
        <f t="shared" si="67"/>
        <v>31-60 days</v>
      </c>
      <c r="L4312">
        <v>48</v>
      </c>
      <c r="M4312">
        <v>1</v>
      </c>
      <c r="N4312">
        <v>0</v>
      </c>
      <c r="O4312" t="s">
        <v>25</v>
      </c>
      <c r="P4312" t="s">
        <v>26</v>
      </c>
      <c r="Q4312">
        <v>7.9</v>
      </c>
      <c r="R4312">
        <v>5</v>
      </c>
      <c r="S4312" t="s">
        <v>36</v>
      </c>
    </row>
    <row r="4313" spans="1:19" x14ac:dyDescent="0.3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 t="str">
        <f t="shared" si="67"/>
        <v>31-60 days</v>
      </c>
      <c r="L4313">
        <v>53</v>
      </c>
      <c r="M4313">
        <v>3</v>
      </c>
      <c r="N4313">
        <v>1</v>
      </c>
      <c r="O4313" t="s">
        <v>25</v>
      </c>
      <c r="P4313" t="s">
        <v>26</v>
      </c>
      <c r="Q4313">
        <v>8.1</v>
      </c>
      <c r="R4313">
        <v>2</v>
      </c>
      <c r="S4313" t="s">
        <v>36</v>
      </c>
    </row>
    <row r="4314" spans="1:19" x14ac:dyDescent="0.3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 t="str">
        <f t="shared" si="67"/>
        <v>15-30 days</v>
      </c>
      <c r="L4314">
        <v>24</v>
      </c>
      <c r="M4314">
        <v>2</v>
      </c>
      <c r="N4314">
        <v>0</v>
      </c>
      <c r="O4314" t="s">
        <v>25</v>
      </c>
      <c r="P4314" t="s">
        <v>35</v>
      </c>
      <c r="Q4314">
        <v>13.8</v>
      </c>
      <c r="R4314">
        <v>19</v>
      </c>
      <c r="S4314" t="s">
        <v>27</v>
      </c>
    </row>
    <row r="4315" spans="1:19" x14ac:dyDescent="0.3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 t="str">
        <f t="shared" si="67"/>
        <v>31-60 days</v>
      </c>
      <c r="L4315">
        <v>53</v>
      </c>
      <c r="M4315">
        <v>4</v>
      </c>
      <c r="N4315">
        <v>2</v>
      </c>
      <c r="O4315" t="s">
        <v>25</v>
      </c>
      <c r="P4315" t="s">
        <v>26</v>
      </c>
      <c r="Q4315">
        <v>5</v>
      </c>
      <c r="R4315">
        <v>22</v>
      </c>
      <c r="S4315" t="s">
        <v>36</v>
      </c>
    </row>
    <row r="4316" spans="1:19" x14ac:dyDescent="0.3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 t="str">
        <f t="shared" si="67"/>
        <v>0-7 days</v>
      </c>
      <c r="L4316">
        <v>6</v>
      </c>
      <c r="M4316">
        <v>4</v>
      </c>
      <c r="N4316">
        <v>0</v>
      </c>
      <c r="O4316" t="s">
        <v>25</v>
      </c>
      <c r="P4316" t="s">
        <v>35</v>
      </c>
      <c r="Q4316">
        <v>13.2</v>
      </c>
      <c r="R4316">
        <v>12</v>
      </c>
      <c r="S4316" t="s">
        <v>36</v>
      </c>
    </row>
    <row r="4317" spans="1:19" x14ac:dyDescent="0.3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 t="str">
        <f t="shared" si="67"/>
        <v>0-7 days</v>
      </c>
      <c r="L4317">
        <v>6</v>
      </c>
      <c r="M4317">
        <v>3</v>
      </c>
      <c r="N4317">
        <v>1</v>
      </c>
      <c r="O4317" t="s">
        <v>54</v>
      </c>
      <c r="P4317" t="s">
        <v>55</v>
      </c>
      <c r="Q4317">
        <v>14.5</v>
      </c>
      <c r="R4317">
        <v>9</v>
      </c>
      <c r="S4317" t="s">
        <v>27</v>
      </c>
    </row>
    <row r="4318" spans="1:19" x14ac:dyDescent="0.3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 t="str">
        <f t="shared" si="67"/>
        <v>31-60 days</v>
      </c>
      <c r="L4318">
        <v>60</v>
      </c>
      <c r="M4318">
        <v>4</v>
      </c>
      <c r="N4318">
        <v>0</v>
      </c>
      <c r="O4318" t="s">
        <v>25</v>
      </c>
      <c r="P4318" t="s">
        <v>26</v>
      </c>
      <c r="Q4318">
        <v>30.1</v>
      </c>
      <c r="R4318">
        <v>29</v>
      </c>
      <c r="S4318" t="s">
        <v>27</v>
      </c>
    </row>
    <row r="4319" spans="1:19" x14ac:dyDescent="0.3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 t="str">
        <f t="shared" si="67"/>
        <v>31-60 days</v>
      </c>
      <c r="L4319">
        <v>35</v>
      </c>
      <c r="M4319">
        <v>4</v>
      </c>
      <c r="N4319">
        <v>0</v>
      </c>
      <c r="O4319" t="s">
        <v>25</v>
      </c>
      <c r="P4319" t="s">
        <v>35</v>
      </c>
      <c r="Q4319">
        <v>12.8</v>
      </c>
      <c r="R4319">
        <v>21</v>
      </c>
      <c r="S4319" t="s">
        <v>27</v>
      </c>
    </row>
    <row r="4320" spans="1:19" x14ac:dyDescent="0.3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 t="str">
        <f t="shared" si="67"/>
        <v>15-30 days</v>
      </c>
      <c r="L4320">
        <v>27</v>
      </c>
      <c r="M4320">
        <v>2</v>
      </c>
      <c r="N4320">
        <v>0</v>
      </c>
      <c r="O4320" t="s">
        <v>25</v>
      </c>
      <c r="P4320" t="s">
        <v>35</v>
      </c>
      <c r="Q4320">
        <v>18.399999999999999</v>
      </c>
      <c r="R4320">
        <v>33</v>
      </c>
      <c r="S4320" t="s">
        <v>36</v>
      </c>
    </row>
    <row r="4321" spans="1:19" x14ac:dyDescent="0.3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 t="str">
        <f t="shared" si="67"/>
        <v>8-14 days</v>
      </c>
      <c r="L4321">
        <v>9</v>
      </c>
      <c r="M4321">
        <v>4</v>
      </c>
      <c r="N4321">
        <v>0</v>
      </c>
      <c r="O4321" t="s">
        <v>25</v>
      </c>
      <c r="P4321" t="s">
        <v>35</v>
      </c>
      <c r="Q4321">
        <v>7</v>
      </c>
      <c r="R4321">
        <v>9</v>
      </c>
      <c r="S4321" t="s">
        <v>36</v>
      </c>
    </row>
    <row r="4322" spans="1:19" x14ac:dyDescent="0.3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 t="str">
        <f t="shared" si="67"/>
        <v>15-30 days</v>
      </c>
      <c r="L4322">
        <v>17</v>
      </c>
      <c r="M4322">
        <v>4</v>
      </c>
      <c r="N4322">
        <v>1</v>
      </c>
      <c r="O4322" t="s">
        <v>54</v>
      </c>
      <c r="P4322" t="s">
        <v>55</v>
      </c>
      <c r="Q4322">
        <v>6.6</v>
      </c>
      <c r="R4322">
        <v>23</v>
      </c>
      <c r="S4322" t="s">
        <v>36</v>
      </c>
    </row>
    <row r="4323" spans="1:19" x14ac:dyDescent="0.3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 t="str">
        <f t="shared" si="67"/>
        <v>31-60 days</v>
      </c>
      <c r="L4323">
        <v>41</v>
      </c>
      <c r="M4323">
        <v>1</v>
      </c>
      <c r="N4323">
        <v>0</v>
      </c>
      <c r="O4323" t="s">
        <v>25</v>
      </c>
      <c r="P4323" t="s">
        <v>35</v>
      </c>
      <c r="Q4323">
        <v>8.5</v>
      </c>
      <c r="R4323">
        <v>42</v>
      </c>
      <c r="S4323" t="s">
        <v>36</v>
      </c>
    </row>
    <row r="4324" spans="1:19" x14ac:dyDescent="0.3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 t="str">
        <f t="shared" si="67"/>
        <v>31-60 days</v>
      </c>
      <c r="L4324">
        <v>50</v>
      </c>
      <c r="M4324">
        <v>2</v>
      </c>
      <c r="N4324">
        <v>0</v>
      </c>
      <c r="O4324" t="s">
        <v>54</v>
      </c>
      <c r="P4324" t="s">
        <v>55</v>
      </c>
      <c r="Q4324">
        <v>5.7</v>
      </c>
      <c r="R4324">
        <v>21</v>
      </c>
      <c r="S4324" t="s">
        <v>27</v>
      </c>
    </row>
    <row r="4325" spans="1:19" x14ac:dyDescent="0.3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 t="str">
        <f t="shared" si="67"/>
        <v>31-60 days</v>
      </c>
      <c r="L4325">
        <v>55</v>
      </c>
      <c r="M4325">
        <v>1</v>
      </c>
      <c r="N4325">
        <v>1</v>
      </c>
      <c r="O4325" t="s">
        <v>25</v>
      </c>
      <c r="P4325" t="s">
        <v>35</v>
      </c>
      <c r="Q4325">
        <v>13</v>
      </c>
      <c r="R4325">
        <v>18</v>
      </c>
      <c r="S4325" t="s">
        <v>27</v>
      </c>
    </row>
    <row r="4326" spans="1:19" x14ac:dyDescent="0.3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 t="str">
        <f t="shared" si="67"/>
        <v>15-30 days</v>
      </c>
      <c r="L4326">
        <v>24</v>
      </c>
      <c r="M4326">
        <v>4</v>
      </c>
      <c r="N4326">
        <v>1</v>
      </c>
      <c r="O4326" t="s">
        <v>25</v>
      </c>
      <c r="P4326" t="s">
        <v>26</v>
      </c>
      <c r="Q4326">
        <v>4.5999999999999996</v>
      </c>
      <c r="R4326">
        <v>34</v>
      </c>
      <c r="S4326" t="s">
        <v>27</v>
      </c>
    </row>
    <row r="4327" spans="1:19" x14ac:dyDescent="0.3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 t="str">
        <f t="shared" si="67"/>
        <v>15-30 days</v>
      </c>
      <c r="L4327">
        <v>27</v>
      </c>
      <c r="M4327">
        <v>2</v>
      </c>
      <c r="N4327">
        <v>1</v>
      </c>
      <c r="O4327" t="s">
        <v>54</v>
      </c>
      <c r="P4327" t="s">
        <v>55</v>
      </c>
      <c r="Q4327">
        <v>4.4000000000000004</v>
      </c>
      <c r="R4327">
        <v>37</v>
      </c>
      <c r="S4327" t="s">
        <v>27</v>
      </c>
    </row>
    <row r="4328" spans="1:19" x14ac:dyDescent="0.3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 t="str">
        <f t="shared" si="67"/>
        <v>8-14 days</v>
      </c>
      <c r="L4328">
        <v>9</v>
      </c>
      <c r="M4328">
        <v>5</v>
      </c>
      <c r="N4328">
        <v>2</v>
      </c>
      <c r="O4328" t="s">
        <v>25</v>
      </c>
      <c r="P4328" t="s">
        <v>50</v>
      </c>
      <c r="Q4328">
        <v>4.0999999999999996</v>
      </c>
      <c r="R4328">
        <v>17</v>
      </c>
      <c r="S4328" t="s">
        <v>36</v>
      </c>
    </row>
    <row r="4329" spans="1:19" x14ac:dyDescent="0.3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 t="str">
        <f t="shared" si="67"/>
        <v>0-7 days</v>
      </c>
      <c r="L4329">
        <v>5</v>
      </c>
      <c r="M4329">
        <v>2</v>
      </c>
      <c r="N4329">
        <v>0</v>
      </c>
      <c r="O4329" t="s">
        <v>25</v>
      </c>
      <c r="P4329" t="s">
        <v>50</v>
      </c>
      <c r="Q4329">
        <v>11.7</v>
      </c>
      <c r="R4329">
        <v>18</v>
      </c>
      <c r="S4329" t="s">
        <v>36</v>
      </c>
    </row>
    <row r="4330" spans="1:19" x14ac:dyDescent="0.3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 t="str">
        <f t="shared" si="67"/>
        <v>15-30 days</v>
      </c>
      <c r="L4330">
        <v>26</v>
      </c>
      <c r="M4330">
        <v>4</v>
      </c>
      <c r="N4330">
        <v>1</v>
      </c>
      <c r="O4330" t="s">
        <v>25</v>
      </c>
      <c r="P4330" t="s">
        <v>35</v>
      </c>
      <c r="Q4330">
        <v>4.5</v>
      </c>
      <c r="S4330" t="s">
        <v>27</v>
      </c>
    </row>
    <row r="4331" spans="1:19" x14ac:dyDescent="0.3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 t="str">
        <f t="shared" si="67"/>
        <v>31-60 days</v>
      </c>
      <c r="L4331">
        <v>35</v>
      </c>
      <c r="M4331">
        <v>2</v>
      </c>
      <c r="N4331">
        <v>1</v>
      </c>
      <c r="O4331" t="s">
        <v>54</v>
      </c>
      <c r="P4331" t="s">
        <v>55</v>
      </c>
      <c r="Q4331">
        <v>4.4000000000000004</v>
      </c>
      <c r="R4331">
        <v>27</v>
      </c>
      <c r="S4331" t="s">
        <v>36</v>
      </c>
    </row>
    <row r="4332" spans="1:19" x14ac:dyDescent="0.3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 t="str">
        <f t="shared" si="67"/>
        <v>0-7 days</v>
      </c>
      <c r="L4332">
        <v>6</v>
      </c>
      <c r="M4332">
        <v>1</v>
      </c>
      <c r="N4332">
        <v>0</v>
      </c>
      <c r="O4332" t="s">
        <v>25</v>
      </c>
      <c r="P4332" t="s">
        <v>26</v>
      </c>
      <c r="Q4332">
        <v>4.5</v>
      </c>
      <c r="R4332">
        <v>28</v>
      </c>
      <c r="S4332" t="s">
        <v>36</v>
      </c>
    </row>
    <row r="4333" spans="1:19" x14ac:dyDescent="0.3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 t="str">
        <f t="shared" si="67"/>
        <v>15-30 days</v>
      </c>
      <c r="L4333">
        <v>24</v>
      </c>
      <c r="M4333">
        <v>2</v>
      </c>
      <c r="N4333">
        <v>0</v>
      </c>
      <c r="O4333" t="s">
        <v>54</v>
      </c>
      <c r="P4333" t="s">
        <v>55</v>
      </c>
      <c r="Q4333">
        <v>1.2</v>
      </c>
      <c r="R4333">
        <v>27</v>
      </c>
      <c r="S4333" t="s">
        <v>27</v>
      </c>
    </row>
    <row r="4334" spans="1:19" x14ac:dyDescent="0.3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 t="str">
        <f t="shared" si="67"/>
        <v>31-60 days</v>
      </c>
      <c r="L4334">
        <v>39</v>
      </c>
      <c r="M4334">
        <v>0</v>
      </c>
      <c r="N4334">
        <v>0</v>
      </c>
      <c r="O4334" t="s">
        <v>25</v>
      </c>
      <c r="P4334" t="s">
        <v>35</v>
      </c>
      <c r="Q4334">
        <v>6.4</v>
      </c>
      <c r="R4334">
        <v>23</v>
      </c>
      <c r="S4334" t="s">
        <v>36</v>
      </c>
    </row>
    <row r="4335" spans="1:19" x14ac:dyDescent="0.3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 t="str">
        <f t="shared" si="67"/>
        <v>31-60 days</v>
      </c>
      <c r="L4335">
        <v>49</v>
      </c>
      <c r="M4335">
        <v>6</v>
      </c>
      <c r="N4335">
        <v>0</v>
      </c>
      <c r="O4335" t="s">
        <v>25</v>
      </c>
      <c r="P4335" t="s">
        <v>26</v>
      </c>
      <c r="R4335">
        <v>35</v>
      </c>
      <c r="S4335" t="s">
        <v>36</v>
      </c>
    </row>
    <row r="4336" spans="1:19" x14ac:dyDescent="0.3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 t="str">
        <f t="shared" si="67"/>
        <v>31-60 days</v>
      </c>
      <c r="L4336">
        <v>57</v>
      </c>
      <c r="M4336">
        <v>2</v>
      </c>
      <c r="N4336">
        <v>1</v>
      </c>
      <c r="O4336" t="s">
        <v>25</v>
      </c>
      <c r="P4336" t="s">
        <v>35</v>
      </c>
      <c r="Q4336">
        <v>12.4</v>
      </c>
      <c r="R4336">
        <v>39</v>
      </c>
      <c r="S4336" t="s">
        <v>36</v>
      </c>
    </row>
    <row r="4337" spans="1:19" x14ac:dyDescent="0.3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 t="str">
        <f t="shared" si="67"/>
        <v>15-30 days</v>
      </c>
      <c r="L4337">
        <v>20</v>
      </c>
      <c r="M4337">
        <v>5</v>
      </c>
      <c r="N4337">
        <v>0</v>
      </c>
      <c r="O4337" t="s">
        <v>25</v>
      </c>
      <c r="P4337" t="s">
        <v>35</v>
      </c>
      <c r="Q4337">
        <v>12.6</v>
      </c>
      <c r="R4337">
        <v>13</v>
      </c>
      <c r="S4337" t="s">
        <v>27</v>
      </c>
    </row>
    <row r="4338" spans="1:19" x14ac:dyDescent="0.3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 t="str">
        <f t="shared" si="67"/>
        <v>15-30 days</v>
      </c>
      <c r="L4338">
        <v>23</v>
      </c>
      <c r="M4338">
        <v>1</v>
      </c>
      <c r="N4338">
        <v>0</v>
      </c>
      <c r="O4338" t="s">
        <v>25</v>
      </c>
      <c r="P4338" t="s">
        <v>35</v>
      </c>
      <c r="Q4338">
        <v>14.4</v>
      </c>
      <c r="R4338">
        <v>34</v>
      </c>
      <c r="S4338" t="s">
        <v>27</v>
      </c>
    </row>
    <row r="4339" spans="1:19" x14ac:dyDescent="0.3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 t="str">
        <f t="shared" si="67"/>
        <v>31-60 days</v>
      </c>
      <c r="L4339">
        <v>53</v>
      </c>
      <c r="M4339">
        <v>2</v>
      </c>
      <c r="N4339">
        <v>1</v>
      </c>
      <c r="O4339" t="s">
        <v>25</v>
      </c>
      <c r="P4339" t="s">
        <v>50</v>
      </c>
      <c r="Q4339">
        <v>13.5</v>
      </c>
      <c r="R4339">
        <v>24</v>
      </c>
      <c r="S4339" t="s">
        <v>27</v>
      </c>
    </row>
    <row r="4340" spans="1:19" x14ac:dyDescent="0.3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 t="str">
        <f t="shared" si="67"/>
        <v>31-60 days</v>
      </c>
      <c r="L4340">
        <v>42</v>
      </c>
      <c r="M4340">
        <v>6</v>
      </c>
      <c r="N4340">
        <v>2</v>
      </c>
      <c r="O4340" t="s">
        <v>25</v>
      </c>
      <c r="P4340" t="s">
        <v>26</v>
      </c>
      <c r="Q4340">
        <v>7</v>
      </c>
      <c r="R4340">
        <v>10</v>
      </c>
      <c r="S4340" t="s">
        <v>27</v>
      </c>
    </row>
    <row r="4341" spans="1:19" x14ac:dyDescent="0.3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 t="str">
        <f t="shared" si="67"/>
        <v>15-30 days</v>
      </c>
      <c r="L4341">
        <v>16</v>
      </c>
      <c r="M4341">
        <v>4</v>
      </c>
      <c r="N4341">
        <v>2</v>
      </c>
      <c r="O4341" t="s">
        <v>25</v>
      </c>
      <c r="P4341" t="s">
        <v>35</v>
      </c>
      <c r="Q4341">
        <v>13.7</v>
      </c>
      <c r="R4341">
        <v>14</v>
      </c>
      <c r="S4341" t="s">
        <v>36</v>
      </c>
    </row>
    <row r="4342" spans="1:19" x14ac:dyDescent="0.3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 t="str">
        <f t="shared" si="67"/>
        <v>31-60 days</v>
      </c>
      <c r="L4342">
        <v>41</v>
      </c>
      <c r="M4342">
        <v>2</v>
      </c>
      <c r="N4342">
        <v>0</v>
      </c>
      <c r="O4342" t="s">
        <v>25</v>
      </c>
      <c r="P4342" t="s">
        <v>35</v>
      </c>
      <c r="Q4342">
        <v>4</v>
      </c>
      <c r="R4342">
        <v>19</v>
      </c>
      <c r="S4342" t="s">
        <v>36</v>
      </c>
    </row>
    <row r="4343" spans="1:19" x14ac:dyDescent="0.3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 t="str">
        <f t="shared" si="67"/>
        <v>8-14 days</v>
      </c>
      <c r="L4343">
        <v>9</v>
      </c>
      <c r="M4343">
        <v>2</v>
      </c>
      <c r="N4343">
        <v>0</v>
      </c>
      <c r="O4343" t="s">
        <v>54</v>
      </c>
      <c r="P4343" t="s">
        <v>55</v>
      </c>
      <c r="Q4343">
        <v>9.6</v>
      </c>
      <c r="R4343">
        <v>36</v>
      </c>
      <c r="S4343" t="s">
        <v>36</v>
      </c>
    </row>
    <row r="4344" spans="1:19" x14ac:dyDescent="0.3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 t="str">
        <f t="shared" si="67"/>
        <v>15-30 days</v>
      </c>
      <c r="L4344">
        <v>27</v>
      </c>
      <c r="M4344">
        <v>6</v>
      </c>
      <c r="N4344">
        <v>1</v>
      </c>
      <c r="O4344" t="s">
        <v>25</v>
      </c>
      <c r="P4344" t="s">
        <v>26</v>
      </c>
      <c r="Q4344">
        <v>4.0999999999999996</v>
      </c>
      <c r="R4344">
        <v>13</v>
      </c>
      <c r="S4344" t="s">
        <v>36</v>
      </c>
    </row>
    <row r="4345" spans="1:19" x14ac:dyDescent="0.3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 t="str">
        <f t="shared" si="67"/>
        <v>15-30 days</v>
      </c>
      <c r="L4345">
        <v>18</v>
      </c>
      <c r="M4345">
        <v>4</v>
      </c>
      <c r="N4345">
        <v>0</v>
      </c>
      <c r="O4345" t="s">
        <v>54</v>
      </c>
      <c r="P4345" t="s">
        <v>55</v>
      </c>
      <c r="Q4345">
        <v>5.9</v>
      </c>
      <c r="R4345">
        <v>4</v>
      </c>
      <c r="S4345" t="s">
        <v>27</v>
      </c>
    </row>
    <row r="4346" spans="1:19" x14ac:dyDescent="0.3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 t="str">
        <f t="shared" si="67"/>
        <v>31-60 days</v>
      </c>
      <c r="L4346">
        <v>60</v>
      </c>
      <c r="M4346">
        <v>3</v>
      </c>
      <c r="N4346">
        <v>0</v>
      </c>
      <c r="O4346" t="s">
        <v>25</v>
      </c>
      <c r="P4346" t="s">
        <v>35</v>
      </c>
      <c r="Q4346">
        <v>19.2</v>
      </c>
      <c r="R4346">
        <v>21</v>
      </c>
      <c r="S4346" t="s">
        <v>27</v>
      </c>
    </row>
    <row r="4347" spans="1:19" x14ac:dyDescent="0.3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 t="str">
        <f t="shared" si="67"/>
        <v>0-7 days</v>
      </c>
      <c r="L4347">
        <v>2</v>
      </c>
      <c r="M4347">
        <v>2</v>
      </c>
      <c r="N4347">
        <v>1</v>
      </c>
      <c r="O4347" t="s">
        <v>54</v>
      </c>
      <c r="P4347" t="s">
        <v>55</v>
      </c>
      <c r="Q4347">
        <v>7.1</v>
      </c>
      <c r="R4347">
        <v>19</v>
      </c>
      <c r="S4347" t="s">
        <v>36</v>
      </c>
    </row>
    <row r="4348" spans="1:19" x14ac:dyDescent="0.3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 t="str">
        <f t="shared" si="67"/>
        <v>31-60 days</v>
      </c>
      <c r="L4348">
        <v>52</v>
      </c>
      <c r="M4348">
        <v>2</v>
      </c>
      <c r="N4348">
        <v>1</v>
      </c>
      <c r="O4348" t="s">
        <v>25</v>
      </c>
      <c r="P4348" t="s">
        <v>50</v>
      </c>
      <c r="Q4348">
        <v>5.8</v>
      </c>
      <c r="R4348">
        <v>36</v>
      </c>
      <c r="S4348" t="s">
        <v>27</v>
      </c>
    </row>
    <row r="4349" spans="1:19" x14ac:dyDescent="0.3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 t="str">
        <f t="shared" si="67"/>
        <v>15-30 days</v>
      </c>
      <c r="L4349">
        <v>17</v>
      </c>
      <c r="M4349">
        <v>9</v>
      </c>
      <c r="N4349">
        <v>1</v>
      </c>
      <c r="O4349" t="s">
        <v>25</v>
      </c>
      <c r="P4349" t="s">
        <v>50</v>
      </c>
      <c r="Q4349">
        <v>15.6</v>
      </c>
      <c r="R4349">
        <v>27</v>
      </c>
      <c r="S4349" t="s">
        <v>36</v>
      </c>
    </row>
    <row r="4350" spans="1:19" x14ac:dyDescent="0.3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 t="str">
        <f t="shared" si="67"/>
        <v>0-7 days</v>
      </c>
      <c r="L4350">
        <v>2</v>
      </c>
      <c r="M4350">
        <v>5</v>
      </c>
      <c r="N4350">
        <v>1</v>
      </c>
      <c r="O4350" t="s">
        <v>54</v>
      </c>
      <c r="P4350" t="s">
        <v>55</v>
      </c>
      <c r="Q4350">
        <v>5.4</v>
      </c>
      <c r="R4350">
        <v>32</v>
      </c>
      <c r="S4350" t="s">
        <v>36</v>
      </c>
    </row>
    <row r="4351" spans="1:19" x14ac:dyDescent="0.3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 t="str">
        <f t="shared" si="67"/>
        <v>31-60 days</v>
      </c>
      <c r="L4351">
        <v>40</v>
      </c>
      <c r="M4351">
        <v>1</v>
      </c>
      <c r="N4351">
        <v>1</v>
      </c>
      <c r="O4351" t="s">
        <v>54</v>
      </c>
      <c r="P4351" t="s">
        <v>55</v>
      </c>
      <c r="Q4351">
        <v>12.1</v>
      </c>
      <c r="R4351">
        <v>20</v>
      </c>
      <c r="S4351" t="s">
        <v>27</v>
      </c>
    </row>
    <row r="4352" spans="1:19" x14ac:dyDescent="0.3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 t="str">
        <f t="shared" si="67"/>
        <v>31-60 days</v>
      </c>
      <c r="L4352">
        <v>41</v>
      </c>
      <c r="M4352">
        <v>2</v>
      </c>
      <c r="N4352">
        <v>0</v>
      </c>
      <c r="O4352" t="s">
        <v>54</v>
      </c>
      <c r="P4352" t="s">
        <v>55</v>
      </c>
      <c r="Q4352">
        <v>10.3</v>
      </c>
      <c r="R4352">
        <v>11</v>
      </c>
      <c r="S4352" t="s">
        <v>36</v>
      </c>
    </row>
    <row r="4353" spans="1:19" x14ac:dyDescent="0.3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 t="str">
        <f t="shared" si="67"/>
        <v>8-14 days</v>
      </c>
      <c r="L4353">
        <v>8</v>
      </c>
      <c r="M4353">
        <v>2</v>
      </c>
      <c r="N4353">
        <v>0</v>
      </c>
      <c r="O4353" t="s">
        <v>54</v>
      </c>
      <c r="P4353" t="s">
        <v>55</v>
      </c>
      <c r="Q4353">
        <v>8.3000000000000007</v>
      </c>
      <c r="R4353">
        <v>38</v>
      </c>
      <c r="S4353" t="s">
        <v>27</v>
      </c>
    </row>
    <row r="4354" spans="1:19" x14ac:dyDescent="0.3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 t="str">
        <f t="shared" si="67"/>
        <v>0-7 days</v>
      </c>
      <c r="L4354">
        <v>2</v>
      </c>
      <c r="M4354">
        <v>1</v>
      </c>
      <c r="N4354">
        <v>0</v>
      </c>
      <c r="O4354" t="s">
        <v>25</v>
      </c>
      <c r="P4354" t="s">
        <v>26</v>
      </c>
      <c r="Q4354">
        <v>5</v>
      </c>
      <c r="R4354">
        <v>18</v>
      </c>
      <c r="S4354" t="s">
        <v>71</v>
      </c>
    </row>
    <row r="4355" spans="1:19" x14ac:dyDescent="0.3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 t="str">
        <f t="shared" ref="K4355:K4418" si="68">IF(L4355&lt;=7,"0-7 days",IF(L4355&lt;=14,"8-14 days",IF(L4355&lt;=30,"15-30 days","31-60 days")))</f>
        <v>0-7 days</v>
      </c>
      <c r="L4355">
        <v>6</v>
      </c>
      <c r="M4355">
        <v>2</v>
      </c>
      <c r="N4355">
        <v>0</v>
      </c>
      <c r="O4355" t="s">
        <v>54</v>
      </c>
      <c r="P4355" t="s">
        <v>55</v>
      </c>
      <c r="Q4355">
        <v>22.5</v>
      </c>
      <c r="R4355">
        <v>31</v>
      </c>
      <c r="S4355" t="s">
        <v>36</v>
      </c>
    </row>
    <row r="4356" spans="1:19" x14ac:dyDescent="0.3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 t="str">
        <f t="shared" si="68"/>
        <v>15-30 days</v>
      </c>
      <c r="L4356">
        <v>24</v>
      </c>
      <c r="M4356">
        <v>1</v>
      </c>
      <c r="N4356">
        <v>0</v>
      </c>
      <c r="O4356" t="s">
        <v>54</v>
      </c>
      <c r="P4356" t="s">
        <v>55</v>
      </c>
      <c r="Q4356">
        <v>5.6</v>
      </c>
      <c r="R4356">
        <v>20</v>
      </c>
      <c r="S4356" t="s">
        <v>27</v>
      </c>
    </row>
    <row r="4357" spans="1:19" x14ac:dyDescent="0.3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 t="str">
        <f t="shared" si="68"/>
        <v>8-14 days</v>
      </c>
      <c r="L4357">
        <v>8</v>
      </c>
      <c r="M4357">
        <v>4</v>
      </c>
      <c r="N4357">
        <v>1</v>
      </c>
      <c r="O4357" t="s">
        <v>54</v>
      </c>
      <c r="P4357" t="s">
        <v>55</v>
      </c>
      <c r="Q4357">
        <v>19.8</v>
      </c>
      <c r="R4357">
        <v>31</v>
      </c>
      <c r="S4357" t="s">
        <v>27</v>
      </c>
    </row>
    <row r="4358" spans="1:19" x14ac:dyDescent="0.3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 t="str">
        <f t="shared" si="68"/>
        <v>31-60 days</v>
      </c>
      <c r="L4358">
        <v>42</v>
      </c>
      <c r="M4358">
        <v>5</v>
      </c>
      <c r="N4358">
        <v>0</v>
      </c>
      <c r="O4358" t="s">
        <v>25</v>
      </c>
      <c r="P4358" t="s">
        <v>26</v>
      </c>
      <c r="Q4358">
        <v>12.6</v>
      </c>
      <c r="R4358">
        <v>27</v>
      </c>
      <c r="S4358" t="s">
        <v>27</v>
      </c>
    </row>
    <row r="4359" spans="1:19" x14ac:dyDescent="0.3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 t="str">
        <f t="shared" si="68"/>
        <v>0-7 days</v>
      </c>
      <c r="L4359">
        <v>4</v>
      </c>
      <c r="M4359">
        <v>2</v>
      </c>
      <c r="N4359">
        <v>0</v>
      </c>
      <c r="O4359" t="s">
        <v>54</v>
      </c>
      <c r="P4359" t="s">
        <v>55</v>
      </c>
      <c r="Q4359">
        <v>15.5</v>
      </c>
      <c r="R4359">
        <v>25</v>
      </c>
      <c r="S4359" t="s">
        <v>27</v>
      </c>
    </row>
    <row r="4360" spans="1:19" x14ac:dyDescent="0.3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 t="str">
        <f t="shared" si="68"/>
        <v>31-60 days</v>
      </c>
      <c r="L4360">
        <v>48</v>
      </c>
      <c r="M4360">
        <v>4</v>
      </c>
      <c r="N4360">
        <v>0</v>
      </c>
      <c r="O4360" t="s">
        <v>25</v>
      </c>
      <c r="P4360" t="s">
        <v>50</v>
      </c>
      <c r="Q4360">
        <v>10.199999999999999</v>
      </c>
      <c r="R4360">
        <v>29</v>
      </c>
      <c r="S4360" t="s">
        <v>27</v>
      </c>
    </row>
    <row r="4361" spans="1:19" x14ac:dyDescent="0.3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 t="str">
        <f t="shared" si="68"/>
        <v>31-60 days</v>
      </c>
      <c r="L4361">
        <v>53</v>
      </c>
      <c r="M4361">
        <v>1</v>
      </c>
      <c r="N4361">
        <v>0</v>
      </c>
      <c r="O4361" t="s">
        <v>25</v>
      </c>
      <c r="P4361" t="s">
        <v>50</v>
      </c>
      <c r="Q4361">
        <v>22.9</v>
      </c>
      <c r="R4361">
        <v>21</v>
      </c>
      <c r="S4361" t="s">
        <v>27</v>
      </c>
    </row>
    <row r="4362" spans="1:19" x14ac:dyDescent="0.3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 t="str">
        <f t="shared" si="68"/>
        <v>31-60 days</v>
      </c>
      <c r="L4362">
        <v>43</v>
      </c>
      <c r="M4362">
        <v>2</v>
      </c>
      <c r="N4362">
        <v>0</v>
      </c>
      <c r="O4362" t="s">
        <v>54</v>
      </c>
      <c r="P4362" t="s">
        <v>55</v>
      </c>
      <c r="Q4362">
        <v>26.6</v>
      </c>
      <c r="R4362">
        <v>5</v>
      </c>
      <c r="S4362" t="s">
        <v>27</v>
      </c>
    </row>
    <row r="4363" spans="1:19" x14ac:dyDescent="0.3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 t="str">
        <f t="shared" si="68"/>
        <v>31-60 days</v>
      </c>
      <c r="L4363">
        <v>57</v>
      </c>
      <c r="M4363">
        <v>5</v>
      </c>
      <c r="N4363">
        <v>1</v>
      </c>
      <c r="O4363" t="s">
        <v>25</v>
      </c>
      <c r="P4363" t="s">
        <v>35</v>
      </c>
      <c r="Q4363">
        <v>7.7</v>
      </c>
      <c r="R4363">
        <v>27</v>
      </c>
      <c r="S4363" t="s">
        <v>27</v>
      </c>
    </row>
    <row r="4364" spans="1:19" x14ac:dyDescent="0.3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 t="str">
        <f t="shared" si="68"/>
        <v>31-60 days</v>
      </c>
      <c r="L4364">
        <v>57</v>
      </c>
      <c r="M4364">
        <v>5</v>
      </c>
      <c r="N4364">
        <v>1</v>
      </c>
      <c r="O4364" t="s">
        <v>54</v>
      </c>
      <c r="P4364" t="s">
        <v>55</v>
      </c>
      <c r="Q4364">
        <v>5.9</v>
      </c>
      <c r="R4364">
        <v>37</v>
      </c>
      <c r="S4364" t="s">
        <v>36</v>
      </c>
    </row>
    <row r="4365" spans="1:19" x14ac:dyDescent="0.3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 t="str">
        <f t="shared" si="68"/>
        <v>0-7 days</v>
      </c>
      <c r="L4365">
        <v>2</v>
      </c>
      <c r="M4365">
        <v>4</v>
      </c>
      <c r="N4365">
        <v>0</v>
      </c>
      <c r="O4365" t="s">
        <v>25</v>
      </c>
      <c r="P4365" t="s">
        <v>35</v>
      </c>
      <c r="Q4365">
        <v>9.5</v>
      </c>
      <c r="R4365">
        <v>24</v>
      </c>
      <c r="S4365" t="s">
        <v>36</v>
      </c>
    </row>
    <row r="4366" spans="1:19" x14ac:dyDescent="0.3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 t="str">
        <f t="shared" si="68"/>
        <v>15-30 days</v>
      </c>
      <c r="L4366">
        <v>20</v>
      </c>
      <c r="M4366">
        <v>1</v>
      </c>
      <c r="N4366">
        <v>1</v>
      </c>
      <c r="O4366" t="s">
        <v>25</v>
      </c>
      <c r="P4366" t="s">
        <v>35</v>
      </c>
      <c r="Q4366">
        <v>7.5</v>
      </c>
      <c r="R4366">
        <v>21</v>
      </c>
      <c r="S4366" t="s">
        <v>36</v>
      </c>
    </row>
    <row r="4367" spans="1:19" x14ac:dyDescent="0.3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 t="str">
        <f t="shared" si="68"/>
        <v>31-60 days</v>
      </c>
      <c r="L4367">
        <v>46</v>
      </c>
      <c r="M4367">
        <v>5</v>
      </c>
      <c r="N4367">
        <v>0</v>
      </c>
      <c r="O4367" t="s">
        <v>25</v>
      </c>
      <c r="P4367" t="s">
        <v>50</v>
      </c>
      <c r="Q4367">
        <v>18</v>
      </c>
      <c r="R4367">
        <v>27</v>
      </c>
      <c r="S4367" t="s">
        <v>71</v>
      </c>
    </row>
    <row r="4368" spans="1:19" x14ac:dyDescent="0.3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 t="str">
        <f t="shared" si="68"/>
        <v>15-30 days</v>
      </c>
      <c r="L4368">
        <v>20</v>
      </c>
      <c r="M4368">
        <v>5</v>
      </c>
      <c r="N4368">
        <v>1</v>
      </c>
      <c r="O4368" t="s">
        <v>25</v>
      </c>
      <c r="P4368" t="s">
        <v>35</v>
      </c>
      <c r="Q4368">
        <v>13</v>
      </c>
      <c r="R4368">
        <v>35</v>
      </c>
      <c r="S4368" t="s">
        <v>27</v>
      </c>
    </row>
    <row r="4369" spans="1:19" x14ac:dyDescent="0.3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 t="str">
        <f t="shared" si="68"/>
        <v>31-60 days</v>
      </c>
      <c r="L4369">
        <v>44</v>
      </c>
      <c r="M4369">
        <v>1</v>
      </c>
      <c r="N4369">
        <v>1</v>
      </c>
      <c r="O4369" t="s">
        <v>25</v>
      </c>
      <c r="P4369" t="s">
        <v>26</v>
      </c>
      <c r="Q4369">
        <v>3.7</v>
      </c>
      <c r="R4369">
        <v>21</v>
      </c>
      <c r="S4369" t="s">
        <v>27</v>
      </c>
    </row>
    <row r="4370" spans="1:19" x14ac:dyDescent="0.3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 t="str">
        <f t="shared" si="68"/>
        <v>31-60 days</v>
      </c>
      <c r="L4370">
        <v>47</v>
      </c>
      <c r="M4370">
        <v>0</v>
      </c>
      <c r="N4370">
        <v>0</v>
      </c>
      <c r="O4370" t="s">
        <v>54</v>
      </c>
      <c r="P4370" t="s">
        <v>55</v>
      </c>
      <c r="Q4370">
        <v>3.6</v>
      </c>
      <c r="R4370">
        <v>8</v>
      </c>
      <c r="S4370" t="s">
        <v>27</v>
      </c>
    </row>
    <row r="4371" spans="1:19" x14ac:dyDescent="0.3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 t="str">
        <f t="shared" si="68"/>
        <v>31-60 days</v>
      </c>
      <c r="L4371">
        <v>60</v>
      </c>
      <c r="M4371">
        <v>5</v>
      </c>
      <c r="N4371">
        <v>0</v>
      </c>
      <c r="O4371" t="s">
        <v>25</v>
      </c>
      <c r="P4371" t="s">
        <v>26</v>
      </c>
      <c r="Q4371">
        <v>10.5</v>
      </c>
      <c r="R4371">
        <v>26</v>
      </c>
      <c r="S4371" t="s">
        <v>36</v>
      </c>
    </row>
    <row r="4372" spans="1:19" x14ac:dyDescent="0.3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 t="str">
        <f t="shared" si="68"/>
        <v>15-30 days</v>
      </c>
      <c r="L4372">
        <v>20</v>
      </c>
      <c r="M4372">
        <v>3</v>
      </c>
      <c r="N4372">
        <v>0</v>
      </c>
      <c r="O4372" t="s">
        <v>25</v>
      </c>
      <c r="P4372" t="s">
        <v>26</v>
      </c>
      <c r="Q4372">
        <v>17.899999999999999</v>
      </c>
      <c r="R4372">
        <v>28</v>
      </c>
      <c r="S4372" t="s">
        <v>36</v>
      </c>
    </row>
    <row r="4373" spans="1:19" x14ac:dyDescent="0.3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 t="str">
        <f t="shared" si="68"/>
        <v>15-30 days</v>
      </c>
      <c r="L4373">
        <v>21</v>
      </c>
      <c r="M4373">
        <v>3</v>
      </c>
      <c r="N4373">
        <v>1</v>
      </c>
      <c r="O4373" t="s">
        <v>25</v>
      </c>
      <c r="P4373" t="s">
        <v>50</v>
      </c>
      <c r="Q4373">
        <v>5.2</v>
      </c>
      <c r="R4373">
        <v>26</v>
      </c>
      <c r="S4373" t="s">
        <v>36</v>
      </c>
    </row>
    <row r="4374" spans="1:19" x14ac:dyDescent="0.3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 t="str">
        <f t="shared" si="68"/>
        <v>0-7 days</v>
      </c>
      <c r="L4374">
        <v>1</v>
      </c>
      <c r="M4374">
        <v>2</v>
      </c>
      <c r="N4374">
        <v>0</v>
      </c>
      <c r="O4374" t="s">
        <v>25</v>
      </c>
      <c r="P4374" t="s">
        <v>35</v>
      </c>
      <c r="Q4374">
        <v>12.4</v>
      </c>
      <c r="R4374">
        <v>19</v>
      </c>
      <c r="S4374" t="s">
        <v>27</v>
      </c>
    </row>
    <row r="4375" spans="1:19" x14ac:dyDescent="0.3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 t="str">
        <f t="shared" si="68"/>
        <v>15-30 days</v>
      </c>
      <c r="L4375">
        <v>17</v>
      </c>
      <c r="M4375">
        <v>2</v>
      </c>
      <c r="N4375">
        <v>0</v>
      </c>
      <c r="O4375" t="s">
        <v>25</v>
      </c>
      <c r="P4375" t="s">
        <v>35</v>
      </c>
      <c r="Q4375">
        <v>14.5</v>
      </c>
      <c r="R4375">
        <v>28</v>
      </c>
      <c r="S4375" t="s">
        <v>27</v>
      </c>
    </row>
    <row r="4376" spans="1:19" x14ac:dyDescent="0.3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 t="str">
        <f t="shared" si="68"/>
        <v>15-30 days</v>
      </c>
      <c r="L4376">
        <v>17</v>
      </c>
      <c r="M4376">
        <v>3</v>
      </c>
      <c r="N4376">
        <v>0</v>
      </c>
      <c r="O4376" t="s">
        <v>25</v>
      </c>
      <c r="P4376" t="s">
        <v>26</v>
      </c>
      <c r="R4376">
        <v>21</v>
      </c>
      <c r="S4376" t="s">
        <v>27</v>
      </c>
    </row>
    <row r="4377" spans="1:19" x14ac:dyDescent="0.3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 t="str">
        <f t="shared" si="68"/>
        <v>15-30 days</v>
      </c>
      <c r="L4377">
        <v>27</v>
      </c>
      <c r="M4377">
        <v>3</v>
      </c>
      <c r="N4377">
        <v>0</v>
      </c>
      <c r="O4377" t="s">
        <v>54</v>
      </c>
      <c r="P4377" t="s">
        <v>55</v>
      </c>
      <c r="Q4377">
        <v>3.1</v>
      </c>
      <c r="R4377">
        <v>19</v>
      </c>
      <c r="S4377" t="s">
        <v>36</v>
      </c>
    </row>
    <row r="4378" spans="1:19" x14ac:dyDescent="0.3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 t="str">
        <f t="shared" si="68"/>
        <v>15-30 days</v>
      </c>
      <c r="L4378">
        <v>25</v>
      </c>
      <c r="M4378">
        <v>3</v>
      </c>
      <c r="N4378">
        <v>1</v>
      </c>
      <c r="O4378" t="s">
        <v>25</v>
      </c>
      <c r="P4378" t="s">
        <v>26</v>
      </c>
      <c r="Q4378">
        <v>6.8</v>
      </c>
      <c r="R4378">
        <v>21</v>
      </c>
      <c r="S4378" t="s">
        <v>27</v>
      </c>
    </row>
    <row r="4379" spans="1:19" x14ac:dyDescent="0.3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 t="str">
        <f t="shared" si="68"/>
        <v>31-60 days</v>
      </c>
      <c r="L4379">
        <v>52</v>
      </c>
      <c r="M4379">
        <v>2</v>
      </c>
      <c r="N4379">
        <v>1</v>
      </c>
      <c r="O4379" t="s">
        <v>54</v>
      </c>
      <c r="P4379" t="s">
        <v>55</v>
      </c>
      <c r="Q4379">
        <v>6.9</v>
      </c>
      <c r="R4379">
        <v>26</v>
      </c>
      <c r="S4379" t="s">
        <v>27</v>
      </c>
    </row>
    <row r="4380" spans="1:19" x14ac:dyDescent="0.3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 t="str">
        <f t="shared" si="68"/>
        <v>31-60 days</v>
      </c>
      <c r="L4380">
        <v>47</v>
      </c>
      <c r="M4380">
        <v>1</v>
      </c>
      <c r="N4380">
        <v>0</v>
      </c>
      <c r="O4380" t="s">
        <v>54</v>
      </c>
      <c r="P4380" t="s">
        <v>55</v>
      </c>
      <c r="Q4380">
        <v>14.5</v>
      </c>
      <c r="R4380">
        <v>27</v>
      </c>
      <c r="S4380" t="s">
        <v>36</v>
      </c>
    </row>
    <row r="4381" spans="1:19" x14ac:dyDescent="0.3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 t="str">
        <f t="shared" si="68"/>
        <v>31-60 days</v>
      </c>
      <c r="L4381">
        <v>44</v>
      </c>
      <c r="M4381">
        <v>2</v>
      </c>
      <c r="N4381">
        <v>0</v>
      </c>
      <c r="O4381" t="s">
        <v>25</v>
      </c>
      <c r="P4381" t="s">
        <v>35</v>
      </c>
      <c r="Q4381">
        <v>6.4</v>
      </c>
      <c r="R4381">
        <v>18</v>
      </c>
      <c r="S4381" t="s">
        <v>27</v>
      </c>
    </row>
    <row r="4382" spans="1:19" x14ac:dyDescent="0.3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 t="str">
        <f t="shared" si="68"/>
        <v>0-7 days</v>
      </c>
      <c r="L4382">
        <v>0</v>
      </c>
      <c r="M4382">
        <v>2</v>
      </c>
      <c r="N4382">
        <v>1</v>
      </c>
      <c r="O4382" t="s">
        <v>54</v>
      </c>
      <c r="P4382" t="s">
        <v>55</v>
      </c>
      <c r="Q4382">
        <v>3.8</v>
      </c>
      <c r="R4382">
        <v>26</v>
      </c>
      <c r="S4382" t="s">
        <v>36</v>
      </c>
    </row>
    <row r="4383" spans="1:19" x14ac:dyDescent="0.3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 t="str">
        <f t="shared" si="68"/>
        <v>15-30 days</v>
      </c>
      <c r="L4383">
        <v>28</v>
      </c>
      <c r="M4383">
        <v>3</v>
      </c>
      <c r="N4383">
        <v>1</v>
      </c>
      <c r="O4383" t="s">
        <v>54</v>
      </c>
      <c r="P4383" t="s">
        <v>55</v>
      </c>
      <c r="Q4383">
        <v>13.9</v>
      </c>
      <c r="R4383">
        <v>28</v>
      </c>
      <c r="S4383" t="s">
        <v>27</v>
      </c>
    </row>
    <row r="4384" spans="1:19" x14ac:dyDescent="0.3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 t="str">
        <f t="shared" si="68"/>
        <v>31-60 days</v>
      </c>
      <c r="L4384">
        <v>44</v>
      </c>
      <c r="M4384">
        <v>4</v>
      </c>
      <c r="N4384">
        <v>0</v>
      </c>
      <c r="O4384" t="s">
        <v>25</v>
      </c>
      <c r="P4384" t="s">
        <v>26</v>
      </c>
      <c r="Q4384">
        <v>4.7</v>
      </c>
      <c r="R4384">
        <v>30</v>
      </c>
      <c r="S4384" t="s">
        <v>27</v>
      </c>
    </row>
    <row r="4385" spans="1:19" x14ac:dyDescent="0.3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 t="str">
        <f t="shared" si="68"/>
        <v>8-14 days</v>
      </c>
      <c r="L4385">
        <v>14</v>
      </c>
      <c r="M4385">
        <v>3</v>
      </c>
      <c r="N4385">
        <v>1</v>
      </c>
      <c r="O4385" t="s">
        <v>25</v>
      </c>
      <c r="P4385" t="s">
        <v>50</v>
      </c>
      <c r="Q4385">
        <v>2.2999999999999998</v>
      </c>
      <c r="R4385">
        <v>29</v>
      </c>
      <c r="S4385" t="s">
        <v>36</v>
      </c>
    </row>
    <row r="4386" spans="1:19" x14ac:dyDescent="0.3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 t="str">
        <f t="shared" si="68"/>
        <v>15-30 days</v>
      </c>
      <c r="L4386">
        <v>25</v>
      </c>
      <c r="M4386">
        <v>5</v>
      </c>
      <c r="N4386">
        <v>2</v>
      </c>
      <c r="O4386" t="s">
        <v>25</v>
      </c>
      <c r="P4386" t="s">
        <v>50</v>
      </c>
      <c r="Q4386">
        <v>6.7</v>
      </c>
      <c r="R4386">
        <v>38</v>
      </c>
      <c r="S4386" t="s">
        <v>36</v>
      </c>
    </row>
    <row r="4387" spans="1:19" x14ac:dyDescent="0.3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 t="str">
        <f t="shared" si="68"/>
        <v>31-60 days</v>
      </c>
      <c r="L4387">
        <v>44</v>
      </c>
      <c r="M4387">
        <v>2</v>
      </c>
      <c r="N4387">
        <v>0</v>
      </c>
      <c r="O4387" t="s">
        <v>25</v>
      </c>
      <c r="P4387" t="s">
        <v>35</v>
      </c>
      <c r="Q4387">
        <v>2.6</v>
      </c>
      <c r="R4387">
        <v>32</v>
      </c>
      <c r="S4387" t="s">
        <v>36</v>
      </c>
    </row>
    <row r="4388" spans="1:19" x14ac:dyDescent="0.3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 t="str">
        <f t="shared" si="68"/>
        <v>31-60 days</v>
      </c>
      <c r="L4388">
        <v>48</v>
      </c>
      <c r="M4388">
        <v>0</v>
      </c>
      <c r="N4388">
        <v>0</v>
      </c>
      <c r="O4388" t="s">
        <v>25</v>
      </c>
      <c r="P4388" t="s">
        <v>50</v>
      </c>
      <c r="Q4388">
        <v>2</v>
      </c>
      <c r="R4388">
        <v>46</v>
      </c>
      <c r="S4388" t="s">
        <v>27</v>
      </c>
    </row>
    <row r="4389" spans="1:19" x14ac:dyDescent="0.3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 t="str">
        <f t="shared" si="68"/>
        <v>31-60 days</v>
      </c>
      <c r="L4389">
        <v>52</v>
      </c>
      <c r="M4389">
        <v>4</v>
      </c>
      <c r="N4389">
        <v>0</v>
      </c>
      <c r="O4389" t="s">
        <v>25</v>
      </c>
      <c r="P4389" t="s">
        <v>35</v>
      </c>
      <c r="Q4389">
        <v>1.1000000000000001</v>
      </c>
      <c r="R4389">
        <v>35</v>
      </c>
      <c r="S4389" t="s">
        <v>27</v>
      </c>
    </row>
    <row r="4390" spans="1:19" x14ac:dyDescent="0.3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 t="str">
        <f t="shared" si="68"/>
        <v>15-30 days</v>
      </c>
      <c r="L4390">
        <v>26</v>
      </c>
      <c r="M4390">
        <v>1</v>
      </c>
      <c r="N4390">
        <v>0</v>
      </c>
      <c r="O4390" t="s">
        <v>25</v>
      </c>
      <c r="P4390" t="s">
        <v>35</v>
      </c>
      <c r="Q4390">
        <v>11.8</v>
      </c>
      <c r="R4390">
        <v>35</v>
      </c>
      <c r="S4390" t="s">
        <v>36</v>
      </c>
    </row>
    <row r="4391" spans="1:19" x14ac:dyDescent="0.3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 t="str">
        <f t="shared" si="68"/>
        <v>15-30 days</v>
      </c>
      <c r="L4391">
        <v>24</v>
      </c>
      <c r="M4391">
        <v>2</v>
      </c>
      <c r="N4391">
        <v>0</v>
      </c>
      <c r="O4391" t="s">
        <v>25</v>
      </c>
      <c r="P4391" t="s">
        <v>35</v>
      </c>
      <c r="Q4391">
        <v>9.1</v>
      </c>
      <c r="R4391">
        <v>11</v>
      </c>
      <c r="S4391" t="s">
        <v>27</v>
      </c>
    </row>
    <row r="4392" spans="1:19" x14ac:dyDescent="0.3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 t="str">
        <f t="shared" si="68"/>
        <v>15-30 days</v>
      </c>
      <c r="L4392">
        <v>23</v>
      </c>
      <c r="M4392">
        <v>3</v>
      </c>
      <c r="N4392">
        <v>1</v>
      </c>
      <c r="O4392" t="s">
        <v>25</v>
      </c>
      <c r="P4392" t="s">
        <v>35</v>
      </c>
      <c r="Q4392">
        <v>29.6</v>
      </c>
      <c r="R4392">
        <v>32</v>
      </c>
      <c r="S4392" t="s">
        <v>36</v>
      </c>
    </row>
    <row r="4393" spans="1:19" x14ac:dyDescent="0.3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 t="str">
        <f t="shared" si="68"/>
        <v>31-60 days</v>
      </c>
      <c r="L4393">
        <v>40</v>
      </c>
      <c r="M4393">
        <v>1</v>
      </c>
      <c r="N4393">
        <v>1</v>
      </c>
      <c r="O4393" t="s">
        <v>54</v>
      </c>
      <c r="P4393" t="s">
        <v>55</v>
      </c>
      <c r="Q4393">
        <v>5.9</v>
      </c>
      <c r="R4393">
        <v>33</v>
      </c>
      <c r="S4393" t="s">
        <v>27</v>
      </c>
    </row>
    <row r="4394" spans="1:19" x14ac:dyDescent="0.3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 t="str">
        <f t="shared" si="68"/>
        <v>15-30 days</v>
      </c>
      <c r="L4394">
        <v>25</v>
      </c>
      <c r="M4394">
        <v>3</v>
      </c>
      <c r="N4394">
        <v>1</v>
      </c>
      <c r="O4394" t="s">
        <v>25</v>
      </c>
      <c r="P4394" t="s">
        <v>35</v>
      </c>
      <c r="Q4394">
        <v>21.3</v>
      </c>
      <c r="R4394">
        <v>24</v>
      </c>
      <c r="S4394" t="s">
        <v>27</v>
      </c>
    </row>
    <row r="4395" spans="1:19" x14ac:dyDescent="0.3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 t="str">
        <f t="shared" si="68"/>
        <v>15-30 days</v>
      </c>
      <c r="L4395">
        <v>24</v>
      </c>
      <c r="M4395">
        <v>1</v>
      </c>
      <c r="N4395">
        <v>1</v>
      </c>
      <c r="O4395" t="s">
        <v>25</v>
      </c>
      <c r="P4395" t="s">
        <v>26</v>
      </c>
      <c r="Q4395">
        <v>12.3</v>
      </c>
      <c r="R4395">
        <v>2</v>
      </c>
      <c r="S4395" t="s">
        <v>36</v>
      </c>
    </row>
    <row r="4396" spans="1:19" x14ac:dyDescent="0.3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 t="str">
        <f t="shared" si="68"/>
        <v>8-14 days</v>
      </c>
      <c r="L4396">
        <v>10</v>
      </c>
      <c r="M4396">
        <v>5</v>
      </c>
      <c r="N4396">
        <v>2</v>
      </c>
      <c r="O4396" t="s">
        <v>25</v>
      </c>
      <c r="P4396" t="s">
        <v>35</v>
      </c>
      <c r="Q4396">
        <v>6.2</v>
      </c>
      <c r="R4396">
        <v>2</v>
      </c>
      <c r="S4396" t="s">
        <v>36</v>
      </c>
    </row>
    <row r="4397" spans="1:19" x14ac:dyDescent="0.3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 t="str">
        <f t="shared" si="68"/>
        <v>15-30 days</v>
      </c>
      <c r="L4397">
        <v>29</v>
      </c>
      <c r="M4397">
        <v>4</v>
      </c>
      <c r="N4397">
        <v>1</v>
      </c>
      <c r="O4397" t="s">
        <v>25</v>
      </c>
      <c r="P4397" t="s">
        <v>35</v>
      </c>
      <c r="Q4397">
        <v>4.0999999999999996</v>
      </c>
      <c r="R4397">
        <v>21</v>
      </c>
      <c r="S4397" t="s">
        <v>36</v>
      </c>
    </row>
    <row r="4398" spans="1:19" x14ac:dyDescent="0.3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 t="str">
        <f t="shared" si="68"/>
        <v>8-14 days</v>
      </c>
      <c r="L4398">
        <v>14</v>
      </c>
      <c r="M4398">
        <v>1</v>
      </c>
      <c r="N4398">
        <v>1</v>
      </c>
      <c r="O4398" t="s">
        <v>25</v>
      </c>
      <c r="P4398" t="s">
        <v>50</v>
      </c>
      <c r="Q4398">
        <v>10.5</v>
      </c>
      <c r="R4398">
        <v>18</v>
      </c>
      <c r="S4398" t="s">
        <v>36</v>
      </c>
    </row>
    <row r="4399" spans="1:19" x14ac:dyDescent="0.3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 t="str">
        <f t="shared" si="68"/>
        <v>31-60 days</v>
      </c>
      <c r="L4399">
        <v>32</v>
      </c>
      <c r="M4399">
        <v>4</v>
      </c>
      <c r="N4399">
        <v>2</v>
      </c>
      <c r="O4399" t="s">
        <v>25</v>
      </c>
      <c r="P4399" t="s">
        <v>26</v>
      </c>
      <c r="Q4399">
        <v>4.5</v>
      </c>
      <c r="R4399">
        <v>8</v>
      </c>
      <c r="S4399" t="s">
        <v>36</v>
      </c>
    </row>
    <row r="4400" spans="1:19" x14ac:dyDescent="0.3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 t="str">
        <f t="shared" si="68"/>
        <v>31-60 days</v>
      </c>
      <c r="L4400">
        <v>54</v>
      </c>
      <c r="M4400">
        <v>6</v>
      </c>
      <c r="N4400">
        <v>0</v>
      </c>
      <c r="O4400" t="s">
        <v>25</v>
      </c>
      <c r="P4400" t="s">
        <v>35</v>
      </c>
      <c r="Q4400">
        <v>10.4</v>
      </c>
      <c r="R4400">
        <v>28</v>
      </c>
      <c r="S4400" t="s">
        <v>36</v>
      </c>
    </row>
    <row r="4401" spans="1:19" x14ac:dyDescent="0.3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 t="str">
        <f t="shared" si="68"/>
        <v>31-60 days</v>
      </c>
      <c r="L4401">
        <v>47</v>
      </c>
      <c r="M4401">
        <v>4</v>
      </c>
      <c r="N4401">
        <v>2</v>
      </c>
      <c r="O4401" t="s">
        <v>25</v>
      </c>
      <c r="P4401" t="s">
        <v>50</v>
      </c>
      <c r="Q4401">
        <v>4.4000000000000004</v>
      </c>
      <c r="R4401">
        <v>12</v>
      </c>
      <c r="S4401" t="s">
        <v>36</v>
      </c>
    </row>
    <row r="4402" spans="1:19" x14ac:dyDescent="0.3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 t="str">
        <f t="shared" si="68"/>
        <v>15-30 days</v>
      </c>
      <c r="L4402">
        <v>29</v>
      </c>
      <c r="M4402">
        <v>6</v>
      </c>
      <c r="N4402">
        <v>3</v>
      </c>
      <c r="O4402" t="s">
        <v>25</v>
      </c>
      <c r="P4402" t="s">
        <v>26</v>
      </c>
      <c r="Q4402">
        <v>3.5</v>
      </c>
      <c r="R4402">
        <v>6</v>
      </c>
      <c r="S4402" t="s">
        <v>27</v>
      </c>
    </row>
    <row r="4403" spans="1:19" x14ac:dyDescent="0.3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 t="str">
        <f t="shared" si="68"/>
        <v>31-60 days</v>
      </c>
      <c r="L4403">
        <v>59</v>
      </c>
      <c r="M4403">
        <v>3</v>
      </c>
      <c r="N4403">
        <v>0</v>
      </c>
      <c r="O4403" t="s">
        <v>25</v>
      </c>
      <c r="P4403" t="s">
        <v>26</v>
      </c>
      <c r="Q4403">
        <v>1.9</v>
      </c>
      <c r="R4403">
        <v>47</v>
      </c>
      <c r="S4403" t="s">
        <v>27</v>
      </c>
    </row>
    <row r="4404" spans="1:19" x14ac:dyDescent="0.3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 t="str">
        <f t="shared" si="68"/>
        <v>31-60 days</v>
      </c>
      <c r="L4404">
        <v>59</v>
      </c>
      <c r="M4404">
        <v>3</v>
      </c>
      <c r="N4404">
        <v>1</v>
      </c>
      <c r="O4404" t="s">
        <v>25</v>
      </c>
      <c r="P4404" t="s">
        <v>26</v>
      </c>
      <c r="Q4404">
        <v>9.9</v>
      </c>
      <c r="R4404">
        <v>30</v>
      </c>
      <c r="S4404" t="s">
        <v>27</v>
      </c>
    </row>
    <row r="4405" spans="1:19" x14ac:dyDescent="0.3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 t="str">
        <f t="shared" si="68"/>
        <v>15-30 days</v>
      </c>
      <c r="L4405">
        <v>27</v>
      </c>
      <c r="M4405">
        <v>1</v>
      </c>
      <c r="N4405">
        <v>0</v>
      </c>
      <c r="O4405" t="s">
        <v>25</v>
      </c>
      <c r="P4405" t="s">
        <v>35</v>
      </c>
      <c r="Q4405">
        <v>8.5</v>
      </c>
      <c r="R4405">
        <v>19</v>
      </c>
      <c r="S4405" t="s">
        <v>71</v>
      </c>
    </row>
    <row r="4406" spans="1:19" x14ac:dyDescent="0.3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 t="str">
        <f t="shared" si="68"/>
        <v>31-60 days</v>
      </c>
      <c r="L4406">
        <v>46</v>
      </c>
      <c r="M4406">
        <v>5</v>
      </c>
      <c r="N4406">
        <v>1</v>
      </c>
      <c r="O4406" t="s">
        <v>25</v>
      </c>
      <c r="P4406" t="s">
        <v>26</v>
      </c>
      <c r="Q4406">
        <v>3.4</v>
      </c>
      <c r="R4406">
        <v>8</v>
      </c>
      <c r="S4406" t="s">
        <v>36</v>
      </c>
    </row>
    <row r="4407" spans="1:19" x14ac:dyDescent="0.3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 t="str">
        <f t="shared" si="68"/>
        <v>15-30 days</v>
      </c>
      <c r="L4407">
        <v>20</v>
      </c>
      <c r="M4407">
        <v>3</v>
      </c>
      <c r="N4407">
        <v>1</v>
      </c>
      <c r="O4407" t="s">
        <v>54</v>
      </c>
      <c r="P4407" t="s">
        <v>55</v>
      </c>
      <c r="Q4407">
        <v>7.9</v>
      </c>
      <c r="R4407">
        <v>14</v>
      </c>
      <c r="S4407" t="s">
        <v>27</v>
      </c>
    </row>
    <row r="4408" spans="1:19" x14ac:dyDescent="0.3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 t="str">
        <f t="shared" si="68"/>
        <v>31-60 days</v>
      </c>
      <c r="L4408">
        <v>53</v>
      </c>
      <c r="M4408">
        <v>1</v>
      </c>
      <c r="N4408">
        <v>0</v>
      </c>
      <c r="O4408" t="s">
        <v>25</v>
      </c>
      <c r="P4408" t="s">
        <v>35</v>
      </c>
      <c r="Q4408">
        <v>2.6</v>
      </c>
      <c r="R4408">
        <v>17</v>
      </c>
      <c r="S4408" t="s">
        <v>71</v>
      </c>
    </row>
    <row r="4409" spans="1:19" x14ac:dyDescent="0.3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 t="str">
        <f t="shared" si="68"/>
        <v>15-30 days</v>
      </c>
      <c r="L4409">
        <v>22</v>
      </c>
      <c r="M4409">
        <v>3</v>
      </c>
      <c r="N4409">
        <v>1</v>
      </c>
      <c r="O4409" t="s">
        <v>54</v>
      </c>
      <c r="P4409" t="s">
        <v>55</v>
      </c>
      <c r="Q4409">
        <v>8.9</v>
      </c>
      <c r="R4409">
        <v>18</v>
      </c>
      <c r="S4409" t="s">
        <v>27</v>
      </c>
    </row>
    <row r="4410" spans="1:19" x14ac:dyDescent="0.3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 t="str">
        <f t="shared" si="68"/>
        <v>15-30 days</v>
      </c>
      <c r="L4410">
        <v>15</v>
      </c>
      <c r="M4410">
        <v>2</v>
      </c>
      <c r="N4410">
        <v>0</v>
      </c>
      <c r="O4410" t="s">
        <v>54</v>
      </c>
      <c r="P4410" t="s">
        <v>55</v>
      </c>
      <c r="Q4410">
        <v>8.1</v>
      </c>
      <c r="R4410">
        <v>20</v>
      </c>
      <c r="S4410" t="s">
        <v>36</v>
      </c>
    </row>
    <row r="4411" spans="1:19" x14ac:dyDescent="0.3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 t="str">
        <f t="shared" si="68"/>
        <v>8-14 days</v>
      </c>
      <c r="L4411">
        <v>8</v>
      </c>
      <c r="M4411">
        <v>7</v>
      </c>
      <c r="N4411">
        <v>0</v>
      </c>
      <c r="O4411" t="s">
        <v>25</v>
      </c>
      <c r="P4411" t="s">
        <v>35</v>
      </c>
      <c r="Q4411">
        <v>13.5</v>
      </c>
      <c r="R4411">
        <v>11</v>
      </c>
      <c r="S4411" t="s">
        <v>36</v>
      </c>
    </row>
    <row r="4412" spans="1:19" x14ac:dyDescent="0.3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 t="str">
        <f t="shared" si="68"/>
        <v>31-60 days</v>
      </c>
      <c r="L4412">
        <v>51</v>
      </c>
      <c r="M4412">
        <v>3</v>
      </c>
      <c r="N4412">
        <v>1</v>
      </c>
      <c r="O4412" t="s">
        <v>54</v>
      </c>
      <c r="P4412" t="s">
        <v>55</v>
      </c>
      <c r="Q4412">
        <v>2.5</v>
      </c>
      <c r="R4412">
        <v>14</v>
      </c>
      <c r="S4412" t="s">
        <v>71</v>
      </c>
    </row>
    <row r="4413" spans="1:19" x14ac:dyDescent="0.3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 t="str">
        <f t="shared" si="68"/>
        <v>15-30 days</v>
      </c>
      <c r="L4413">
        <v>18</v>
      </c>
      <c r="M4413">
        <v>1</v>
      </c>
      <c r="N4413">
        <v>1</v>
      </c>
      <c r="O4413" t="s">
        <v>25</v>
      </c>
      <c r="P4413" t="s">
        <v>35</v>
      </c>
      <c r="Q4413">
        <v>1</v>
      </c>
      <c r="R4413">
        <v>5</v>
      </c>
      <c r="S4413" t="s">
        <v>27</v>
      </c>
    </row>
    <row r="4414" spans="1:19" x14ac:dyDescent="0.3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 t="str">
        <f t="shared" si="68"/>
        <v>31-60 days</v>
      </c>
      <c r="L4414">
        <v>49</v>
      </c>
      <c r="M4414">
        <v>3</v>
      </c>
      <c r="N4414">
        <v>0</v>
      </c>
      <c r="O4414" t="s">
        <v>54</v>
      </c>
      <c r="P4414" t="s">
        <v>55</v>
      </c>
      <c r="Q4414">
        <v>20.100000000000001</v>
      </c>
      <c r="R4414">
        <v>2</v>
      </c>
      <c r="S4414" t="s">
        <v>27</v>
      </c>
    </row>
    <row r="4415" spans="1:19" x14ac:dyDescent="0.3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 t="str">
        <f t="shared" si="68"/>
        <v>0-7 days</v>
      </c>
      <c r="L4415">
        <v>5</v>
      </c>
      <c r="M4415">
        <v>5</v>
      </c>
      <c r="N4415">
        <v>1</v>
      </c>
      <c r="O4415" t="s">
        <v>54</v>
      </c>
      <c r="P4415" t="s">
        <v>55</v>
      </c>
      <c r="R4415">
        <v>7</v>
      </c>
      <c r="S4415" t="s">
        <v>27</v>
      </c>
    </row>
    <row r="4416" spans="1:19" x14ac:dyDescent="0.3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 t="str">
        <f t="shared" si="68"/>
        <v>15-30 days</v>
      </c>
      <c r="L4416">
        <v>30</v>
      </c>
      <c r="M4416">
        <v>2</v>
      </c>
      <c r="N4416">
        <v>0</v>
      </c>
      <c r="O4416" t="s">
        <v>25</v>
      </c>
      <c r="P4416" t="s">
        <v>35</v>
      </c>
      <c r="Q4416">
        <v>5.2</v>
      </c>
      <c r="R4416">
        <v>17</v>
      </c>
      <c r="S4416" t="s">
        <v>36</v>
      </c>
    </row>
    <row r="4417" spans="1:19" x14ac:dyDescent="0.3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 t="str">
        <f t="shared" si="68"/>
        <v>15-30 days</v>
      </c>
      <c r="L4417">
        <v>26</v>
      </c>
      <c r="M4417">
        <v>2</v>
      </c>
      <c r="N4417">
        <v>0</v>
      </c>
      <c r="O4417" t="s">
        <v>25</v>
      </c>
      <c r="P4417" t="s">
        <v>35</v>
      </c>
      <c r="Q4417">
        <v>19.100000000000001</v>
      </c>
      <c r="R4417">
        <v>21</v>
      </c>
      <c r="S4417" t="s">
        <v>27</v>
      </c>
    </row>
    <row r="4418" spans="1:19" x14ac:dyDescent="0.3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 t="str">
        <f t="shared" si="68"/>
        <v>15-30 days</v>
      </c>
      <c r="L4418">
        <v>26</v>
      </c>
      <c r="M4418">
        <v>4</v>
      </c>
      <c r="N4418">
        <v>1</v>
      </c>
      <c r="O4418" t="s">
        <v>25</v>
      </c>
      <c r="P4418" t="s">
        <v>35</v>
      </c>
      <c r="Q4418">
        <v>29.2</v>
      </c>
      <c r="R4418">
        <v>29</v>
      </c>
      <c r="S4418" t="s">
        <v>27</v>
      </c>
    </row>
    <row r="4419" spans="1:19" x14ac:dyDescent="0.3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 t="str">
        <f t="shared" ref="K4419:K4482" si="69">IF(L4419&lt;=7,"0-7 days",IF(L4419&lt;=14,"8-14 days",IF(L4419&lt;=30,"15-30 days","31-60 days")))</f>
        <v>8-14 days</v>
      </c>
      <c r="L4419">
        <v>10</v>
      </c>
      <c r="M4419">
        <v>1</v>
      </c>
      <c r="N4419">
        <v>0</v>
      </c>
      <c r="O4419" t="s">
        <v>25</v>
      </c>
      <c r="P4419" t="s">
        <v>26</v>
      </c>
      <c r="Q4419">
        <v>11.6</v>
      </c>
      <c r="R4419">
        <v>29</v>
      </c>
      <c r="S4419" t="s">
        <v>27</v>
      </c>
    </row>
    <row r="4420" spans="1:19" x14ac:dyDescent="0.3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 t="str">
        <f t="shared" si="69"/>
        <v>0-7 days</v>
      </c>
      <c r="L4420">
        <v>4</v>
      </c>
      <c r="M4420">
        <v>1</v>
      </c>
      <c r="N4420">
        <v>0</v>
      </c>
      <c r="O4420" t="s">
        <v>25</v>
      </c>
      <c r="P4420" t="s">
        <v>35</v>
      </c>
      <c r="Q4420">
        <v>7.9</v>
      </c>
      <c r="R4420">
        <v>31</v>
      </c>
      <c r="S4420" t="s">
        <v>36</v>
      </c>
    </row>
    <row r="4421" spans="1:19" x14ac:dyDescent="0.3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 t="str">
        <f t="shared" si="69"/>
        <v>15-30 days</v>
      </c>
      <c r="L4421">
        <v>21</v>
      </c>
      <c r="M4421">
        <v>2</v>
      </c>
      <c r="N4421">
        <v>0</v>
      </c>
      <c r="O4421" t="s">
        <v>25</v>
      </c>
      <c r="P4421" t="s">
        <v>26</v>
      </c>
      <c r="Q4421">
        <v>3.1</v>
      </c>
      <c r="R4421">
        <v>21</v>
      </c>
      <c r="S4421" t="s">
        <v>27</v>
      </c>
    </row>
    <row r="4422" spans="1:19" x14ac:dyDescent="0.3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 t="str">
        <f t="shared" si="69"/>
        <v>15-30 days</v>
      </c>
      <c r="L4422">
        <v>28</v>
      </c>
      <c r="M4422">
        <v>2</v>
      </c>
      <c r="N4422">
        <v>1</v>
      </c>
      <c r="O4422" t="s">
        <v>25</v>
      </c>
      <c r="P4422" t="s">
        <v>35</v>
      </c>
      <c r="Q4422">
        <v>6.5</v>
      </c>
      <c r="R4422">
        <v>31</v>
      </c>
      <c r="S4422" t="s">
        <v>27</v>
      </c>
    </row>
    <row r="4423" spans="1:19" x14ac:dyDescent="0.3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 t="str">
        <f t="shared" si="69"/>
        <v>31-60 days</v>
      </c>
      <c r="L4423">
        <v>48</v>
      </c>
      <c r="M4423">
        <v>4</v>
      </c>
      <c r="N4423">
        <v>0</v>
      </c>
      <c r="O4423" t="s">
        <v>25</v>
      </c>
      <c r="P4423" t="s">
        <v>50</v>
      </c>
      <c r="Q4423">
        <v>3.1</v>
      </c>
      <c r="R4423">
        <v>2</v>
      </c>
      <c r="S4423" t="s">
        <v>27</v>
      </c>
    </row>
    <row r="4424" spans="1:19" x14ac:dyDescent="0.3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 t="str">
        <f t="shared" si="69"/>
        <v>15-30 days</v>
      </c>
      <c r="L4424">
        <v>28</v>
      </c>
      <c r="M4424">
        <v>2</v>
      </c>
      <c r="N4424">
        <v>1</v>
      </c>
      <c r="O4424" t="s">
        <v>54</v>
      </c>
      <c r="P4424" t="s">
        <v>55</v>
      </c>
      <c r="Q4424">
        <v>11.5</v>
      </c>
      <c r="R4424">
        <v>31</v>
      </c>
      <c r="S4424" t="s">
        <v>36</v>
      </c>
    </row>
    <row r="4425" spans="1:19" x14ac:dyDescent="0.3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 t="str">
        <f t="shared" si="69"/>
        <v>15-30 days</v>
      </c>
      <c r="L4425">
        <v>15</v>
      </c>
      <c r="M4425">
        <v>4</v>
      </c>
      <c r="N4425">
        <v>0</v>
      </c>
      <c r="O4425" t="s">
        <v>25</v>
      </c>
      <c r="P4425" t="s">
        <v>26</v>
      </c>
      <c r="Q4425">
        <v>34.700000000000003</v>
      </c>
      <c r="R4425">
        <v>24</v>
      </c>
      <c r="S4425" t="s">
        <v>27</v>
      </c>
    </row>
    <row r="4426" spans="1:19" x14ac:dyDescent="0.3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 t="str">
        <f t="shared" si="69"/>
        <v>15-30 days</v>
      </c>
      <c r="L4426">
        <v>16</v>
      </c>
      <c r="M4426">
        <v>3</v>
      </c>
      <c r="N4426">
        <v>0</v>
      </c>
      <c r="O4426" t="s">
        <v>25</v>
      </c>
      <c r="P4426" t="s">
        <v>50</v>
      </c>
      <c r="Q4426">
        <v>12.3</v>
      </c>
      <c r="R4426">
        <v>35</v>
      </c>
      <c r="S4426" t="s">
        <v>27</v>
      </c>
    </row>
    <row r="4427" spans="1:19" x14ac:dyDescent="0.3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 t="str">
        <f t="shared" si="69"/>
        <v>31-60 days</v>
      </c>
      <c r="L4427">
        <v>37</v>
      </c>
      <c r="M4427">
        <v>1</v>
      </c>
      <c r="N4427">
        <v>0</v>
      </c>
      <c r="O4427" t="s">
        <v>54</v>
      </c>
      <c r="P4427" t="s">
        <v>55</v>
      </c>
      <c r="Q4427">
        <v>19.2</v>
      </c>
      <c r="R4427">
        <v>2</v>
      </c>
      <c r="S4427" t="s">
        <v>36</v>
      </c>
    </row>
    <row r="4428" spans="1:19" x14ac:dyDescent="0.3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 t="str">
        <f t="shared" si="69"/>
        <v>15-30 days</v>
      </c>
      <c r="L4428">
        <v>26</v>
      </c>
      <c r="M4428">
        <v>4</v>
      </c>
      <c r="N4428">
        <v>1</v>
      </c>
      <c r="O4428" t="s">
        <v>54</v>
      </c>
      <c r="P4428" t="s">
        <v>55</v>
      </c>
      <c r="Q4428">
        <v>7.7</v>
      </c>
      <c r="R4428">
        <v>34</v>
      </c>
      <c r="S4428" t="s">
        <v>27</v>
      </c>
    </row>
    <row r="4429" spans="1:19" x14ac:dyDescent="0.3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 t="str">
        <f t="shared" si="69"/>
        <v>31-60 days</v>
      </c>
      <c r="L4429">
        <v>54</v>
      </c>
      <c r="M4429">
        <v>7</v>
      </c>
      <c r="N4429">
        <v>3</v>
      </c>
      <c r="O4429" t="s">
        <v>25</v>
      </c>
      <c r="P4429" t="s">
        <v>50</v>
      </c>
      <c r="Q4429">
        <v>11.2</v>
      </c>
      <c r="R4429">
        <v>6</v>
      </c>
      <c r="S4429" t="s">
        <v>27</v>
      </c>
    </row>
    <row r="4430" spans="1:19" x14ac:dyDescent="0.3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 t="str">
        <f t="shared" si="69"/>
        <v>15-30 days</v>
      </c>
      <c r="L4430">
        <v>26</v>
      </c>
      <c r="M4430">
        <v>7</v>
      </c>
      <c r="N4430">
        <v>1</v>
      </c>
      <c r="O4430" t="s">
        <v>25</v>
      </c>
      <c r="P4430" t="s">
        <v>35</v>
      </c>
      <c r="Q4430">
        <v>7</v>
      </c>
      <c r="R4430">
        <v>36</v>
      </c>
      <c r="S4430" t="s">
        <v>36</v>
      </c>
    </row>
    <row r="4431" spans="1:19" x14ac:dyDescent="0.3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 t="str">
        <f t="shared" si="69"/>
        <v>31-60 days</v>
      </c>
      <c r="L4431">
        <v>34</v>
      </c>
      <c r="M4431">
        <v>1</v>
      </c>
      <c r="N4431">
        <v>0</v>
      </c>
      <c r="O4431" t="s">
        <v>25</v>
      </c>
      <c r="P4431" t="s">
        <v>26</v>
      </c>
      <c r="Q4431">
        <v>2.4</v>
      </c>
      <c r="S4431" t="s">
        <v>27</v>
      </c>
    </row>
    <row r="4432" spans="1:19" x14ac:dyDescent="0.3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 t="str">
        <f t="shared" si="69"/>
        <v>0-7 days</v>
      </c>
      <c r="L4432">
        <v>3</v>
      </c>
      <c r="M4432">
        <v>3</v>
      </c>
      <c r="N4432">
        <v>1</v>
      </c>
      <c r="O4432" t="s">
        <v>25</v>
      </c>
      <c r="P4432" t="s">
        <v>35</v>
      </c>
      <c r="Q4432">
        <v>1.4</v>
      </c>
      <c r="R4432">
        <v>29</v>
      </c>
      <c r="S4432" t="s">
        <v>27</v>
      </c>
    </row>
    <row r="4433" spans="1:19" x14ac:dyDescent="0.3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 t="str">
        <f t="shared" si="69"/>
        <v>8-14 days</v>
      </c>
      <c r="L4433">
        <v>11</v>
      </c>
      <c r="M4433">
        <v>1</v>
      </c>
      <c r="N4433">
        <v>0</v>
      </c>
      <c r="O4433" t="s">
        <v>25</v>
      </c>
      <c r="P4433" t="s">
        <v>50</v>
      </c>
      <c r="Q4433">
        <v>32.700000000000003</v>
      </c>
      <c r="R4433">
        <v>23</v>
      </c>
      <c r="S4433" t="s">
        <v>27</v>
      </c>
    </row>
    <row r="4434" spans="1:19" x14ac:dyDescent="0.3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 t="str">
        <f t="shared" si="69"/>
        <v>31-60 days</v>
      </c>
      <c r="L4434">
        <v>51</v>
      </c>
      <c r="M4434">
        <v>6</v>
      </c>
      <c r="N4434">
        <v>1</v>
      </c>
      <c r="O4434" t="s">
        <v>54</v>
      </c>
      <c r="P4434" t="s">
        <v>55</v>
      </c>
      <c r="Q4434">
        <v>5.6</v>
      </c>
      <c r="R4434">
        <v>35</v>
      </c>
      <c r="S4434" t="s">
        <v>27</v>
      </c>
    </row>
    <row r="4435" spans="1:19" x14ac:dyDescent="0.3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 t="str">
        <f t="shared" si="69"/>
        <v>15-30 days</v>
      </c>
      <c r="L4435">
        <v>21</v>
      </c>
      <c r="M4435">
        <v>7</v>
      </c>
      <c r="N4435">
        <v>0</v>
      </c>
      <c r="O4435" t="s">
        <v>25</v>
      </c>
      <c r="P4435" t="s">
        <v>35</v>
      </c>
      <c r="Q4435">
        <v>7.8</v>
      </c>
      <c r="R4435">
        <v>26</v>
      </c>
      <c r="S4435" t="s">
        <v>36</v>
      </c>
    </row>
    <row r="4436" spans="1:19" x14ac:dyDescent="0.3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 t="str">
        <f t="shared" si="69"/>
        <v>15-30 days</v>
      </c>
      <c r="L4436">
        <v>25</v>
      </c>
      <c r="M4436">
        <v>4</v>
      </c>
      <c r="N4436">
        <v>1</v>
      </c>
      <c r="O4436" t="s">
        <v>25</v>
      </c>
      <c r="P4436" t="s">
        <v>35</v>
      </c>
      <c r="Q4436">
        <v>1.4</v>
      </c>
      <c r="R4436">
        <v>41</v>
      </c>
      <c r="S4436" t="s">
        <v>36</v>
      </c>
    </row>
    <row r="4437" spans="1:19" x14ac:dyDescent="0.3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 t="str">
        <f t="shared" si="69"/>
        <v>31-60 days</v>
      </c>
      <c r="L4437">
        <v>36</v>
      </c>
      <c r="M4437">
        <v>3</v>
      </c>
      <c r="N4437">
        <v>1</v>
      </c>
      <c r="O4437" t="s">
        <v>25</v>
      </c>
      <c r="P4437" t="s">
        <v>35</v>
      </c>
      <c r="Q4437">
        <v>7</v>
      </c>
      <c r="R4437">
        <v>16</v>
      </c>
      <c r="S4437" t="s">
        <v>27</v>
      </c>
    </row>
    <row r="4438" spans="1:19" x14ac:dyDescent="0.3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 t="str">
        <f t="shared" si="69"/>
        <v>0-7 days</v>
      </c>
      <c r="L4438">
        <v>3</v>
      </c>
      <c r="M4438">
        <v>5</v>
      </c>
      <c r="N4438">
        <v>0</v>
      </c>
      <c r="O4438" t="s">
        <v>25</v>
      </c>
      <c r="P4438" t="s">
        <v>35</v>
      </c>
      <c r="Q4438">
        <v>14</v>
      </c>
      <c r="R4438">
        <v>13</v>
      </c>
      <c r="S4438" t="s">
        <v>36</v>
      </c>
    </row>
    <row r="4439" spans="1:19" x14ac:dyDescent="0.3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 t="str">
        <f t="shared" si="69"/>
        <v>15-30 days</v>
      </c>
      <c r="L4439">
        <v>30</v>
      </c>
      <c r="M4439">
        <v>2</v>
      </c>
      <c r="N4439">
        <v>0</v>
      </c>
      <c r="O4439" t="s">
        <v>25</v>
      </c>
      <c r="P4439" t="s">
        <v>50</v>
      </c>
      <c r="Q4439">
        <v>13.2</v>
      </c>
      <c r="R4439">
        <v>17</v>
      </c>
      <c r="S4439" t="s">
        <v>27</v>
      </c>
    </row>
    <row r="4440" spans="1:19" x14ac:dyDescent="0.3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 t="str">
        <f t="shared" si="69"/>
        <v>15-30 days</v>
      </c>
      <c r="L4440">
        <v>21</v>
      </c>
      <c r="M4440">
        <v>3</v>
      </c>
      <c r="N4440">
        <v>1</v>
      </c>
      <c r="O4440" t="s">
        <v>54</v>
      </c>
      <c r="P4440" t="s">
        <v>55</v>
      </c>
      <c r="Q4440">
        <v>9</v>
      </c>
      <c r="R4440">
        <v>31</v>
      </c>
      <c r="S4440" t="s">
        <v>27</v>
      </c>
    </row>
    <row r="4441" spans="1:19" x14ac:dyDescent="0.3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 t="str">
        <f t="shared" si="69"/>
        <v>8-14 days</v>
      </c>
      <c r="L4441">
        <v>9</v>
      </c>
      <c r="M4441">
        <v>1</v>
      </c>
      <c r="N4441">
        <v>0</v>
      </c>
      <c r="O4441" t="s">
        <v>54</v>
      </c>
      <c r="P4441" t="s">
        <v>55</v>
      </c>
      <c r="Q4441">
        <v>14.6</v>
      </c>
      <c r="R4441">
        <v>31</v>
      </c>
      <c r="S4441" t="s">
        <v>27</v>
      </c>
    </row>
    <row r="4442" spans="1:19" x14ac:dyDescent="0.3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 t="str">
        <f t="shared" si="69"/>
        <v>15-30 days</v>
      </c>
      <c r="L4442">
        <v>25</v>
      </c>
      <c r="M4442">
        <v>2</v>
      </c>
      <c r="N4442">
        <v>0</v>
      </c>
      <c r="O4442" t="s">
        <v>25</v>
      </c>
      <c r="P4442" t="s">
        <v>35</v>
      </c>
      <c r="Q4442">
        <v>5.8</v>
      </c>
      <c r="R4442">
        <v>10</v>
      </c>
      <c r="S4442" t="s">
        <v>36</v>
      </c>
    </row>
    <row r="4443" spans="1:19" x14ac:dyDescent="0.3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 t="str">
        <f t="shared" si="69"/>
        <v>15-30 days</v>
      </c>
      <c r="L4443">
        <v>27</v>
      </c>
      <c r="M4443">
        <v>4</v>
      </c>
      <c r="N4443">
        <v>1</v>
      </c>
      <c r="O4443" t="s">
        <v>54</v>
      </c>
      <c r="P4443" t="s">
        <v>55</v>
      </c>
      <c r="Q4443">
        <v>19.600000000000001</v>
      </c>
      <c r="R4443">
        <v>15</v>
      </c>
      <c r="S4443" t="s">
        <v>27</v>
      </c>
    </row>
    <row r="4444" spans="1:19" x14ac:dyDescent="0.3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 t="str">
        <f t="shared" si="69"/>
        <v>8-14 days</v>
      </c>
      <c r="L4444">
        <v>11</v>
      </c>
      <c r="M4444">
        <v>1</v>
      </c>
      <c r="N4444">
        <v>0</v>
      </c>
      <c r="O4444" t="s">
        <v>25</v>
      </c>
      <c r="P4444" t="s">
        <v>35</v>
      </c>
      <c r="Q4444">
        <v>41.3</v>
      </c>
      <c r="R4444">
        <v>27</v>
      </c>
      <c r="S4444" t="s">
        <v>27</v>
      </c>
    </row>
    <row r="4445" spans="1:19" x14ac:dyDescent="0.3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 t="str">
        <f t="shared" si="69"/>
        <v>31-60 days</v>
      </c>
      <c r="L4445">
        <v>33</v>
      </c>
      <c r="M4445">
        <v>3</v>
      </c>
      <c r="N4445">
        <v>1</v>
      </c>
      <c r="O4445" t="s">
        <v>25</v>
      </c>
      <c r="P4445" t="s">
        <v>50</v>
      </c>
      <c r="Q4445">
        <v>17.600000000000001</v>
      </c>
      <c r="R4445">
        <v>38</v>
      </c>
      <c r="S4445" t="s">
        <v>27</v>
      </c>
    </row>
    <row r="4446" spans="1:19" x14ac:dyDescent="0.3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 t="str">
        <f t="shared" si="69"/>
        <v>31-60 days</v>
      </c>
      <c r="L4446">
        <v>45</v>
      </c>
      <c r="M4446">
        <v>3</v>
      </c>
      <c r="N4446">
        <v>0</v>
      </c>
      <c r="O4446" t="s">
        <v>54</v>
      </c>
      <c r="P4446" t="s">
        <v>55</v>
      </c>
      <c r="Q4446">
        <v>7.9</v>
      </c>
      <c r="R4446">
        <v>16</v>
      </c>
      <c r="S4446" t="s">
        <v>27</v>
      </c>
    </row>
    <row r="4447" spans="1:19" x14ac:dyDescent="0.3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 t="str">
        <f t="shared" si="69"/>
        <v>15-30 days</v>
      </c>
      <c r="L4447">
        <v>16</v>
      </c>
      <c r="M4447">
        <v>3</v>
      </c>
      <c r="N4447">
        <v>0</v>
      </c>
      <c r="O4447" t="s">
        <v>54</v>
      </c>
      <c r="P4447" t="s">
        <v>55</v>
      </c>
      <c r="Q4447">
        <v>4.8</v>
      </c>
      <c r="R4447">
        <v>8</v>
      </c>
      <c r="S4447" t="s">
        <v>36</v>
      </c>
    </row>
    <row r="4448" spans="1:19" x14ac:dyDescent="0.3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 t="str">
        <f t="shared" si="69"/>
        <v>31-60 days</v>
      </c>
      <c r="L4448">
        <v>58</v>
      </c>
      <c r="M4448">
        <v>4</v>
      </c>
      <c r="N4448">
        <v>0</v>
      </c>
      <c r="O4448" t="s">
        <v>25</v>
      </c>
      <c r="P4448" t="s">
        <v>35</v>
      </c>
      <c r="Q4448">
        <v>3.2</v>
      </c>
      <c r="R4448">
        <v>35</v>
      </c>
      <c r="S4448" t="s">
        <v>27</v>
      </c>
    </row>
    <row r="4449" spans="1:19" x14ac:dyDescent="0.3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 t="str">
        <f t="shared" si="69"/>
        <v>31-60 days</v>
      </c>
      <c r="L4449">
        <v>37</v>
      </c>
      <c r="M4449">
        <v>2</v>
      </c>
      <c r="N4449">
        <v>0</v>
      </c>
      <c r="O4449" t="s">
        <v>25</v>
      </c>
      <c r="P4449" t="s">
        <v>35</v>
      </c>
      <c r="Q4449">
        <v>8.6999999999999993</v>
      </c>
      <c r="R4449">
        <v>5</v>
      </c>
      <c r="S4449" t="s">
        <v>27</v>
      </c>
    </row>
    <row r="4450" spans="1:19" x14ac:dyDescent="0.3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 t="str">
        <f t="shared" si="69"/>
        <v>31-60 days</v>
      </c>
      <c r="L4450">
        <v>47</v>
      </c>
      <c r="M4450">
        <v>3</v>
      </c>
      <c r="N4450">
        <v>1</v>
      </c>
      <c r="O4450" t="s">
        <v>25</v>
      </c>
      <c r="P4450" t="s">
        <v>35</v>
      </c>
      <c r="Q4450">
        <v>3.2</v>
      </c>
      <c r="R4450">
        <v>30</v>
      </c>
      <c r="S4450" t="s">
        <v>36</v>
      </c>
    </row>
    <row r="4451" spans="1:19" x14ac:dyDescent="0.3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 t="str">
        <f t="shared" si="69"/>
        <v>0-7 days</v>
      </c>
      <c r="L4451">
        <v>4</v>
      </c>
      <c r="M4451">
        <v>3</v>
      </c>
      <c r="N4451">
        <v>0</v>
      </c>
      <c r="O4451" t="s">
        <v>25</v>
      </c>
      <c r="P4451" t="s">
        <v>35</v>
      </c>
      <c r="Q4451">
        <v>10.4</v>
      </c>
      <c r="R4451">
        <v>2</v>
      </c>
      <c r="S4451" t="s">
        <v>27</v>
      </c>
    </row>
    <row r="4452" spans="1:19" x14ac:dyDescent="0.3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 t="str">
        <f t="shared" si="69"/>
        <v>31-60 days</v>
      </c>
      <c r="L4452">
        <v>46</v>
      </c>
      <c r="M4452">
        <v>2</v>
      </c>
      <c r="N4452">
        <v>0</v>
      </c>
      <c r="O4452" t="s">
        <v>25</v>
      </c>
      <c r="P4452" t="s">
        <v>26</v>
      </c>
      <c r="Q4452">
        <v>8.1</v>
      </c>
      <c r="R4452">
        <v>23</v>
      </c>
      <c r="S4452" t="s">
        <v>27</v>
      </c>
    </row>
    <row r="4453" spans="1:19" x14ac:dyDescent="0.3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 t="str">
        <f t="shared" si="69"/>
        <v>15-30 days</v>
      </c>
      <c r="L4453">
        <v>20</v>
      </c>
      <c r="M4453">
        <v>8</v>
      </c>
      <c r="N4453">
        <v>3</v>
      </c>
      <c r="O4453" t="s">
        <v>25</v>
      </c>
      <c r="P4453" t="s">
        <v>26</v>
      </c>
      <c r="Q4453">
        <v>4.7</v>
      </c>
      <c r="R4453">
        <v>20</v>
      </c>
      <c r="S4453" t="s">
        <v>27</v>
      </c>
    </row>
    <row r="4454" spans="1:19" x14ac:dyDescent="0.3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 t="str">
        <f t="shared" si="69"/>
        <v>31-60 days</v>
      </c>
      <c r="L4454">
        <v>43</v>
      </c>
      <c r="M4454">
        <v>2</v>
      </c>
      <c r="N4454">
        <v>0</v>
      </c>
      <c r="O4454" t="s">
        <v>54</v>
      </c>
      <c r="P4454" t="s">
        <v>55</v>
      </c>
      <c r="Q4454">
        <v>9.4</v>
      </c>
      <c r="R4454">
        <v>15</v>
      </c>
      <c r="S4454" t="s">
        <v>36</v>
      </c>
    </row>
    <row r="4455" spans="1:19" x14ac:dyDescent="0.3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 t="str">
        <f t="shared" si="69"/>
        <v>31-60 days</v>
      </c>
      <c r="L4455">
        <v>49</v>
      </c>
      <c r="M4455">
        <v>2</v>
      </c>
      <c r="N4455">
        <v>1</v>
      </c>
      <c r="O4455" t="s">
        <v>25</v>
      </c>
      <c r="P4455" t="s">
        <v>26</v>
      </c>
      <c r="Q4455">
        <v>10.1</v>
      </c>
      <c r="R4455">
        <v>40</v>
      </c>
      <c r="S4455" t="s">
        <v>27</v>
      </c>
    </row>
    <row r="4456" spans="1:19" x14ac:dyDescent="0.3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 t="str">
        <f t="shared" si="69"/>
        <v>15-30 days</v>
      </c>
      <c r="L4456">
        <v>15</v>
      </c>
      <c r="M4456">
        <v>4</v>
      </c>
      <c r="N4456">
        <v>2</v>
      </c>
      <c r="O4456" t="s">
        <v>25</v>
      </c>
      <c r="P4456" t="s">
        <v>50</v>
      </c>
      <c r="Q4456">
        <v>12.3</v>
      </c>
      <c r="R4456">
        <v>23</v>
      </c>
      <c r="S4456" t="s">
        <v>36</v>
      </c>
    </row>
    <row r="4457" spans="1:19" x14ac:dyDescent="0.3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 t="str">
        <f t="shared" si="69"/>
        <v>15-30 days</v>
      </c>
      <c r="L4457">
        <v>15</v>
      </c>
      <c r="M4457">
        <v>2</v>
      </c>
      <c r="N4457">
        <v>1</v>
      </c>
      <c r="O4457" t="s">
        <v>25</v>
      </c>
      <c r="P4457" t="s">
        <v>26</v>
      </c>
      <c r="Q4457">
        <v>8.4</v>
      </c>
      <c r="R4457">
        <v>22</v>
      </c>
      <c r="S4457" t="s">
        <v>27</v>
      </c>
    </row>
    <row r="4458" spans="1:19" x14ac:dyDescent="0.3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 t="str">
        <f t="shared" si="69"/>
        <v>0-7 days</v>
      </c>
      <c r="L4458">
        <v>3</v>
      </c>
      <c r="M4458">
        <v>3</v>
      </c>
      <c r="N4458">
        <v>0</v>
      </c>
      <c r="O4458" t="s">
        <v>54</v>
      </c>
      <c r="P4458" t="s">
        <v>55</v>
      </c>
      <c r="Q4458">
        <v>11.6</v>
      </c>
      <c r="R4458">
        <v>21</v>
      </c>
      <c r="S4458" t="s">
        <v>36</v>
      </c>
    </row>
    <row r="4459" spans="1:19" x14ac:dyDescent="0.3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 t="str">
        <f t="shared" si="69"/>
        <v>31-60 days</v>
      </c>
      <c r="L4459">
        <v>36</v>
      </c>
      <c r="M4459">
        <v>3</v>
      </c>
      <c r="N4459">
        <v>0</v>
      </c>
      <c r="O4459" t="s">
        <v>54</v>
      </c>
      <c r="P4459" t="s">
        <v>55</v>
      </c>
      <c r="Q4459">
        <v>18.600000000000001</v>
      </c>
      <c r="R4459">
        <v>16</v>
      </c>
      <c r="S4459" t="s">
        <v>36</v>
      </c>
    </row>
    <row r="4460" spans="1:19" x14ac:dyDescent="0.3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 t="str">
        <f t="shared" si="69"/>
        <v>31-60 days</v>
      </c>
      <c r="L4460">
        <v>47</v>
      </c>
      <c r="M4460">
        <v>3</v>
      </c>
      <c r="N4460">
        <v>0</v>
      </c>
      <c r="O4460" t="s">
        <v>54</v>
      </c>
      <c r="P4460" t="s">
        <v>55</v>
      </c>
      <c r="Q4460">
        <v>3.5</v>
      </c>
      <c r="R4460">
        <v>44</v>
      </c>
      <c r="S4460" t="s">
        <v>36</v>
      </c>
    </row>
    <row r="4461" spans="1:19" x14ac:dyDescent="0.3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 t="str">
        <f t="shared" si="69"/>
        <v>15-30 days</v>
      </c>
      <c r="L4461">
        <v>25</v>
      </c>
      <c r="M4461">
        <v>1</v>
      </c>
      <c r="N4461">
        <v>0</v>
      </c>
      <c r="O4461" t="s">
        <v>25</v>
      </c>
      <c r="P4461" t="s">
        <v>35</v>
      </c>
      <c r="Q4461">
        <v>3.3</v>
      </c>
      <c r="R4461">
        <v>20</v>
      </c>
      <c r="S4461" t="s">
        <v>27</v>
      </c>
    </row>
    <row r="4462" spans="1:19" x14ac:dyDescent="0.3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 t="str">
        <f t="shared" si="69"/>
        <v>8-14 days</v>
      </c>
      <c r="L4462">
        <v>9</v>
      </c>
      <c r="M4462">
        <v>3</v>
      </c>
      <c r="N4462">
        <v>0</v>
      </c>
      <c r="O4462" t="s">
        <v>54</v>
      </c>
      <c r="P4462" t="s">
        <v>55</v>
      </c>
      <c r="Q4462">
        <v>14.2</v>
      </c>
      <c r="R4462">
        <v>44</v>
      </c>
      <c r="S4462" t="s">
        <v>36</v>
      </c>
    </row>
    <row r="4463" spans="1:19" x14ac:dyDescent="0.3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 t="str">
        <f t="shared" si="69"/>
        <v>15-30 days</v>
      </c>
      <c r="L4463">
        <v>19</v>
      </c>
      <c r="M4463">
        <v>6</v>
      </c>
      <c r="N4463">
        <v>0</v>
      </c>
      <c r="O4463" t="s">
        <v>54</v>
      </c>
      <c r="P4463" t="s">
        <v>55</v>
      </c>
      <c r="Q4463">
        <v>5.6</v>
      </c>
      <c r="R4463">
        <v>15</v>
      </c>
      <c r="S4463" t="s">
        <v>36</v>
      </c>
    </row>
    <row r="4464" spans="1:19" x14ac:dyDescent="0.3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 t="str">
        <f t="shared" si="69"/>
        <v>15-30 days</v>
      </c>
      <c r="L4464">
        <v>24</v>
      </c>
      <c r="M4464">
        <v>0</v>
      </c>
      <c r="N4464">
        <v>0</v>
      </c>
      <c r="O4464" t="s">
        <v>25</v>
      </c>
      <c r="P4464" t="s">
        <v>35</v>
      </c>
      <c r="Q4464">
        <v>18.899999999999999</v>
      </c>
      <c r="R4464">
        <v>24</v>
      </c>
      <c r="S4464" t="s">
        <v>27</v>
      </c>
    </row>
    <row r="4465" spans="1:19" x14ac:dyDescent="0.3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 t="str">
        <f t="shared" si="69"/>
        <v>31-60 days</v>
      </c>
      <c r="L4465">
        <v>55</v>
      </c>
      <c r="M4465">
        <v>3</v>
      </c>
      <c r="N4465">
        <v>0</v>
      </c>
      <c r="O4465" t="s">
        <v>25</v>
      </c>
      <c r="P4465" t="s">
        <v>50</v>
      </c>
      <c r="Q4465">
        <v>16.100000000000001</v>
      </c>
      <c r="R4465">
        <v>19</v>
      </c>
      <c r="S4465" t="s">
        <v>27</v>
      </c>
    </row>
    <row r="4466" spans="1:19" x14ac:dyDescent="0.3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 t="str">
        <f t="shared" si="69"/>
        <v>0-7 days</v>
      </c>
      <c r="L4466">
        <v>7</v>
      </c>
      <c r="M4466">
        <v>1</v>
      </c>
      <c r="N4466">
        <v>0</v>
      </c>
      <c r="O4466" t="s">
        <v>25</v>
      </c>
      <c r="P4466" t="s">
        <v>50</v>
      </c>
      <c r="Q4466">
        <v>19.3</v>
      </c>
      <c r="R4466">
        <v>15</v>
      </c>
      <c r="S4466" t="s">
        <v>36</v>
      </c>
    </row>
    <row r="4467" spans="1:19" x14ac:dyDescent="0.3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 t="str">
        <f t="shared" si="69"/>
        <v>15-30 days</v>
      </c>
      <c r="L4467">
        <v>20</v>
      </c>
      <c r="M4467">
        <v>2</v>
      </c>
      <c r="N4467">
        <v>0</v>
      </c>
      <c r="O4467" t="s">
        <v>25</v>
      </c>
      <c r="P4467" t="s">
        <v>35</v>
      </c>
      <c r="Q4467">
        <v>2.2999999999999998</v>
      </c>
      <c r="R4467">
        <v>22</v>
      </c>
      <c r="S4467" t="s">
        <v>36</v>
      </c>
    </row>
    <row r="4468" spans="1:19" x14ac:dyDescent="0.3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 t="str">
        <f t="shared" si="69"/>
        <v>31-60 days</v>
      </c>
      <c r="L4468">
        <v>38</v>
      </c>
      <c r="M4468">
        <v>3</v>
      </c>
      <c r="N4468">
        <v>1</v>
      </c>
      <c r="O4468" t="s">
        <v>54</v>
      </c>
      <c r="P4468" t="s">
        <v>55</v>
      </c>
      <c r="Q4468">
        <v>8.1999999999999993</v>
      </c>
      <c r="R4468">
        <v>42</v>
      </c>
      <c r="S4468" t="s">
        <v>27</v>
      </c>
    </row>
    <row r="4469" spans="1:19" x14ac:dyDescent="0.3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 t="str">
        <f t="shared" si="69"/>
        <v>8-14 days</v>
      </c>
      <c r="L4469">
        <v>14</v>
      </c>
      <c r="M4469">
        <v>2</v>
      </c>
      <c r="N4469">
        <v>1</v>
      </c>
      <c r="O4469" t="s">
        <v>54</v>
      </c>
      <c r="P4469" t="s">
        <v>55</v>
      </c>
      <c r="Q4469">
        <v>11.7</v>
      </c>
      <c r="R4469">
        <v>38</v>
      </c>
      <c r="S4469" t="s">
        <v>36</v>
      </c>
    </row>
    <row r="4470" spans="1:19" x14ac:dyDescent="0.3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 t="str">
        <f t="shared" si="69"/>
        <v>31-60 days</v>
      </c>
      <c r="L4470">
        <v>53</v>
      </c>
      <c r="M4470">
        <v>4</v>
      </c>
      <c r="N4470">
        <v>1</v>
      </c>
      <c r="O4470" t="s">
        <v>25</v>
      </c>
      <c r="P4470" t="s">
        <v>35</v>
      </c>
      <c r="Q4470">
        <v>3.9</v>
      </c>
      <c r="R4470">
        <v>24</v>
      </c>
      <c r="S4470" t="s">
        <v>27</v>
      </c>
    </row>
    <row r="4471" spans="1:19" x14ac:dyDescent="0.3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 t="str">
        <f t="shared" si="69"/>
        <v>31-60 days</v>
      </c>
      <c r="L4471">
        <v>55</v>
      </c>
      <c r="M4471">
        <v>1</v>
      </c>
      <c r="N4471">
        <v>1</v>
      </c>
      <c r="O4471" t="s">
        <v>25</v>
      </c>
      <c r="P4471" t="s">
        <v>26</v>
      </c>
      <c r="Q4471">
        <v>7.9</v>
      </c>
      <c r="R4471">
        <v>9</v>
      </c>
      <c r="S4471" t="s">
        <v>36</v>
      </c>
    </row>
    <row r="4472" spans="1:19" x14ac:dyDescent="0.3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 t="str">
        <f t="shared" si="69"/>
        <v>15-30 days</v>
      </c>
      <c r="L4472">
        <v>23</v>
      </c>
      <c r="M4472">
        <v>5</v>
      </c>
      <c r="N4472">
        <v>0</v>
      </c>
      <c r="O4472" t="s">
        <v>25</v>
      </c>
      <c r="P4472" t="s">
        <v>35</v>
      </c>
      <c r="Q4472">
        <v>10.8</v>
      </c>
      <c r="R4472">
        <v>28</v>
      </c>
      <c r="S4472" t="s">
        <v>36</v>
      </c>
    </row>
    <row r="4473" spans="1:19" x14ac:dyDescent="0.3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 t="str">
        <f t="shared" si="69"/>
        <v>31-60 days</v>
      </c>
      <c r="L4473">
        <v>45</v>
      </c>
      <c r="M4473">
        <v>2</v>
      </c>
      <c r="N4473">
        <v>1</v>
      </c>
      <c r="O4473" t="s">
        <v>54</v>
      </c>
      <c r="P4473" t="s">
        <v>55</v>
      </c>
      <c r="Q4473">
        <v>5</v>
      </c>
      <c r="R4473">
        <v>18</v>
      </c>
      <c r="S4473" t="s">
        <v>27</v>
      </c>
    </row>
    <row r="4474" spans="1:19" x14ac:dyDescent="0.3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 t="str">
        <f t="shared" si="69"/>
        <v>31-60 days</v>
      </c>
      <c r="L4474">
        <v>46</v>
      </c>
      <c r="M4474">
        <v>4</v>
      </c>
      <c r="N4474">
        <v>0</v>
      </c>
      <c r="O4474" t="s">
        <v>25</v>
      </c>
      <c r="P4474" t="s">
        <v>35</v>
      </c>
      <c r="Q4474">
        <v>3.9</v>
      </c>
      <c r="R4474">
        <v>13</v>
      </c>
      <c r="S4474" t="s">
        <v>36</v>
      </c>
    </row>
    <row r="4475" spans="1:19" x14ac:dyDescent="0.3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 t="str">
        <f t="shared" si="69"/>
        <v>31-60 days</v>
      </c>
      <c r="L4475">
        <v>41</v>
      </c>
      <c r="M4475">
        <v>3</v>
      </c>
      <c r="N4475">
        <v>0</v>
      </c>
      <c r="O4475" t="s">
        <v>25</v>
      </c>
      <c r="P4475" t="s">
        <v>26</v>
      </c>
      <c r="Q4475">
        <v>6.7</v>
      </c>
      <c r="R4475">
        <v>31</v>
      </c>
      <c r="S4475" t="s">
        <v>36</v>
      </c>
    </row>
    <row r="4476" spans="1:19" x14ac:dyDescent="0.3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 t="str">
        <f t="shared" si="69"/>
        <v>8-14 days</v>
      </c>
      <c r="L4476">
        <v>11</v>
      </c>
      <c r="M4476">
        <v>2</v>
      </c>
      <c r="N4476">
        <v>0</v>
      </c>
      <c r="O4476" t="s">
        <v>25</v>
      </c>
      <c r="P4476" t="s">
        <v>26</v>
      </c>
      <c r="Q4476">
        <v>19.899999999999999</v>
      </c>
      <c r="R4476">
        <v>10</v>
      </c>
      <c r="S4476" t="s">
        <v>27</v>
      </c>
    </row>
    <row r="4477" spans="1:19" x14ac:dyDescent="0.3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 t="str">
        <f t="shared" si="69"/>
        <v>0-7 days</v>
      </c>
      <c r="L4477">
        <v>3</v>
      </c>
      <c r="M4477">
        <v>7</v>
      </c>
      <c r="N4477">
        <v>2</v>
      </c>
      <c r="O4477" t="s">
        <v>25</v>
      </c>
      <c r="P4477" t="s">
        <v>50</v>
      </c>
      <c r="Q4477">
        <v>12.2</v>
      </c>
      <c r="R4477">
        <v>25</v>
      </c>
      <c r="S4477" t="s">
        <v>36</v>
      </c>
    </row>
    <row r="4478" spans="1:19" x14ac:dyDescent="0.3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 t="str">
        <f t="shared" si="69"/>
        <v>15-30 days</v>
      </c>
      <c r="L4478">
        <v>21</v>
      </c>
      <c r="M4478">
        <v>2</v>
      </c>
      <c r="N4478">
        <v>0</v>
      </c>
      <c r="O4478" t="s">
        <v>25</v>
      </c>
      <c r="P4478" t="s">
        <v>26</v>
      </c>
      <c r="Q4478">
        <v>9.9</v>
      </c>
      <c r="R4478">
        <v>29</v>
      </c>
      <c r="S4478" t="s">
        <v>27</v>
      </c>
    </row>
    <row r="4479" spans="1:19" x14ac:dyDescent="0.3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 t="str">
        <f t="shared" si="69"/>
        <v>8-14 days</v>
      </c>
      <c r="L4479">
        <v>8</v>
      </c>
      <c r="M4479">
        <v>4</v>
      </c>
      <c r="N4479">
        <v>0</v>
      </c>
      <c r="O4479" t="s">
        <v>54</v>
      </c>
      <c r="P4479" t="s">
        <v>55</v>
      </c>
      <c r="Q4479">
        <v>15.5</v>
      </c>
      <c r="R4479">
        <v>31</v>
      </c>
      <c r="S4479" t="s">
        <v>36</v>
      </c>
    </row>
    <row r="4480" spans="1:19" x14ac:dyDescent="0.3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 t="str">
        <f t="shared" si="69"/>
        <v>15-30 days</v>
      </c>
      <c r="L4480">
        <v>17</v>
      </c>
      <c r="M4480">
        <v>3</v>
      </c>
      <c r="N4480">
        <v>1</v>
      </c>
      <c r="O4480" t="s">
        <v>25</v>
      </c>
      <c r="P4480" t="s">
        <v>35</v>
      </c>
      <c r="Q4480">
        <v>8.4</v>
      </c>
      <c r="R4480">
        <v>10</v>
      </c>
      <c r="S4480" t="s">
        <v>27</v>
      </c>
    </row>
    <row r="4481" spans="1:19" x14ac:dyDescent="0.3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 t="str">
        <f t="shared" si="69"/>
        <v>31-60 days</v>
      </c>
      <c r="L4481">
        <v>38</v>
      </c>
      <c r="M4481">
        <v>1</v>
      </c>
      <c r="N4481">
        <v>0</v>
      </c>
      <c r="O4481" t="s">
        <v>25</v>
      </c>
      <c r="P4481" t="s">
        <v>26</v>
      </c>
      <c r="Q4481">
        <v>6</v>
      </c>
      <c r="R4481">
        <v>42</v>
      </c>
      <c r="S4481" t="s">
        <v>27</v>
      </c>
    </row>
    <row r="4482" spans="1:19" x14ac:dyDescent="0.3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 t="str">
        <f t="shared" si="69"/>
        <v>31-60 days</v>
      </c>
      <c r="L4482">
        <v>35</v>
      </c>
      <c r="M4482">
        <v>2</v>
      </c>
      <c r="N4482">
        <v>0</v>
      </c>
      <c r="O4482" t="s">
        <v>25</v>
      </c>
      <c r="P4482" t="s">
        <v>35</v>
      </c>
      <c r="Q4482">
        <v>4.0999999999999996</v>
      </c>
      <c r="R4482">
        <v>27</v>
      </c>
      <c r="S4482" t="s">
        <v>27</v>
      </c>
    </row>
    <row r="4483" spans="1:19" x14ac:dyDescent="0.3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 t="str">
        <f t="shared" ref="K4483:K4546" si="70">IF(L4483&lt;=7,"0-7 days",IF(L4483&lt;=14,"8-14 days",IF(L4483&lt;=30,"15-30 days","31-60 days")))</f>
        <v>8-14 days</v>
      </c>
      <c r="L4483">
        <v>12</v>
      </c>
      <c r="M4483">
        <v>3</v>
      </c>
      <c r="N4483">
        <v>0</v>
      </c>
      <c r="O4483" t="s">
        <v>25</v>
      </c>
      <c r="P4483" t="s">
        <v>26</v>
      </c>
      <c r="Q4483">
        <v>7.4</v>
      </c>
      <c r="R4483">
        <v>24</v>
      </c>
      <c r="S4483" t="s">
        <v>36</v>
      </c>
    </row>
    <row r="4484" spans="1:19" x14ac:dyDescent="0.3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 t="str">
        <f t="shared" si="70"/>
        <v>0-7 days</v>
      </c>
      <c r="L4484">
        <v>1</v>
      </c>
      <c r="M4484">
        <v>2</v>
      </c>
      <c r="N4484">
        <v>0</v>
      </c>
      <c r="O4484" t="s">
        <v>25</v>
      </c>
      <c r="P4484" t="s">
        <v>35</v>
      </c>
      <c r="Q4484">
        <v>13.6</v>
      </c>
      <c r="R4484">
        <v>9</v>
      </c>
      <c r="S4484" t="s">
        <v>36</v>
      </c>
    </row>
    <row r="4485" spans="1:19" x14ac:dyDescent="0.3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 t="str">
        <f t="shared" si="70"/>
        <v>8-14 days</v>
      </c>
      <c r="L4485">
        <v>13</v>
      </c>
      <c r="M4485">
        <v>3</v>
      </c>
      <c r="N4485">
        <v>0</v>
      </c>
      <c r="O4485" t="s">
        <v>25</v>
      </c>
      <c r="P4485" t="s">
        <v>35</v>
      </c>
      <c r="Q4485">
        <v>0.9</v>
      </c>
      <c r="R4485">
        <v>15</v>
      </c>
      <c r="S4485" t="s">
        <v>36</v>
      </c>
    </row>
    <row r="4486" spans="1:19" x14ac:dyDescent="0.3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 t="str">
        <f t="shared" si="70"/>
        <v>15-30 days</v>
      </c>
      <c r="L4486">
        <v>27</v>
      </c>
      <c r="M4486">
        <v>4</v>
      </c>
      <c r="N4486">
        <v>1</v>
      </c>
      <c r="O4486" t="s">
        <v>25</v>
      </c>
      <c r="P4486" t="s">
        <v>35</v>
      </c>
      <c r="Q4486">
        <v>6.1</v>
      </c>
      <c r="R4486">
        <v>20</v>
      </c>
      <c r="S4486" t="s">
        <v>36</v>
      </c>
    </row>
    <row r="4487" spans="1:19" x14ac:dyDescent="0.3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 t="str">
        <f t="shared" si="70"/>
        <v>31-60 days</v>
      </c>
      <c r="L4487">
        <v>47</v>
      </c>
      <c r="M4487">
        <v>3</v>
      </c>
      <c r="N4487">
        <v>0</v>
      </c>
      <c r="O4487" t="s">
        <v>25</v>
      </c>
      <c r="P4487" t="s">
        <v>26</v>
      </c>
      <c r="Q4487">
        <v>7.7</v>
      </c>
      <c r="R4487">
        <v>23</v>
      </c>
      <c r="S4487" t="s">
        <v>27</v>
      </c>
    </row>
    <row r="4488" spans="1:19" x14ac:dyDescent="0.3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 t="str">
        <f t="shared" si="70"/>
        <v>15-30 days</v>
      </c>
      <c r="L4488">
        <v>22</v>
      </c>
      <c r="M4488">
        <v>4</v>
      </c>
      <c r="N4488">
        <v>1</v>
      </c>
      <c r="O4488" t="s">
        <v>25</v>
      </c>
      <c r="P4488" t="s">
        <v>26</v>
      </c>
      <c r="Q4488">
        <v>6</v>
      </c>
      <c r="R4488">
        <v>27</v>
      </c>
      <c r="S4488" t="s">
        <v>36</v>
      </c>
    </row>
    <row r="4489" spans="1:19" x14ac:dyDescent="0.3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 t="str">
        <f t="shared" si="70"/>
        <v>15-30 days</v>
      </c>
      <c r="L4489">
        <v>17</v>
      </c>
      <c r="M4489">
        <v>1</v>
      </c>
      <c r="N4489">
        <v>0</v>
      </c>
      <c r="O4489" t="s">
        <v>25</v>
      </c>
      <c r="P4489" t="s">
        <v>26</v>
      </c>
      <c r="Q4489">
        <v>15.8</v>
      </c>
      <c r="R4489">
        <v>20</v>
      </c>
      <c r="S4489" t="s">
        <v>27</v>
      </c>
    </row>
    <row r="4490" spans="1:19" x14ac:dyDescent="0.3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 t="str">
        <f t="shared" si="70"/>
        <v>31-60 days</v>
      </c>
      <c r="L4490">
        <v>33</v>
      </c>
      <c r="M4490">
        <v>3</v>
      </c>
      <c r="N4490">
        <v>0</v>
      </c>
      <c r="O4490" t="s">
        <v>25</v>
      </c>
      <c r="P4490" t="s">
        <v>26</v>
      </c>
      <c r="Q4490">
        <v>11.7</v>
      </c>
      <c r="R4490">
        <v>40</v>
      </c>
      <c r="S4490" t="s">
        <v>36</v>
      </c>
    </row>
    <row r="4491" spans="1:19" x14ac:dyDescent="0.3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 t="str">
        <f t="shared" si="70"/>
        <v>0-7 days</v>
      </c>
      <c r="L4491">
        <v>4</v>
      </c>
      <c r="M4491">
        <v>4</v>
      </c>
      <c r="N4491">
        <v>0</v>
      </c>
      <c r="O4491" t="s">
        <v>54</v>
      </c>
      <c r="P4491" t="s">
        <v>55</v>
      </c>
      <c r="Q4491">
        <v>6.3</v>
      </c>
      <c r="R4491">
        <v>20</v>
      </c>
      <c r="S4491" t="s">
        <v>36</v>
      </c>
    </row>
    <row r="4492" spans="1:19" x14ac:dyDescent="0.3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 t="str">
        <f t="shared" si="70"/>
        <v>8-14 days</v>
      </c>
      <c r="L4492">
        <v>13</v>
      </c>
      <c r="M4492">
        <v>4</v>
      </c>
      <c r="N4492">
        <v>2</v>
      </c>
      <c r="O4492" t="s">
        <v>25</v>
      </c>
      <c r="P4492" t="s">
        <v>35</v>
      </c>
      <c r="Q4492">
        <v>15</v>
      </c>
      <c r="R4492">
        <v>26</v>
      </c>
      <c r="S4492" t="s">
        <v>36</v>
      </c>
    </row>
    <row r="4493" spans="1:19" x14ac:dyDescent="0.3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 t="str">
        <f t="shared" si="70"/>
        <v>0-7 days</v>
      </c>
      <c r="L4493">
        <v>2</v>
      </c>
      <c r="M4493">
        <v>1</v>
      </c>
      <c r="N4493">
        <v>1</v>
      </c>
      <c r="O4493" t="s">
        <v>54</v>
      </c>
      <c r="P4493" t="s">
        <v>55</v>
      </c>
      <c r="Q4493">
        <v>2.7</v>
      </c>
      <c r="R4493">
        <v>36</v>
      </c>
      <c r="S4493" t="s">
        <v>36</v>
      </c>
    </row>
    <row r="4494" spans="1:19" x14ac:dyDescent="0.3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 t="str">
        <f t="shared" si="70"/>
        <v>31-60 days</v>
      </c>
      <c r="L4494">
        <v>32</v>
      </c>
      <c r="M4494">
        <v>3</v>
      </c>
      <c r="N4494">
        <v>2</v>
      </c>
      <c r="O4494" t="s">
        <v>54</v>
      </c>
      <c r="P4494" t="s">
        <v>55</v>
      </c>
      <c r="Q4494">
        <v>12</v>
      </c>
      <c r="R4494">
        <v>18</v>
      </c>
      <c r="S4494" t="s">
        <v>36</v>
      </c>
    </row>
    <row r="4495" spans="1:19" x14ac:dyDescent="0.3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 t="str">
        <f t="shared" si="70"/>
        <v>15-30 days</v>
      </c>
      <c r="L4495">
        <v>27</v>
      </c>
      <c r="M4495">
        <v>4</v>
      </c>
      <c r="N4495">
        <v>1</v>
      </c>
      <c r="O4495" t="s">
        <v>25</v>
      </c>
      <c r="P4495" t="s">
        <v>50</v>
      </c>
      <c r="Q4495">
        <v>4.5</v>
      </c>
      <c r="R4495">
        <v>9</v>
      </c>
      <c r="S4495" t="s">
        <v>27</v>
      </c>
    </row>
    <row r="4496" spans="1:19" x14ac:dyDescent="0.3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 t="str">
        <f t="shared" si="70"/>
        <v>31-60 days</v>
      </c>
      <c r="L4496">
        <v>35</v>
      </c>
      <c r="M4496">
        <v>5</v>
      </c>
      <c r="N4496">
        <v>2</v>
      </c>
      <c r="O4496" t="s">
        <v>25</v>
      </c>
      <c r="P4496" t="s">
        <v>26</v>
      </c>
      <c r="Q4496">
        <v>12.6</v>
      </c>
      <c r="R4496">
        <v>19</v>
      </c>
      <c r="S4496" t="s">
        <v>27</v>
      </c>
    </row>
    <row r="4497" spans="1:19" x14ac:dyDescent="0.3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 t="str">
        <f t="shared" si="70"/>
        <v>31-60 days</v>
      </c>
      <c r="L4497">
        <v>37</v>
      </c>
      <c r="M4497">
        <v>1</v>
      </c>
      <c r="N4497">
        <v>0</v>
      </c>
      <c r="O4497" t="s">
        <v>54</v>
      </c>
      <c r="P4497" t="s">
        <v>55</v>
      </c>
      <c r="Q4497">
        <v>10.199999999999999</v>
      </c>
      <c r="R4497">
        <v>34</v>
      </c>
      <c r="S4497" t="s">
        <v>27</v>
      </c>
    </row>
    <row r="4498" spans="1:19" x14ac:dyDescent="0.3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 t="str">
        <f t="shared" si="70"/>
        <v>15-30 days</v>
      </c>
      <c r="L4498">
        <v>24</v>
      </c>
      <c r="M4498">
        <v>3</v>
      </c>
      <c r="N4498">
        <v>0</v>
      </c>
      <c r="O4498" t="s">
        <v>25</v>
      </c>
      <c r="P4498" t="s">
        <v>35</v>
      </c>
      <c r="Q4498">
        <v>10.4</v>
      </c>
      <c r="R4498">
        <v>24</v>
      </c>
      <c r="S4498" t="s">
        <v>36</v>
      </c>
    </row>
    <row r="4499" spans="1:19" x14ac:dyDescent="0.3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 t="str">
        <f t="shared" si="70"/>
        <v>31-60 days</v>
      </c>
      <c r="L4499">
        <v>53</v>
      </c>
      <c r="M4499">
        <v>0</v>
      </c>
      <c r="N4499">
        <v>0</v>
      </c>
      <c r="O4499" t="s">
        <v>25</v>
      </c>
      <c r="P4499" t="s">
        <v>35</v>
      </c>
      <c r="Q4499">
        <v>10.7</v>
      </c>
      <c r="R4499">
        <v>31</v>
      </c>
      <c r="S4499" t="s">
        <v>27</v>
      </c>
    </row>
    <row r="4500" spans="1:19" x14ac:dyDescent="0.3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 t="str">
        <f t="shared" si="70"/>
        <v>31-60 days</v>
      </c>
      <c r="L4500">
        <v>56</v>
      </c>
      <c r="M4500">
        <v>7</v>
      </c>
      <c r="N4500">
        <v>1</v>
      </c>
      <c r="O4500" t="s">
        <v>25</v>
      </c>
      <c r="P4500" t="s">
        <v>35</v>
      </c>
      <c r="Q4500">
        <v>7.7</v>
      </c>
      <c r="R4500">
        <v>9</v>
      </c>
      <c r="S4500" t="s">
        <v>27</v>
      </c>
    </row>
    <row r="4501" spans="1:19" x14ac:dyDescent="0.3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 t="str">
        <f t="shared" si="70"/>
        <v>0-7 days</v>
      </c>
      <c r="L4501">
        <v>6</v>
      </c>
      <c r="M4501">
        <v>7</v>
      </c>
      <c r="N4501">
        <v>0</v>
      </c>
      <c r="O4501" t="s">
        <v>54</v>
      </c>
      <c r="P4501" t="s">
        <v>55</v>
      </c>
      <c r="Q4501">
        <v>10.199999999999999</v>
      </c>
      <c r="R4501">
        <v>6</v>
      </c>
      <c r="S4501" t="s">
        <v>27</v>
      </c>
    </row>
    <row r="4502" spans="1:19" x14ac:dyDescent="0.3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 t="str">
        <f t="shared" si="70"/>
        <v>31-60 days</v>
      </c>
      <c r="L4502">
        <v>56</v>
      </c>
      <c r="M4502">
        <v>5</v>
      </c>
      <c r="N4502">
        <v>1</v>
      </c>
      <c r="O4502" t="s">
        <v>25</v>
      </c>
      <c r="P4502" t="s">
        <v>50</v>
      </c>
      <c r="Q4502">
        <v>3.3</v>
      </c>
      <c r="R4502">
        <v>30</v>
      </c>
      <c r="S4502" t="s">
        <v>27</v>
      </c>
    </row>
    <row r="4503" spans="1:19" x14ac:dyDescent="0.3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 t="str">
        <f t="shared" si="70"/>
        <v>8-14 days</v>
      </c>
      <c r="L4503">
        <v>11</v>
      </c>
      <c r="M4503">
        <v>4</v>
      </c>
      <c r="N4503">
        <v>0</v>
      </c>
      <c r="O4503" t="s">
        <v>54</v>
      </c>
      <c r="P4503" t="s">
        <v>55</v>
      </c>
      <c r="Q4503">
        <v>7.8</v>
      </c>
      <c r="R4503">
        <v>28</v>
      </c>
      <c r="S4503" t="s">
        <v>27</v>
      </c>
    </row>
    <row r="4504" spans="1:19" x14ac:dyDescent="0.3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 t="str">
        <f t="shared" si="70"/>
        <v>15-30 days</v>
      </c>
      <c r="L4504">
        <v>15</v>
      </c>
      <c r="M4504">
        <v>2</v>
      </c>
      <c r="N4504">
        <v>0</v>
      </c>
      <c r="O4504" t="s">
        <v>25</v>
      </c>
      <c r="P4504" t="s">
        <v>35</v>
      </c>
      <c r="Q4504">
        <v>3.2</v>
      </c>
      <c r="R4504">
        <v>14</v>
      </c>
      <c r="S4504" t="s">
        <v>36</v>
      </c>
    </row>
    <row r="4505" spans="1:19" x14ac:dyDescent="0.3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 t="str">
        <f t="shared" si="70"/>
        <v>31-60 days</v>
      </c>
      <c r="L4505">
        <v>32</v>
      </c>
      <c r="M4505">
        <v>3</v>
      </c>
      <c r="N4505">
        <v>1</v>
      </c>
      <c r="O4505" t="s">
        <v>25</v>
      </c>
      <c r="P4505" t="s">
        <v>35</v>
      </c>
      <c r="Q4505">
        <v>23.2</v>
      </c>
      <c r="R4505">
        <v>11</v>
      </c>
      <c r="S4505" t="s">
        <v>27</v>
      </c>
    </row>
    <row r="4506" spans="1:19" x14ac:dyDescent="0.3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 t="str">
        <f t="shared" si="70"/>
        <v>0-7 days</v>
      </c>
      <c r="L4506">
        <v>1</v>
      </c>
      <c r="M4506">
        <v>6</v>
      </c>
      <c r="N4506">
        <v>2</v>
      </c>
      <c r="O4506" t="s">
        <v>25</v>
      </c>
      <c r="P4506" t="s">
        <v>50</v>
      </c>
      <c r="Q4506">
        <v>4.5</v>
      </c>
      <c r="R4506">
        <v>22</v>
      </c>
      <c r="S4506" t="s">
        <v>36</v>
      </c>
    </row>
    <row r="4507" spans="1:19" x14ac:dyDescent="0.3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 t="str">
        <f t="shared" si="70"/>
        <v>15-30 days</v>
      </c>
      <c r="L4507">
        <v>22</v>
      </c>
      <c r="M4507">
        <v>0</v>
      </c>
      <c r="N4507">
        <v>0</v>
      </c>
      <c r="O4507" t="s">
        <v>25</v>
      </c>
      <c r="P4507" t="s">
        <v>35</v>
      </c>
      <c r="Q4507">
        <v>20.8</v>
      </c>
      <c r="R4507">
        <v>23</v>
      </c>
      <c r="S4507" t="s">
        <v>27</v>
      </c>
    </row>
    <row r="4508" spans="1:19" x14ac:dyDescent="0.3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 t="str">
        <f t="shared" si="70"/>
        <v>8-14 days</v>
      </c>
      <c r="L4508">
        <v>11</v>
      </c>
      <c r="M4508">
        <v>5</v>
      </c>
      <c r="N4508">
        <v>0</v>
      </c>
      <c r="O4508" t="s">
        <v>25</v>
      </c>
      <c r="P4508" t="s">
        <v>35</v>
      </c>
      <c r="Q4508">
        <v>16.5</v>
      </c>
      <c r="R4508">
        <v>10</v>
      </c>
      <c r="S4508" t="s">
        <v>36</v>
      </c>
    </row>
    <row r="4509" spans="1:19" x14ac:dyDescent="0.3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 t="str">
        <f t="shared" si="70"/>
        <v>15-30 days</v>
      </c>
      <c r="L4509">
        <v>29</v>
      </c>
      <c r="M4509">
        <v>0</v>
      </c>
      <c r="N4509">
        <v>0</v>
      </c>
      <c r="O4509" t="s">
        <v>54</v>
      </c>
      <c r="P4509" t="s">
        <v>55</v>
      </c>
      <c r="Q4509">
        <v>6.7</v>
      </c>
      <c r="R4509">
        <v>23</v>
      </c>
      <c r="S4509" t="s">
        <v>36</v>
      </c>
    </row>
    <row r="4510" spans="1:19" x14ac:dyDescent="0.3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 t="str">
        <f t="shared" si="70"/>
        <v>31-60 days</v>
      </c>
      <c r="L4510">
        <v>49</v>
      </c>
      <c r="M4510">
        <v>2</v>
      </c>
      <c r="N4510">
        <v>0</v>
      </c>
      <c r="O4510" t="s">
        <v>54</v>
      </c>
      <c r="P4510" t="s">
        <v>55</v>
      </c>
      <c r="Q4510">
        <v>5.3</v>
      </c>
      <c r="R4510">
        <v>8</v>
      </c>
      <c r="S4510" t="s">
        <v>27</v>
      </c>
    </row>
    <row r="4511" spans="1:19" x14ac:dyDescent="0.3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 t="str">
        <f t="shared" si="70"/>
        <v>31-60 days</v>
      </c>
      <c r="L4511">
        <v>56</v>
      </c>
      <c r="M4511">
        <v>3</v>
      </c>
      <c r="N4511">
        <v>0</v>
      </c>
      <c r="O4511" t="s">
        <v>25</v>
      </c>
      <c r="P4511" t="s">
        <v>26</v>
      </c>
      <c r="Q4511">
        <v>7.3</v>
      </c>
      <c r="R4511">
        <v>17</v>
      </c>
      <c r="S4511" t="s">
        <v>27</v>
      </c>
    </row>
    <row r="4512" spans="1:19" x14ac:dyDescent="0.3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 t="str">
        <f t="shared" si="70"/>
        <v>8-14 days</v>
      </c>
      <c r="L4512">
        <v>12</v>
      </c>
      <c r="M4512">
        <v>7</v>
      </c>
      <c r="N4512">
        <v>2</v>
      </c>
      <c r="O4512" t="s">
        <v>25</v>
      </c>
      <c r="P4512" t="s">
        <v>26</v>
      </c>
      <c r="R4512">
        <v>9</v>
      </c>
      <c r="S4512" t="s">
        <v>36</v>
      </c>
    </row>
    <row r="4513" spans="1:19" x14ac:dyDescent="0.3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 t="str">
        <f t="shared" si="70"/>
        <v>31-60 days</v>
      </c>
      <c r="L4513">
        <v>33</v>
      </c>
      <c r="M4513">
        <v>6</v>
      </c>
      <c r="N4513">
        <v>3</v>
      </c>
      <c r="O4513" t="s">
        <v>25</v>
      </c>
      <c r="P4513" t="s">
        <v>35</v>
      </c>
      <c r="Q4513">
        <v>6.3</v>
      </c>
      <c r="R4513">
        <v>22</v>
      </c>
      <c r="S4513" t="s">
        <v>36</v>
      </c>
    </row>
    <row r="4514" spans="1:19" x14ac:dyDescent="0.3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 t="str">
        <f t="shared" si="70"/>
        <v>15-30 days</v>
      </c>
      <c r="L4514">
        <v>28</v>
      </c>
      <c r="M4514">
        <v>3</v>
      </c>
      <c r="N4514">
        <v>0</v>
      </c>
      <c r="O4514" t="s">
        <v>25</v>
      </c>
      <c r="P4514" t="s">
        <v>35</v>
      </c>
      <c r="Q4514">
        <v>18.5</v>
      </c>
      <c r="R4514">
        <v>17</v>
      </c>
      <c r="S4514" t="s">
        <v>27</v>
      </c>
    </row>
    <row r="4515" spans="1:19" x14ac:dyDescent="0.3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 t="str">
        <f t="shared" si="70"/>
        <v>15-30 days</v>
      </c>
      <c r="L4515">
        <v>25</v>
      </c>
      <c r="M4515">
        <v>6</v>
      </c>
      <c r="N4515">
        <v>0</v>
      </c>
      <c r="O4515" t="s">
        <v>54</v>
      </c>
      <c r="P4515" t="s">
        <v>55</v>
      </c>
      <c r="Q4515">
        <v>20.6</v>
      </c>
      <c r="R4515">
        <v>39</v>
      </c>
      <c r="S4515" t="s">
        <v>27</v>
      </c>
    </row>
    <row r="4516" spans="1:19" x14ac:dyDescent="0.3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 t="str">
        <f t="shared" si="70"/>
        <v>31-60 days</v>
      </c>
      <c r="L4516">
        <v>38</v>
      </c>
      <c r="M4516">
        <v>2</v>
      </c>
      <c r="N4516">
        <v>0</v>
      </c>
      <c r="O4516" t="s">
        <v>25</v>
      </c>
      <c r="P4516" t="s">
        <v>26</v>
      </c>
      <c r="Q4516">
        <v>5.6</v>
      </c>
      <c r="R4516">
        <v>27</v>
      </c>
      <c r="S4516" t="s">
        <v>27</v>
      </c>
    </row>
    <row r="4517" spans="1:19" x14ac:dyDescent="0.3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 t="str">
        <f t="shared" si="70"/>
        <v>31-60 days</v>
      </c>
      <c r="L4517">
        <v>60</v>
      </c>
      <c r="M4517">
        <v>2</v>
      </c>
      <c r="N4517">
        <v>1</v>
      </c>
      <c r="O4517" t="s">
        <v>54</v>
      </c>
      <c r="P4517" t="s">
        <v>55</v>
      </c>
      <c r="Q4517">
        <v>7.7</v>
      </c>
      <c r="R4517">
        <v>9</v>
      </c>
      <c r="S4517" t="s">
        <v>27</v>
      </c>
    </row>
    <row r="4518" spans="1:19" x14ac:dyDescent="0.3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 t="str">
        <f t="shared" si="70"/>
        <v>15-30 days</v>
      </c>
      <c r="L4518">
        <v>24</v>
      </c>
      <c r="M4518">
        <v>1</v>
      </c>
      <c r="N4518">
        <v>0</v>
      </c>
      <c r="O4518" t="s">
        <v>25</v>
      </c>
      <c r="P4518" t="s">
        <v>50</v>
      </c>
      <c r="Q4518">
        <v>2.2999999999999998</v>
      </c>
      <c r="R4518">
        <v>34</v>
      </c>
      <c r="S4518" t="s">
        <v>36</v>
      </c>
    </row>
    <row r="4519" spans="1:19" x14ac:dyDescent="0.3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 t="str">
        <f t="shared" si="70"/>
        <v>0-7 days</v>
      </c>
      <c r="L4519">
        <v>3</v>
      </c>
      <c r="M4519">
        <v>5</v>
      </c>
      <c r="N4519">
        <v>1</v>
      </c>
      <c r="O4519" t="s">
        <v>25</v>
      </c>
      <c r="P4519" t="s">
        <v>26</v>
      </c>
      <c r="Q4519">
        <v>10</v>
      </c>
      <c r="R4519">
        <v>22</v>
      </c>
      <c r="S4519" t="s">
        <v>36</v>
      </c>
    </row>
    <row r="4520" spans="1:19" x14ac:dyDescent="0.3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 t="str">
        <f t="shared" si="70"/>
        <v>31-60 days</v>
      </c>
      <c r="L4520">
        <v>55</v>
      </c>
      <c r="M4520">
        <v>7</v>
      </c>
      <c r="N4520">
        <v>1</v>
      </c>
      <c r="O4520" t="s">
        <v>25</v>
      </c>
      <c r="P4520" t="s">
        <v>35</v>
      </c>
      <c r="Q4520">
        <v>10</v>
      </c>
      <c r="R4520">
        <v>32</v>
      </c>
      <c r="S4520" t="s">
        <v>36</v>
      </c>
    </row>
    <row r="4521" spans="1:19" x14ac:dyDescent="0.3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 t="str">
        <f t="shared" si="70"/>
        <v>31-60 days</v>
      </c>
      <c r="L4521">
        <v>56</v>
      </c>
      <c r="M4521">
        <v>4</v>
      </c>
      <c r="N4521">
        <v>0</v>
      </c>
      <c r="O4521" t="s">
        <v>25</v>
      </c>
      <c r="P4521" t="s">
        <v>35</v>
      </c>
      <c r="Q4521">
        <v>8.1999999999999993</v>
      </c>
      <c r="R4521">
        <v>9</v>
      </c>
      <c r="S4521" t="s">
        <v>36</v>
      </c>
    </row>
    <row r="4522" spans="1:19" x14ac:dyDescent="0.3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 t="str">
        <f t="shared" si="70"/>
        <v>15-30 days</v>
      </c>
      <c r="L4522">
        <v>19</v>
      </c>
      <c r="M4522">
        <v>2</v>
      </c>
      <c r="N4522">
        <v>1</v>
      </c>
      <c r="O4522" t="s">
        <v>25</v>
      </c>
      <c r="P4522" t="s">
        <v>35</v>
      </c>
      <c r="Q4522">
        <v>7.4</v>
      </c>
      <c r="R4522">
        <v>30</v>
      </c>
      <c r="S4522" t="s">
        <v>27</v>
      </c>
    </row>
    <row r="4523" spans="1:19" x14ac:dyDescent="0.3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 t="str">
        <f t="shared" si="70"/>
        <v>15-30 days</v>
      </c>
      <c r="L4523">
        <v>30</v>
      </c>
      <c r="M4523">
        <v>2</v>
      </c>
      <c r="N4523">
        <v>0</v>
      </c>
      <c r="O4523" t="s">
        <v>25</v>
      </c>
      <c r="P4523" t="s">
        <v>26</v>
      </c>
      <c r="Q4523">
        <v>14.1</v>
      </c>
      <c r="S4523" t="s">
        <v>27</v>
      </c>
    </row>
    <row r="4524" spans="1:19" x14ac:dyDescent="0.3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 t="str">
        <f t="shared" si="70"/>
        <v>31-60 days</v>
      </c>
      <c r="L4524">
        <v>52</v>
      </c>
      <c r="M4524">
        <v>7</v>
      </c>
      <c r="N4524">
        <v>2</v>
      </c>
      <c r="O4524" t="s">
        <v>25</v>
      </c>
      <c r="P4524" t="s">
        <v>26</v>
      </c>
      <c r="Q4524">
        <v>16.7</v>
      </c>
      <c r="R4524">
        <v>30</v>
      </c>
      <c r="S4524" t="s">
        <v>36</v>
      </c>
    </row>
    <row r="4525" spans="1:19" x14ac:dyDescent="0.3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 t="str">
        <f t="shared" si="70"/>
        <v>15-30 days</v>
      </c>
      <c r="L4525">
        <v>30</v>
      </c>
      <c r="M4525">
        <v>4</v>
      </c>
      <c r="N4525">
        <v>0</v>
      </c>
      <c r="O4525" t="s">
        <v>25</v>
      </c>
      <c r="P4525" t="s">
        <v>26</v>
      </c>
      <c r="Q4525">
        <v>15.1</v>
      </c>
      <c r="R4525">
        <v>17</v>
      </c>
      <c r="S4525" t="s">
        <v>36</v>
      </c>
    </row>
    <row r="4526" spans="1:19" x14ac:dyDescent="0.3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 t="str">
        <f t="shared" si="70"/>
        <v>15-30 days</v>
      </c>
      <c r="L4526">
        <v>29</v>
      </c>
      <c r="M4526">
        <v>4</v>
      </c>
      <c r="N4526">
        <v>1</v>
      </c>
      <c r="O4526" t="s">
        <v>25</v>
      </c>
      <c r="P4526" t="s">
        <v>35</v>
      </c>
      <c r="Q4526">
        <v>8.3000000000000007</v>
      </c>
      <c r="R4526">
        <v>36</v>
      </c>
      <c r="S4526" t="s">
        <v>36</v>
      </c>
    </row>
    <row r="4527" spans="1:19" x14ac:dyDescent="0.3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 t="str">
        <f t="shared" si="70"/>
        <v>31-60 days</v>
      </c>
      <c r="L4527">
        <v>56</v>
      </c>
      <c r="M4527">
        <v>3</v>
      </c>
      <c r="N4527">
        <v>1</v>
      </c>
      <c r="O4527" t="s">
        <v>54</v>
      </c>
      <c r="P4527" t="s">
        <v>55</v>
      </c>
      <c r="Q4527">
        <v>13.1</v>
      </c>
      <c r="R4527">
        <v>16</v>
      </c>
      <c r="S4527" t="s">
        <v>27</v>
      </c>
    </row>
    <row r="4528" spans="1:19" x14ac:dyDescent="0.3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 t="str">
        <f t="shared" si="70"/>
        <v>31-60 days</v>
      </c>
      <c r="L4528">
        <v>50</v>
      </c>
      <c r="M4528">
        <v>2</v>
      </c>
      <c r="N4528">
        <v>0</v>
      </c>
      <c r="O4528" t="s">
        <v>54</v>
      </c>
      <c r="P4528" t="s">
        <v>55</v>
      </c>
      <c r="Q4528">
        <v>8.6999999999999993</v>
      </c>
      <c r="R4528">
        <v>29</v>
      </c>
      <c r="S4528" t="s">
        <v>27</v>
      </c>
    </row>
    <row r="4529" spans="1:19" x14ac:dyDescent="0.3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 t="str">
        <f t="shared" si="70"/>
        <v>15-30 days</v>
      </c>
      <c r="L4529">
        <v>30</v>
      </c>
      <c r="M4529">
        <v>1</v>
      </c>
      <c r="N4529">
        <v>0</v>
      </c>
      <c r="O4529" t="s">
        <v>25</v>
      </c>
      <c r="P4529" t="s">
        <v>26</v>
      </c>
      <c r="Q4529">
        <v>7.1</v>
      </c>
      <c r="R4529">
        <v>48</v>
      </c>
      <c r="S4529" t="s">
        <v>71</v>
      </c>
    </row>
    <row r="4530" spans="1:19" x14ac:dyDescent="0.3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 t="str">
        <f t="shared" si="70"/>
        <v>8-14 days</v>
      </c>
      <c r="L4530">
        <v>9</v>
      </c>
      <c r="M4530">
        <v>3</v>
      </c>
      <c r="N4530">
        <v>1</v>
      </c>
      <c r="O4530" t="s">
        <v>25</v>
      </c>
      <c r="P4530" t="s">
        <v>50</v>
      </c>
      <c r="Q4530">
        <v>9.1999999999999993</v>
      </c>
      <c r="R4530">
        <v>17</v>
      </c>
      <c r="S4530" t="s">
        <v>36</v>
      </c>
    </row>
    <row r="4531" spans="1:19" x14ac:dyDescent="0.3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 t="str">
        <f t="shared" si="70"/>
        <v>15-30 days</v>
      </c>
      <c r="L4531">
        <v>26</v>
      </c>
      <c r="M4531">
        <v>3</v>
      </c>
      <c r="N4531">
        <v>0</v>
      </c>
      <c r="O4531" t="s">
        <v>25</v>
      </c>
      <c r="P4531" t="s">
        <v>35</v>
      </c>
      <c r="Q4531">
        <v>6.3</v>
      </c>
      <c r="R4531">
        <v>29</v>
      </c>
      <c r="S4531" t="s">
        <v>27</v>
      </c>
    </row>
    <row r="4532" spans="1:19" x14ac:dyDescent="0.3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 t="str">
        <f t="shared" si="70"/>
        <v>31-60 days</v>
      </c>
      <c r="L4532">
        <v>41</v>
      </c>
      <c r="M4532">
        <v>2</v>
      </c>
      <c r="N4532">
        <v>0</v>
      </c>
      <c r="O4532" t="s">
        <v>54</v>
      </c>
      <c r="P4532" t="s">
        <v>55</v>
      </c>
      <c r="Q4532">
        <v>4.2</v>
      </c>
      <c r="R4532">
        <v>46</v>
      </c>
      <c r="S4532" t="s">
        <v>27</v>
      </c>
    </row>
    <row r="4533" spans="1:19" x14ac:dyDescent="0.3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 t="str">
        <f t="shared" si="70"/>
        <v>15-30 days</v>
      </c>
      <c r="L4533">
        <v>16</v>
      </c>
      <c r="M4533">
        <v>6</v>
      </c>
      <c r="N4533">
        <v>0</v>
      </c>
      <c r="O4533" t="s">
        <v>54</v>
      </c>
      <c r="P4533" t="s">
        <v>55</v>
      </c>
      <c r="Q4533">
        <v>19.2</v>
      </c>
      <c r="R4533">
        <v>35</v>
      </c>
      <c r="S4533" t="s">
        <v>36</v>
      </c>
    </row>
    <row r="4534" spans="1:19" x14ac:dyDescent="0.3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 t="str">
        <f t="shared" si="70"/>
        <v>31-60 days</v>
      </c>
      <c r="L4534">
        <v>32</v>
      </c>
      <c r="M4534">
        <v>2</v>
      </c>
      <c r="N4534">
        <v>1</v>
      </c>
      <c r="O4534" t="s">
        <v>54</v>
      </c>
      <c r="P4534" t="s">
        <v>55</v>
      </c>
      <c r="Q4534">
        <v>14.2</v>
      </c>
      <c r="R4534">
        <v>32</v>
      </c>
      <c r="S4534" t="s">
        <v>27</v>
      </c>
    </row>
    <row r="4535" spans="1:19" x14ac:dyDescent="0.3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 t="str">
        <f t="shared" si="70"/>
        <v>31-60 days</v>
      </c>
      <c r="L4535">
        <v>40</v>
      </c>
      <c r="M4535">
        <v>4</v>
      </c>
      <c r="N4535">
        <v>1</v>
      </c>
      <c r="O4535" t="s">
        <v>25</v>
      </c>
      <c r="P4535" t="s">
        <v>35</v>
      </c>
      <c r="Q4535">
        <v>4.5999999999999996</v>
      </c>
      <c r="R4535">
        <v>2</v>
      </c>
      <c r="S4535" t="s">
        <v>27</v>
      </c>
    </row>
    <row r="4536" spans="1:19" x14ac:dyDescent="0.3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 t="str">
        <f t="shared" si="70"/>
        <v>0-7 days</v>
      </c>
      <c r="L4536">
        <v>5</v>
      </c>
      <c r="M4536">
        <v>3</v>
      </c>
      <c r="N4536">
        <v>0</v>
      </c>
      <c r="O4536" t="s">
        <v>54</v>
      </c>
      <c r="P4536" t="s">
        <v>55</v>
      </c>
      <c r="Q4536">
        <v>4.9000000000000004</v>
      </c>
      <c r="R4536">
        <v>13</v>
      </c>
      <c r="S4536" t="s">
        <v>36</v>
      </c>
    </row>
    <row r="4537" spans="1:19" x14ac:dyDescent="0.3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 t="str">
        <f t="shared" si="70"/>
        <v>31-60 days</v>
      </c>
      <c r="L4537">
        <v>34</v>
      </c>
      <c r="M4537">
        <v>1</v>
      </c>
      <c r="N4537">
        <v>0</v>
      </c>
      <c r="O4537" t="s">
        <v>25</v>
      </c>
      <c r="P4537" t="s">
        <v>50</v>
      </c>
      <c r="Q4537">
        <v>10.3</v>
      </c>
      <c r="R4537">
        <v>33</v>
      </c>
      <c r="S4537" t="s">
        <v>27</v>
      </c>
    </row>
    <row r="4538" spans="1:19" x14ac:dyDescent="0.3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 t="str">
        <f t="shared" si="70"/>
        <v>31-60 days</v>
      </c>
      <c r="L4538">
        <v>44</v>
      </c>
      <c r="M4538">
        <v>4</v>
      </c>
      <c r="N4538">
        <v>1</v>
      </c>
      <c r="O4538" t="s">
        <v>25</v>
      </c>
      <c r="P4538" t="s">
        <v>35</v>
      </c>
      <c r="Q4538">
        <v>8.6999999999999993</v>
      </c>
      <c r="R4538">
        <v>20</v>
      </c>
      <c r="S4538" t="s">
        <v>27</v>
      </c>
    </row>
    <row r="4539" spans="1:19" x14ac:dyDescent="0.3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 t="str">
        <f t="shared" si="70"/>
        <v>8-14 days</v>
      </c>
      <c r="L4539">
        <v>13</v>
      </c>
      <c r="M4539">
        <v>1</v>
      </c>
      <c r="N4539">
        <v>0</v>
      </c>
      <c r="O4539" t="s">
        <v>54</v>
      </c>
      <c r="P4539" t="s">
        <v>55</v>
      </c>
      <c r="Q4539">
        <v>5.9</v>
      </c>
      <c r="R4539">
        <v>18</v>
      </c>
      <c r="S4539" t="s">
        <v>27</v>
      </c>
    </row>
    <row r="4540" spans="1:19" x14ac:dyDescent="0.3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 t="str">
        <f t="shared" si="70"/>
        <v>31-60 days</v>
      </c>
      <c r="L4540">
        <v>33</v>
      </c>
      <c r="M4540">
        <v>5</v>
      </c>
      <c r="N4540">
        <v>0</v>
      </c>
      <c r="O4540" t="s">
        <v>25</v>
      </c>
      <c r="P4540" t="s">
        <v>35</v>
      </c>
      <c r="Q4540">
        <v>6.7</v>
      </c>
      <c r="R4540">
        <v>37</v>
      </c>
      <c r="S4540" t="s">
        <v>36</v>
      </c>
    </row>
    <row r="4541" spans="1:19" x14ac:dyDescent="0.3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 t="str">
        <f t="shared" si="70"/>
        <v>31-60 days</v>
      </c>
      <c r="L4541">
        <v>43</v>
      </c>
      <c r="M4541">
        <v>2</v>
      </c>
      <c r="N4541">
        <v>0</v>
      </c>
      <c r="O4541" t="s">
        <v>25</v>
      </c>
      <c r="P4541" t="s">
        <v>50</v>
      </c>
      <c r="Q4541">
        <v>5.4</v>
      </c>
      <c r="R4541">
        <v>31</v>
      </c>
      <c r="S4541" t="s">
        <v>36</v>
      </c>
    </row>
    <row r="4542" spans="1:19" x14ac:dyDescent="0.3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 t="str">
        <f t="shared" si="70"/>
        <v>0-7 days</v>
      </c>
      <c r="L4542">
        <v>2</v>
      </c>
      <c r="M4542">
        <v>3</v>
      </c>
      <c r="N4542">
        <v>1</v>
      </c>
      <c r="O4542" t="s">
        <v>54</v>
      </c>
      <c r="P4542" t="s">
        <v>55</v>
      </c>
      <c r="Q4542">
        <v>10.7</v>
      </c>
      <c r="R4542">
        <v>15</v>
      </c>
      <c r="S4542" t="s">
        <v>36</v>
      </c>
    </row>
    <row r="4543" spans="1:19" x14ac:dyDescent="0.3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 t="str">
        <f t="shared" si="70"/>
        <v>31-60 days</v>
      </c>
      <c r="L4543">
        <v>39</v>
      </c>
      <c r="M4543">
        <v>4</v>
      </c>
      <c r="N4543">
        <v>0</v>
      </c>
      <c r="O4543" t="s">
        <v>54</v>
      </c>
      <c r="P4543" t="s">
        <v>55</v>
      </c>
      <c r="Q4543">
        <v>15.9</v>
      </c>
      <c r="R4543">
        <v>32</v>
      </c>
      <c r="S4543" t="s">
        <v>36</v>
      </c>
    </row>
    <row r="4544" spans="1:19" x14ac:dyDescent="0.3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 t="str">
        <f t="shared" si="70"/>
        <v>15-30 days</v>
      </c>
      <c r="L4544">
        <v>15</v>
      </c>
      <c r="M4544">
        <v>3</v>
      </c>
      <c r="N4544">
        <v>0</v>
      </c>
      <c r="O4544" t="s">
        <v>25</v>
      </c>
      <c r="P4544" t="s">
        <v>35</v>
      </c>
      <c r="Q4544">
        <v>9.1</v>
      </c>
      <c r="R4544">
        <v>13</v>
      </c>
      <c r="S4544" t="s">
        <v>36</v>
      </c>
    </row>
    <row r="4545" spans="1:19" x14ac:dyDescent="0.3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 t="str">
        <f t="shared" si="70"/>
        <v>15-30 days</v>
      </c>
      <c r="L4545">
        <v>24</v>
      </c>
      <c r="M4545">
        <v>4</v>
      </c>
      <c r="N4545">
        <v>0</v>
      </c>
      <c r="O4545" t="s">
        <v>25</v>
      </c>
      <c r="P4545" t="s">
        <v>35</v>
      </c>
      <c r="Q4545">
        <v>7.6</v>
      </c>
      <c r="S4545" t="s">
        <v>27</v>
      </c>
    </row>
    <row r="4546" spans="1:19" x14ac:dyDescent="0.3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 t="str">
        <f t="shared" si="70"/>
        <v>31-60 days</v>
      </c>
      <c r="L4546">
        <v>39</v>
      </c>
      <c r="M4546">
        <v>5</v>
      </c>
      <c r="N4546">
        <v>1</v>
      </c>
      <c r="O4546" t="s">
        <v>25</v>
      </c>
      <c r="P4546" t="s">
        <v>35</v>
      </c>
      <c r="Q4546">
        <v>4.0999999999999996</v>
      </c>
      <c r="R4546">
        <v>27</v>
      </c>
      <c r="S4546" t="s">
        <v>27</v>
      </c>
    </row>
    <row r="4547" spans="1:19" x14ac:dyDescent="0.3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 t="str">
        <f t="shared" ref="K4547:K4610" si="71">IF(L4547&lt;=7,"0-7 days",IF(L4547&lt;=14,"8-14 days",IF(L4547&lt;=30,"15-30 days","31-60 days")))</f>
        <v>0-7 days</v>
      </c>
      <c r="L4547">
        <v>0</v>
      </c>
      <c r="M4547">
        <v>3</v>
      </c>
      <c r="N4547">
        <v>0</v>
      </c>
      <c r="O4547" t="s">
        <v>25</v>
      </c>
      <c r="P4547" t="s">
        <v>35</v>
      </c>
      <c r="Q4547">
        <v>2.7</v>
      </c>
      <c r="R4547">
        <v>10</v>
      </c>
      <c r="S4547" t="s">
        <v>27</v>
      </c>
    </row>
    <row r="4548" spans="1:19" x14ac:dyDescent="0.3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 t="str">
        <f t="shared" si="71"/>
        <v>0-7 days</v>
      </c>
      <c r="L4548">
        <v>1</v>
      </c>
      <c r="M4548">
        <v>4</v>
      </c>
      <c r="N4548">
        <v>0</v>
      </c>
      <c r="O4548" t="s">
        <v>25</v>
      </c>
      <c r="P4548" t="s">
        <v>26</v>
      </c>
      <c r="Q4548">
        <v>3.3</v>
      </c>
      <c r="R4548">
        <v>10</v>
      </c>
      <c r="S4548" t="s">
        <v>36</v>
      </c>
    </row>
    <row r="4549" spans="1:19" x14ac:dyDescent="0.3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 t="str">
        <f t="shared" si="71"/>
        <v>15-30 days</v>
      </c>
      <c r="L4549">
        <v>27</v>
      </c>
      <c r="M4549">
        <v>3</v>
      </c>
      <c r="N4549">
        <v>0</v>
      </c>
      <c r="O4549" t="s">
        <v>25</v>
      </c>
      <c r="P4549" t="s">
        <v>26</v>
      </c>
      <c r="Q4549">
        <v>10.8</v>
      </c>
      <c r="R4549">
        <v>12</v>
      </c>
      <c r="S4549" t="s">
        <v>36</v>
      </c>
    </row>
    <row r="4550" spans="1:19" x14ac:dyDescent="0.3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 t="str">
        <f t="shared" si="71"/>
        <v>31-60 days</v>
      </c>
      <c r="L4550">
        <v>57</v>
      </c>
      <c r="M4550">
        <v>3</v>
      </c>
      <c r="N4550">
        <v>0</v>
      </c>
      <c r="O4550" t="s">
        <v>25</v>
      </c>
      <c r="P4550" t="s">
        <v>26</v>
      </c>
      <c r="Q4550">
        <v>11</v>
      </c>
      <c r="R4550">
        <v>25</v>
      </c>
      <c r="S4550" t="s">
        <v>27</v>
      </c>
    </row>
    <row r="4551" spans="1:19" x14ac:dyDescent="0.3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 t="str">
        <f t="shared" si="71"/>
        <v>0-7 days</v>
      </c>
      <c r="L4551">
        <v>0</v>
      </c>
      <c r="M4551">
        <v>1</v>
      </c>
      <c r="N4551">
        <v>0</v>
      </c>
      <c r="O4551" t="s">
        <v>54</v>
      </c>
      <c r="P4551" t="s">
        <v>55</v>
      </c>
      <c r="Q4551">
        <v>2</v>
      </c>
      <c r="R4551">
        <v>32</v>
      </c>
      <c r="S4551" t="s">
        <v>36</v>
      </c>
    </row>
    <row r="4552" spans="1:19" x14ac:dyDescent="0.3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 t="str">
        <f t="shared" si="71"/>
        <v>31-60 days</v>
      </c>
      <c r="L4552">
        <v>48</v>
      </c>
      <c r="M4552">
        <v>7</v>
      </c>
      <c r="N4552">
        <v>2</v>
      </c>
      <c r="O4552" t="s">
        <v>25</v>
      </c>
      <c r="P4552" t="s">
        <v>35</v>
      </c>
      <c r="Q4552">
        <v>3.2</v>
      </c>
      <c r="R4552">
        <v>20</v>
      </c>
      <c r="S4552" t="s">
        <v>27</v>
      </c>
    </row>
    <row r="4553" spans="1:19" x14ac:dyDescent="0.3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 t="str">
        <f t="shared" si="71"/>
        <v>0-7 days</v>
      </c>
      <c r="L4553">
        <v>4</v>
      </c>
      <c r="M4553">
        <v>1</v>
      </c>
      <c r="N4553">
        <v>0</v>
      </c>
      <c r="O4553" t="s">
        <v>25</v>
      </c>
      <c r="P4553" t="s">
        <v>35</v>
      </c>
      <c r="Q4553">
        <v>6.2</v>
      </c>
      <c r="R4553">
        <v>10</v>
      </c>
      <c r="S4553" t="s">
        <v>36</v>
      </c>
    </row>
    <row r="4554" spans="1:19" x14ac:dyDescent="0.3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 t="str">
        <f t="shared" si="71"/>
        <v>15-30 days</v>
      </c>
      <c r="L4554">
        <v>29</v>
      </c>
      <c r="M4554">
        <v>5</v>
      </c>
      <c r="N4554">
        <v>0</v>
      </c>
      <c r="O4554" t="s">
        <v>25</v>
      </c>
      <c r="P4554" t="s">
        <v>50</v>
      </c>
      <c r="Q4554">
        <v>6.5</v>
      </c>
      <c r="R4554">
        <v>11</v>
      </c>
      <c r="S4554" t="s">
        <v>36</v>
      </c>
    </row>
    <row r="4555" spans="1:19" x14ac:dyDescent="0.3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 t="str">
        <f t="shared" si="71"/>
        <v>15-30 days</v>
      </c>
      <c r="L4555">
        <v>26</v>
      </c>
      <c r="M4555">
        <v>6</v>
      </c>
      <c r="N4555">
        <v>4</v>
      </c>
      <c r="O4555" t="s">
        <v>54</v>
      </c>
      <c r="P4555" t="s">
        <v>55</v>
      </c>
      <c r="Q4555">
        <v>31.4</v>
      </c>
      <c r="R4555">
        <v>6</v>
      </c>
      <c r="S4555" t="s">
        <v>27</v>
      </c>
    </row>
    <row r="4556" spans="1:19" x14ac:dyDescent="0.3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 t="str">
        <f t="shared" si="71"/>
        <v>15-30 days</v>
      </c>
      <c r="L4556">
        <v>28</v>
      </c>
      <c r="M4556">
        <v>1</v>
      </c>
      <c r="N4556">
        <v>0</v>
      </c>
      <c r="O4556" t="s">
        <v>54</v>
      </c>
      <c r="P4556" t="s">
        <v>55</v>
      </c>
      <c r="Q4556">
        <v>1.5</v>
      </c>
      <c r="R4556">
        <v>31</v>
      </c>
      <c r="S4556" t="s">
        <v>36</v>
      </c>
    </row>
    <row r="4557" spans="1:19" x14ac:dyDescent="0.3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 t="str">
        <f t="shared" si="71"/>
        <v>0-7 days</v>
      </c>
      <c r="L4557">
        <v>4</v>
      </c>
      <c r="M4557">
        <v>2</v>
      </c>
      <c r="N4557">
        <v>1</v>
      </c>
      <c r="O4557" t="s">
        <v>25</v>
      </c>
      <c r="P4557" t="s">
        <v>26</v>
      </c>
      <c r="Q4557">
        <v>7.2</v>
      </c>
      <c r="R4557">
        <v>14</v>
      </c>
      <c r="S4557" t="s">
        <v>36</v>
      </c>
    </row>
    <row r="4558" spans="1:19" x14ac:dyDescent="0.3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 t="str">
        <f t="shared" si="71"/>
        <v>31-60 days</v>
      </c>
      <c r="L4558">
        <v>45</v>
      </c>
      <c r="M4558">
        <v>0</v>
      </c>
      <c r="N4558">
        <v>0</v>
      </c>
      <c r="O4558" t="s">
        <v>25</v>
      </c>
      <c r="P4558" t="s">
        <v>26</v>
      </c>
      <c r="Q4558">
        <v>2.9</v>
      </c>
      <c r="R4558">
        <v>26</v>
      </c>
      <c r="S4558" t="s">
        <v>27</v>
      </c>
    </row>
    <row r="4559" spans="1:19" x14ac:dyDescent="0.3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 t="str">
        <f t="shared" si="71"/>
        <v>15-30 days</v>
      </c>
      <c r="L4559">
        <v>16</v>
      </c>
      <c r="M4559">
        <v>0</v>
      </c>
      <c r="N4559">
        <v>0</v>
      </c>
      <c r="O4559" t="s">
        <v>25</v>
      </c>
      <c r="P4559" t="s">
        <v>26</v>
      </c>
      <c r="Q4559">
        <v>10.4</v>
      </c>
      <c r="R4559">
        <v>4</v>
      </c>
      <c r="S4559" t="s">
        <v>27</v>
      </c>
    </row>
    <row r="4560" spans="1:19" x14ac:dyDescent="0.3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 t="str">
        <f t="shared" si="71"/>
        <v>31-60 days</v>
      </c>
      <c r="L4560">
        <v>47</v>
      </c>
      <c r="M4560">
        <v>5</v>
      </c>
      <c r="N4560">
        <v>0</v>
      </c>
      <c r="O4560" t="s">
        <v>25</v>
      </c>
      <c r="P4560" t="s">
        <v>35</v>
      </c>
      <c r="Q4560">
        <v>5.7</v>
      </c>
      <c r="R4560">
        <v>37</v>
      </c>
      <c r="S4560" t="s">
        <v>27</v>
      </c>
    </row>
    <row r="4561" spans="1:19" x14ac:dyDescent="0.3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 t="str">
        <f t="shared" si="71"/>
        <v>31-60 days</v>
      </c>
      <c r="L4561">
        <v>39</v>
      </c>
      <c r="M4561">
        <v>4</v>
      </c>
      <c r="N4561">
        <v>1</v>
      </c>
      <c r="O4561" t="s">
        <v>25</v>
      </c>
      <c r="P4561" t="s">
        <v>35</v>
      </c>
      <c r="Q4561">
        <v>6.5</v>
      </c>
      <c r="R4561">
        <v>23</v>
      </c>
      <c r="S4561" t="s">
        <v>36</v>
      </c>
    </row>
    <row r="4562" spans="1:19" x14ac:dyDescent="0.3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 t="str">
        <f t="shared" si="71"/>
        <v>31-60 days</v>
      </c>
      <c r="L4562">
        <v>33</v>
      </c>
      <c r="M4562">
        <v>5</v>
      </c>
      <c r="N4562">
        <v>1</v>
      </c>
      <c r="O4562" t="s">
        <v>25</v>
      </c>
      <c r="P4562" t="s">
        <v>26</v>
      </c>
      <c r="Q4562">
        <v>0.8</v>
      </c>
      <c r="R4562">
        <v>6</v>
      </c>
      <c r="S4562" t="s">
        <v>36</v>
      </c>
    </row>
    <row r="4563" spans="1:19" x14ac:dyDescent="0.3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 t="str">
        <f t="shared" si="71"/>
        <v>15-30 days</v>
      </c>
      <c r="L4563">
        <v>18</v>
      </c>
      <c r="M4563">
        <v>5</v>
      </c>
      <c r="N4563">
        <v>3</v>
      </c>
      <c r="O4563" t="s">
        <v>54</v>
      </c>
      <c r="P4563" t="s">
        <v>55</v>
      </c>
      <c r="Q4563">
        <v>13.5</v>
      </c>
      <c r="R4563">
        <v>17</v>
      </c>
      <c r="S4563" t="s">
        <v>27</v>
      </c>
    </row>
    <row r="4564" spans="1:19" x14ac:dyDescent="0.3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 t="str">
        <f t="shared" si="71"/>
        <v>31-60 days</v>
      </c>
      <c r="L4564">
        <v>39</v>
      </c>
      <c r="M4564">
        <v>4</v>
      </c>
      <c r="N4564">
        <v>1</v>
      </c>
      <c r="O4564" t="s">
        <v>25</v>
      </c>
      <c r="P4564" t="s">
        <v>35</v>
      </c>
      <c r="Q4564">
        <v>28.6</v>
      </c>
      <c r="R4564">
        <v>26</v>
      </c>
      <c r="S4564" t="s">
        <v>27</v>
      </c>
    </row>
    <row r="4565" spans="1:19" x14ac:dyDescent="0.3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 t="str">
        <f t="shared" si="71"/>
        <v>31-60 days</v>
      </c>
      <c r="L4565">
        <v>60</v>
      </c>
      <c r="M4565">
        <v>3</v>
      </c>
      <c r="N4565">
        <v>2</v>
      </c>
      <c r="O4565" t="s">
        <v>54</v>
      </c>
      <c r="P4565" t="s">
        <v>55</v>
      </c>
      <c r="Q4565">
        <v>8.1</v>
      </c>
      <c r="R4565">
        <v>14</v>
      </c>
      <c r="S4565" t="s">
        <v>27</v>
      </c>
    </row>
    <row r="4566" spans="1:19" x14ac:dyDescent="0.3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 t="str">
        <f t="shared" si="71"/>
        <v>31-60 days</v>
      </c>
      <c r="L4566">
        <v>56</v>
      </c>
      <c r="M4566">
        <v>2</v>
      </c>
      <c r="N4566">
        <v>0</v>
      </c>
      <c r="O4566" t="s">
        <v>54</v>
      </c>
      <c r="P4566" t="s">
        <v>55</v>
      </c>
      <c r="Q4566">
        <v>9</v>
      </c>
      <c r="R4566">
        <v>27</v>
      </c>
      <c r="S4566" t="s">
        <v>36</v>
      </c>
    </row>
    <row r="4567" spans="1:19" x14ac:dyDescent="0.3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 t="str">
        <f t="shared" si="71"/>
        <v>31-60 days</v>
      </c>
      <c r="L4567">
        <v>55</v>
      </c>
      <c r="M4567">
        <v>3</v>
      </c>
      <c r="N4567">
        <v>0</v>
      </c>
      <c r="O4567" t="s">
        <v>54</v>
      </c>
      <c r="P4567" t="s">
        <v>55</v>
      </c>
      <c r="Q4567">
        <v>14.6</v>
      </c>
      <c r="R4567">
        <v>38</v>
      </c>
      <c r="S4567" t="s">
        <v>27</v>
      </c>
    </row>
    <row r="4568" spans="1:19" x14ac:dyDescent="0.3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 t="str">
        <f t="shared" si="71"/>
        <v>8-14 days</v>
      </c>
      <c r="L4568">
        <v>13</v>
      </c>
      <c r="M4568">
        <v>3</v>
      </c>
      <c r="N4568">
        <v>2</v>
      </c>
      <c r="O4568" t="s">
        <v>25</v>
      </c>
      <c r="P4568" t="s">
        <v>35</v>
      </c>
      <c r="Q4568">
        <v>8.6</v>
      </c>
      <c r="R4568">
        <v>34</v>
      </c>
      <c r="S4568" t="s">
        <v>27</v>
      </c>
    </row>
    <row r="4569" spans="1:19" x14ac:dyDescent="0.3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 t="str">
        <f t="shared" si="71"/>
        <v>31-60 days</v>
      </c>
      <c r="L4569">
        <v>35</v>
      </c>
      <c r="M4569">
        <v>2</v>
      </c>
      <c r="N4569">
        <v>1</v>
      </c>
      <c r="O4569" t="s">
        <v>25</v>
      </c>
      <c r="P4569" t="s">
        <v>35</v>
      </c>
      <c r="Q4569">
        <v>8.5</v>
      </c>
      <c r="R4569">
        <v>23</v>
      </c>
      <c r="S4569" t="s">
        <v>27</v>
      </c>
    </row>
    <row r="4570" spans="1:19" x14ac:dyDescent="0.3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 t="str">
        <f t="shared" si="71"/>
        <v>15-30 days</v>
      </c>
      <c r="L4570">
        <v>24</v>
      </c>
      <c r="M4570">
        <v>0</v>
      </c>
      <c r="N4570">
        <v>0</v>
      </c>
      <c r="O4570" t="s">
        <v>25</v>
      </c>
      <c r="P4570" t="s">
        <v>35</v>
      </c>
      <c r="Q4570">
        <v>13.4</v>
      </c>
      <c r="R4570">
        <v>39</v>
      </c>
      <c r="S4570" t="s">
        <v>27</v>
      </c>
    </row>
    <row r="4571" spans="1:19" x14ac:dyDescent="0.3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 t="str">
        <f t="shared" si="71"/>
        <v>31-60 days</v>
      </c>
      <c r="L4571">
        <v>58</v>
      </c>
      <c r="M4571">
        <v>2</v>
      </c>
      <c r="N4571">
        <v>0</v>
      </c>
      <c r="O4571" t="s">
        <v>25</v>
      </c>
      <c r="P4571" t="s">
        <v>26</v>
      </c>
      <c r="Q4571">
        <v>1.7</v>
      </c>
      <c r="R4571">
        <v>26</v>
      </c>
      <c r="S4571" t="s">
        <v>27</v>
      </c>
    </row>
    <row r="4572" spans="1:19" x14ac:dyDescent="0.3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 t="str">
        <f t="shared" si="71"/>
        <v>31-60 days</v>
      </c>
      <c r="L4572">
        <v>57</v>
      </c>
      <c r="M4572">
        <v>6</v>
      </c>
      <c r="N4572">
        <v>0</v>
      </c>
      <c r="O4572" t="s">
        <v>25</v>
      </c>
      <c r="P4572" t="s">
        <v>35</v>
      </c>
      <c r="Q4572">
        <v>10.199999999999999</v>
      </c>
      <c r="R4572">
        <v>22</v>
      </c>
      <c r="S4572" t="s">
        <v>71</v>
      </c>
    </row>
    <row r="4573" spans="1:19" x14ac:dyDescent="0.3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 t="str">
        <f t="shared" si="71"/>
        <v>31-60 days</v>
      </c>
      <c r="L4573">
        <v>52</v>
      </c>
      <c r="M4573">
        <v>2</v>
      </c>
      <c r="N4573">
        <v>1</v>
      </c>
      <c r="O4573" t="s">
        <v>25</v>
      </c>
      <c r="P4573" t="s">
        <v>35</v>
      </c>
      <c r="Q4573">
        <v>5.6</v>
      </c>
      <c r="R4573">
        <v>22</v>
      </c>
      <c r="S4573" t="s">
        <v>36</v>
      </c>
    </row>
    <row r="4574" spans="1:19" x14ac:dyDescent="0.3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 t="str">
        <f t="shared" si="71"/>
        <v>8-14 days</v>
      </c>
      <c r="L4574">
        <v>9</v>
      </c>
      <c r="M4574">
        <v>5</v>
      </c>
      <c r="N4574">
        <v>1</v>
      </c>
      <c r="O4574" t="s">
        <v>25</v>
      </c>
      <c r="P4574" t="s">
        <v>35</v>
      </c>
      <c r="Q4574">
        <v>18.8</v>
      </c>
      <c r="R4574">
        <v>24</v>
      </c>
      <c r="S4574" t="s">
        <v>71</v>
      </c>
    </row>
    <row r="4575" spans="1:19" x14ac:dyDescent="0.3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 t="str">
        <f t="shared" si="71"/>
        <v>15-30 days</v>
      </c>
      <c r="L4575">
        <v>19</v>
      </c>
      <c r="M4575">
        <v>2</v>
      </c>
      <c r="N4575">
        <v>0</v>
      </c>
      <c r="O4575" t="s">
        <v>25</v>
      </c>
      <c r="P4575" t="s">
        <v>35</v>
      </c>
      <c r="Q4575">
        <v>10.199999999999999</v>
      </c>
      <c r="R4575">
        <v>28</v>
      </c>
      <c r="S4575" t="s">
        <v>71</v>
      </c>
    </row>
    <row r="4576" spans="1:19" x14ac:dyDescent="0.3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 t="str">
        <f t="shared" si="71"/>
        <v>31-60 days</v>
      </c>
      <c r="L4576">
        <v>43</v>
      </c>
      <c r="M4576">
        <v>2</v>
      </c>
      <c r="N4576">
        <v>1</v>
      </c>
      <c r="O4576" t="s">
        <v>25</v>
      </c>
      <c r="P4576" t="s">
        <v>35</v>
      </c>
      <c r="Q4576">
        <v>5.6</v>
      </c>
      <c r="R4576">
        <v>14</v>
      </c>
      <c r="S4576" t="s">
        <v>27</v>
      </c>
    </row>
    <row r="4577" spans="1:19" x14ac:dyDescent="0.3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 t="str">
        <f t="shared" si="71"/>
        <v>31-60 days</v>
      </c>
      <c r="L4577">
        <v>45</v>
      </c>
      <c r="M4577">
        <v>7</v>
      </c>
      <c r="N4577">
        <v>1</v>
      </c>
      <c r="O4577" t="s">
        <v>25</v>
      </c>
      <c r="P4577" t="s">
        <v>35</v>
      </c>
      <c r="Q4577">
        <v>12.1</v>
      </c>
      <c r="R4577">
        <v>36</v>
      </c>
      <c r="S4577" t="s">
        <v>27</v>
      </c>
    </row>
    <row r="4578" spans="1:19" x14ac:dyDescent="0.3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 t="str">
        <f t="shared" si="71"/>
        <v>15-30 days</v>
      </c>
      <c r="L4578">
        <v>21</v>
      </c>
      <c r="M4578">
        <v>2</v>
      </c>
      <c r="N4578">
        <v>0</v>
      </c>
      <c r="O4578" t="s">
        <v>25</v>
      </c>
      <c r="P4578" t="s">
        <v>26</v>
      </c>
      <c r="Q4578">
        <v>14.7</v>
      </c>
      <c r="R4578">
        <v>38</v>
      </c>
      <c r="S4578" t="s">
        <v>36</v>
      </c>
    </row>
    <row r="4579" spans="1:19" x14ac:dyDescent="0.3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 t="str">
        <f t="shared" si="71"/>
        <v>8-14 days</v>
      </c>
      <c r="L4579">
        <v>8</v>
      </c>
      <c r="M4579">
        <v>5</v>
      </c>
      <c r="N4579">
        <v>1</v>
      </c>
      <c r="O4579" t="s">
        <v>25</v>
      </c>
      <c r="P4579" t="s">
        <v>26</v>
      </c>
      <c r="Q4579">
        <v>8.6999999999999993</v>
      </c>
      <c r="R4579">
        <v>51</v>
      </c>
      <c r="S4579" t="s">
        <v>36</v>
      </c>
    </row>
    <row r="4580" spans="1:19" x14ac:dyDescent="0.3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 t="str">
        <f t="shared" si="71"/>
        <v>8-14 days</v>
      </c>
      <c r="L4580">
        <v>8</v>
      </c>
      <c r="M4580">
        <v>4</v>
      </c>
      <c r="N4580">
        <v>0</v>
      </c>
      <c r="O4580" t="s">
        <v>25</v>
      </c>
      <c r="P4580" t="s">
        <v>35</v>
      </c>
      <c r="Q4580">
        <v>20.6</v>
      </c>
      <c r="R4580">
        <v>5</v>
      </c>
      <c r="S4580" t="s">
        <v>36</v>
      </c>
    </row>
    <row r="4581" spans="1:19" x14ac:dyDescent="0.3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 t="str">
        <f t="shared" si="71"/>
        <v>31-60 days</v>
      </c>
      <c r="L4581">
        <v>41</v>
      </c>
      <c r="M4581">
        <v>6</v>
      </c>
      <c r="N4581">
        <v>0</v>
      </c>
      <c r="O4581" t="s">
        <v>54</v>
      </c>
      <c r="P4581" t="s">
        <v>55</v>
      </c>
      <c r="Q4581">
        <v>18</v>
      </c>
      <c r="R4581">
        <v>24</v>
      </c>
      <c r="S4581" t="s">
        <v>36</v>
      </c>
    </row>
    <row r="4582" spans="1:19" x14ac:dyDescent="0.3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 t="str">
        <f t="shared" si="71"/>
        <v>15-30 days</v>
      </c>
      <c r="L4582">
        <v>27</v>
      </c>
      <c r="M4582">
        <v>3</v>
      </c>
      <c r="N4582">
        <v>1</v>
      </c>
      <c r="O4582" t="s">
        <v>54</v>
      </c>
      <c r="P4582" t="s">
        <v>55</v>
      </c>
      <c r="Q4582">
        <v>10</v>
      </c>
      <c r="R4582">
        <v>15</v>
      </c>
      <c r="S4582" t="s">
        <v>27</v>
      </c>
    </row>
    <row r="4583" spans="1:19" x14ac:dyDescent="0.3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 t="str">
        <f t="shared" si="71"/>
        <v>15-30 days</v>
      </c>
      <c r="L4583">
        <v>29</v>
      </c>
      <c r="M4583">
        <v>0</v>
      </c>
      <c r="N4583">
        <v>0</v>
      </c>
      <c r="O4583" t="s">
        <v>54</v>
      </c>
      <c r="P4583" t="s">
        <v>55</v>
      </c>
      <c r="Q4583">
        <v>6.1</v>
      </c>
      <c r="R4583">
        <v>31</v>
      </c>
      <c r="S4583" t="s">
        <v>27</v>
      </c>
    </row>
    <row r="4584" spans="1:19" x14ac:dyDescent="0.3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 t="str">
        <f t="shared" si="71"/>
        <v>31-60 days</v>
      </c>
      <c r="L4584">
        <v>49</v>
      </c>
      <c r="M4584">
        <v>7</v>
      </c>
      <c r="N4584">
        <v>3</v>
      </c>
      <c r="O4584" t="s">
        <v>25</v>
      </c>
      <c r="P4584" t="s">
        <v>35</v>
      </c>
      <c r="Q4584">
        <v>1.8</v>
      </c>
      <c r="R4584">
        <v>37</v>
      </c>
      <c r="S4584" t="s">
        <v>27</v>
      </c>
    </row>
    <row r="4585" spans="1:19" x14ac:dyDescent="0.3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 t="str">
        <f t="shared" si="71"/>
        <v>0-7 days</v>
      </c>
      <c r="L4585">
        <v>1</v>
      </c>
      <c r="M4585">
        <v>4</v>
      </c>
      <c r="N4585">
        <v>0</v>
      </c>
      <c r="O4585" t="s">
        <v>54</v>
      </c>
      <c r="P4585" t="s">
        <v>55</v>
      </c>
      <c r="Q4585">
        <v>7.1</v>
      </c>
      <c r="R4585">
        <v>24</v>
      </c>
      <c r="S4585" t="s">
        <v>36</v>
      </c>
    </row>
    <row r="4586" spans="1:19" x14ac:dyDescent="0.3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 t="str">
        <f t="shared" si="71"/>
        <v>31-60 days</v>
      </c>
      <c r="L4586">
        <v>46</v>
      </c>
      <c r="M4586">
        <v>2</v>
      </c>
      <c r="N4586">
        <v>0</v>
      </c>
      <c r="O4586" t="s">
        <v>54</v>
      </c>
      <c r="P4586" t="s">
        <v>55</v>
      </c>
      <c r="Q4586">
        <v>5.7</v>
      </c>
      <c r="R4586">
        <v>20</v>
      </c>
      <c r="S4586" t="s">
        <v>27</v>
      </c>
    </row>
    <row r="4587" spans="1:19" x14ac:dyDescent="0.3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 t="str">
        <f t="shared" si="71"/>
        <v>15-30 days</v>
      </c>
      <c r="L4587">
        <v>16</v>
      </c>
      <c r="M4587">
        <v>0</v>
      </c>
      <c r="N4587">
        <v>0</v>
      </c>
      <c r="O4587" t="s">
        <v>54</v>
      </c>
      <c r="P4587" t="s">
        <v>55</v>
      </c>
      <c r="Q4587">
        <v>9.8000000000000007</v>
      </c>
      <c r="R4587">
        <v>18</v>
      </c>
      <c r="S4587" t="s">
        <v>36</v>
      </c>
    </row>
    <row r="4588" spans="1:19" x14ac:dyDescent="0.3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 t="str">
        <f t="shared" si="71"/>
        <v>31-60 days</v>
      </c>
      <c r="L4588">
        <v>56</v>
      </c>
      <c r="M4588">
        <v>1</v>
      </c>
      <c r="N4588">
        <v>0</v>
      </c>
      <c r="O4588" t="s">
        <v>25</v>
      </c>
      <c r="P4588" t="s">
        <v>26</v>
      </c>
      <c r="Q4588">
        <v>8</v>
      </c>
      <c r="R4588">
        <v>21</v>
      </c>
      <c r="S4588" t="s">
        <v>27</v>
      </c>
    </row>
    <row r="4589" spans="1:19" x14ac:dyDescent="0.3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 t="str">
        <f t="shared" si="71"/>
        <v>31-60 days</v>
      </c>
      <c r="L4589">
        <v>58</v>
      </c>
      <c r="M4589">
        <v>6</v>
      </c>
      <c r="N4589">
        <v>1</v>
      </c>
      <c r="O4589" t="s">
        <v>54</v>
      </c>
      <c r="P4589" t="s">
        <v>55</v>
      </c>
      <c r="Q4589">
        <v>8.8000000000000007</v>
      </c>
      <c r="R4589">
        <v>28</v>
      </c>
      <c r="S4589" t="s">
        <v>27</v>
      </c>
    </row>
    <row r="4590" spans="1:19" x14ac:dyDescent="0.3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 t="str">
        <f t="shared" si="71"/>
        <v>15-30 days</v>
      </c>
      <c r="L4590">
        <v>30</v>
      </c>
      <c r="M4590">
        <v>2</v>
      </c>
      <c r="N4590">
        <v>1</v>
      </c>
      <c r="O4590" t="s">
        <v>25</v>
      </c>
      <c r="P4590" t="s">
        <v>35</v>
      </c>
      <c r="Q4590">
        <v>9.9</v>
      </c>
      <c r="R4590">
        <v>28</v>
      </c>
      <c r="S4590" t="s">
        <v>36</v>
      </c>
    </row>
    <row r="4591" spans="1:19" x14ac:dyDescent="0.3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 t="str">
        <f t="shared" si="71"/>
        <v>15-30 days</v>
      </c>
      <c r="L4591">
        <v>19</v>
      </c>
      <c r="M4591">
        <v>1</v>
      </c>
      <c r="N4591">
        <v>0</v>
      </c>
      <c r="O4591" t="s">
        <v>25</v>
      </c>
      <c r="P4591" t="s">
        <v>35</v>
      </c>
      <c r="Q4591">
        <v>16.8</v>
      </c>
      <c r="R4591">
        <v>40</v>
      </c>
      <c r="S4591" t="s">
        <v>36</v>
      </c>
    </row>
    <row r="4592" spans="1:19" x14ac:dyDescent="0.3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 t="str">
        <f t="shared" si="71"/>
        <v>8-14 days</v>
      </c>
      <c r="L4592">
        <v>14</v>
      </c>
      <c r="M4592">
        <v>2</v>
      </c>
      <c r="N4592">
        <v>0</v>
      </c>
      <c r="O4592" t="s">
        <v>25</v>
      </c>
      <c r="P4592" t="s">
        <v>35</v>
      </c>
      <c r="Q4592">
        <v>6.3</v>
      </c>
      <c r="S4592" t="s">
        <v>71</v>
      </c>
    </row>
    <row r="4593" spans="1:19" x14ac:dyDescent="0.3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 t="str">
        <f t="shared" si="71"/>
        <v>8-14 days</v>
      </c>
      <c r="L4593">
        <v>11</v>
      </c>
      <c r="M4593">
        <v>3</v>
      </c>
      <c r="N4593">
        <v>0</v>
      </c>
      <c r="O4593" t="s">
        <v>25</v>
      </c>
      <c r="P4593" t="s">
        <v>26</v>
      </c>
      <c r="Q4593">
        <v>6.6</v>
      </c>
      <c r="R4593">
        <v>34</v>
      </c>
      <c r="S4593" t="s">
        <v>36</v>
      </c>
    </row>
    <row r="4594" spans="1:19" x14ac:dyDescent="0.3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 t="str">
        <f t="shared" si="71"/>
        <v>31-60 days</v>
      </c>
      <c r="L4594">
        <v>60</v>
      </c>
      <c r="M4594">
        <v>5</v>
      </c>
      <c r="N4594">
        <v>1</v>
      </c>
      <c r="O4594" t="s">
        <v>54</v>
      </c>
      <c r="P4594" t="s">
        <v>55</v>
      </c>
      <c r="Q4594">
        <v>13.3</v>
      </c>
      <c r="R4594">
        <v>14</v>
      </c>
      <c r="S4594" t="s">
        <v>27</v>
      </c>
    </row>
    <row r="4595" spans="1:19" x14ac:dyDescent="0.3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 t="str">
        <f t="shared" si="71"/>
        <v>8-14 days</v>
      </c>
      <c r="L4595">
        <v>11</v>
      </c>
      <c r="M4595">
        <v>3</v>
      </c>
      <c r="N4595">
        <v>0</v>
      </c>
      <c r="O4595" t="s">
        <v>54</v>
      </c>
      <c r="P4595" t="s">
        <v>55</v>
      </c>
      <c r="Q4595">
        <v>21.3</v>
      </c>
      <c r="R4595">
        <v>10</v>
      </c>
      <c r="S4595" t="s">
        <v>27</v>
      </c>
    </row>
    <row r="4596" spans="1:19" x14ac:dyDescent="0.3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 t="str">
        <f t="shared" si="71"/>
        <v>15-30 days</v>
      </c>
      <c r="L4596">
        <v>27</v>
      </c>
      <c r="M4596">
        <v>5</v>
      </c>
      <c r="N4596">
        <v>0</v>
      </c>
      <c r="O4596" t="s">
        <v>25</v>
      </c>
      <c r="P4596" t="s">
        <v>35</v>
      </c>
      <c r="Q4596">
        <v>11.3</v>
      </c>
      <c r="R4596">
        <v>35</v>
      </c>
      <c r="S4596" t="s">
        <v>36</v>
      </c>
    </row>
    <row r="4597" spans="1:19" x14ac:dyDescent="0.3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 t="str">
        <f t="shared" si="71"/>
        <v>15-30 days</v>
      </c>
      <c r="L4597">
        <v>29</v>
      </c>
      <c r="M4597">
        <v>5</v>
      </c>
      <c r="N4597">
        <v>1</v>
      </c>
      <c r="O4597" t="s">
        <v>25</v>
      </c>
      <c r="P4597" t="s">
        <v>35</v>
      </c>
      <c r="Q4597">
        <v>31.2</v>
      </c>
      <c r="R4597">
        <v>28</v>
      </c>
      <c r="S4597" t="s">
        <v>27</v>
      </c>
    </row>
    <row r="4598" spans="1:19" x14ac:dyDescent="0.3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 t="str">
        <f t="shared" si="71"/>
        <v>31-60 days</v>
      </c>
      <c r="L4598">
        <v>41</v>
      </c>
      <c r="M4598">
        <v>3</v>
      </c>
      <c r="N4598">
        <v>1</v>
      </c>
      <c r="O4598" t="s">
        <v>25</v>
      </c>
      <c r="P4598" t="s">
        <v>26</v>
      </c>
      <c r="Q4598">
        <v>8.4</v>
      </c>
      <c r="R4598">
        <v>18</v>
      </c>
      <c r="S4598" t="s">
        <v>27</v>
      </c>
    </row>
    <row r="4599" spans="1:19" x14ac:dyDescent="0.3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 t="str">
        <f t="shared" si="71"/>
        <v>31-60 days</v>
      </c>
      <c r="L4599">
        <v>51</v>
      </c>
      <c r="M4599">
        <v>5</v>
      </c>
      <c r="N4599">
        <v>0</v>
      </c>
      <c r="O4599" t="s">
        <v>25</v>
      </c>
      <c r="P4599" t="s">
        <v>26</v>
      </c>
      <c r="Q4599">
        <v>11.8</v>
      </c>
      <c r="R4599">
        <v>14</v>
      </c>
      <c r="S4599" t="s">
        <v>27</v>
      </c>
    </row>
    <row r="4600" spans="1:19" x14ac:dyDescent="0.3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 t="str">
        <f t="shared" si="71"/>
        <v>31-60 days</v>
      </c>
      <c r="L4600">
        <v>34</v>
      </c>
      <c r="M4600">
        <v>3</v>
      </c>
      <c r="N4600">
        <v>1</v>
      </c>
      <c r="O4600" t="s">
        <v>25</v>
      </c>
      <c r="P4600" t="s">
        <v>35</v>
      </c>
      <c r="Q4600">
        <v>6.4</v>
      </c>
      <c r="R4600">
        <v>19</v>
      </c>
      <c r="S4600" t="s">
        <v>27</v>
      </c>
    </row>
    <row r="4601" spans="1:19" x14ac:dyDescent="0.3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 t="str">
        <f t="shared" si="71"/>
        <v>31-60 days</v>
      </c>
      <c r="L4601">
        <v>46</v>
      </c>
      <c r="M4601">
        <v>3</v>
      </c>
      <c r="N4601">
        <v>1</v>
      </c>
      <c r="O4601" t="s">
        <v>25</v>
      </c>
      <c r="P4601" t="s">
        <v>35</v>
      </c>
      <c r="Q4601">
        <v>36.1</v>
      </c>
      <c r="R4601">
        <v>26</v>
      </c>
      <c r="S4601" t="s">
        <v>27</v>
      </c>
    </row>
    <row r="4602" spans="1:19" x14ac:dyDescent="0.3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 t="str">
        <f t="shared" si="71"/>
        <v>31-60 days</v>
      </c>
      <c r="L4602">
        <v>34</v>
      </c>
      <c r="M4602">
        <v>5</v>
      </c>
      <c r="N4602">
        <v>0</v>
      </c>
      <c r="O4602" t="s">
        <v>25</v>
      </c>
      <c r="P4602" t="s">
        <v>26</v>
      </c>
      <c r="Q4602">
        <v>14.9</v>
      </c>
      <c r="R4602">
        <v>26</v>
      </c>
      <c r="S4602" t="s">
        <v>36</v>
      </c>
    </row>
    <row r="4603" spans="1:19" x14ac:dyDescent="0.3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 t="str">
        <f t="shared" si="71"/>
        <v>15-30 days</v>
      </c>
      <c r="L4603">
        <v>26</v>
      </c>
      <c r="M4603">
        <v>0</v>
      </c>
      <c r="N4603">
        <v>0</v>
      </c>
      <c r="O4603" t="s">
        <v>25</v>
      </c>
      <c r="P4603" t="s">
        <v>35</v>
      </c>
      <c r="Q4603">
        <v>10.8</v>
      </c>
      <c r="R4603">
        <v>8</v>
      </c>
      <c r="S4603" t="s">
        <v>27</v>
      </c>
    </row>
    <row r="4604" spans="1:19" x14ac:dyDescent="0.3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 t="str">
        <f t="shared" si="71"/>
        <v>8-14 days</v>
      </c>
      <c r="L4604">
        <v>9</v>
      </c>
      <c r="M4604">
        <v>4</v>
      </c>
      <c r="N4604">
        <v>0</v>
      </c>
      <c r="O4604" t="s">
        <v>25</v>
      </c>
      <c r="P4604" t="s">
        <v>35</v>
      </c>
      <c r="Q4604">
        <v>37.5</v>
      </c>
      <c r="R4604">
        <v>10</v>
      </c>
      <c r="S4604" t="s">
        <v>36</v>
      </c>
    </row>
    <row r="4605" spans="1:19" x14ac:dyDescent="0.3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 t="str">
        <f t="shared" si="71"/>
        <v>8-14 days</v>
      </c>
      <c r="L4605">
        <v>12</v>
      </c>
      <c r="M4605">
        <v>3</v>
      </c>
      <c r="N4605">
        <v>0</v>
      </c>
      <c r="O4605" t="s">
        <v>25</v>
      </c>
      <c r="P4605" t="s">
        <v>35</v>
      </c>
      <c r="Q4605">
        <v>5.9</v>
      </c>
      <c r="R4605">
        <v>25</v>
      </c>
      <c r="S4605" t="s">
        <v>36</v>
      </c>
    </row>
    <row r="4606" spans="1:19" x14ac:dyDescent="0.3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 t="str">
        <f t="shared" si="71"/>
        <v>15-30 days</v>
      </c>
      <c r="L4606">
        <v>26</v>
      </c>
      <c r="M4606">
        <v>5</v>
      </c>
      <c r="N4606">
        <v>0</v>
      </c>
      <c r="O4606" t="s">
        <v>25</v>
      </c>
      <c r="P4606" t="s">
        <v>35</v>
      </c>
      <c r="Q4606">
        <v>1.3</v>
      </c>
      <c r="R4606">
        <v>30</v>
      </c>
      <c r="S4606" t="s">
        <v>36</v>
      </c>
    </row>
    <row r="4607" spans="1:19" x14ac:dyDescent="0.3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 t="str">
        <f t="shared" si="71"/>
        <v>0-7 days</v>
      </c>
      <c r="L4607">
        <v>2</v>
      </c>
      <c r="M4607">
        <v>1</v>
      </c>
      <c r="N4607">
        <v>0</v>
      </c>
      <c r="O4607" t="s">
        <v>54</v>
      </c>
      <c r="P4607" t="s">
        <v>55</v>
      </c>
      <c r="Q4607">
        <v>4.5</v>
      </c>
      <c r="R4607">
        <v>15</v>
      </c>
      <c r="S4607" t="s">
        <v>71</v>
      </c>
    </row>
    <row r="4608" spans="1:19" x14ac:dyDescent="0.3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 t="str">
        <f t="shared" si="71"/>
        <v>15-30 days</v>
      </c>
      <c r="L4608">
        <v>19</v>
      </c>
      <c r="M4608">
        <v>6</v>
      </c>
      <c r="N4608">
        <v>1</v>
      </c>
      <c r="O4608" t="s">
        <v>25</v>
      </c>
      <c r="P4608" t="s">
        <v>50</v>
      </c>
      <c r="Q4608">
        <v>5.5</v>
      </c>
      <c r="R4608">
        <v>8</v>
      </c>
      <c r="S4608" t="s">
        <v>36</v>
      </c>
    </row>
    <row r="4609" spans="1:19" x14ac:dyDescent="0.3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 t="str">
        <f t="shared" si="71"/>
        <v>15-30 days</v>
      </c>
      <c r="L4609">
        <v>28</v>
      </c>
      <c r="M4609">
        <v>2</v>
      </c>
      <c r="N4609">
        <v>1</v>
      </c>
      <c r="O4609" t="s">
        <v>25</v>
      </c>
      <c r="P4609" t="s">
        <v>26</v>
      </c>
      <c r="Q4609">
        <v>11.3</v>
      </c>
      <c r="R4609">
        <v>24</v>
      </c>
      <c r="S4609" t="s">
        <v>27</v>
      </c>
    </row>
    <row r="4610" spans="1:19" x14ac:dyDescent="0.3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 t="str">
        <f t="shared" si="71"/>
        <v>15-30 days</v>
      </c>
      <c r="L4610">
        <v>28</v>
      </c>
      <c r="M4610">
        <v>2</v>
      </c>
      <c r="N4610">
        <v>0</v>
      </c>
      <c r="O4610" t="s">
        <v>25</v>
      </c>
      <c r="P4610" t="s">
        <v>26</v>
      </c>
      <c r="Q4610">
        <v>14.4</v>
      </c>
      <c r="R4610">
        <v>2</v>
      </c>
      <c r="S4610" t="s">
        <v>36</v>
      </c>
    </row>
    <row r="4611" spans="1:19" x14ac:dyDescent="0.3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 t="str">
        <f t="shared" ref="K4611:K4674" si="72">IF(L4611&lt;=7,"0-7 days",IF(L4611&lt;=14,"8-14 days",IF(L4611&lt;=30,"15-30 days","31-60 days")))</f>
        <v>31-60 days</v>
      </c>
      <c r="L4611">
        <v>49</v>
      </c>
      <c r="M4611">
        <v>5</v>
      </c>
      <c r="N4611">
        <v>1</v>
      </c>
      <c r="O4611" t="s">
        <v>54</v>
      </c>
      <c r="P4611" t="s">
        <v>55</v>
      </c>
      <c r="Q4611">
        <v>2.8</v>
      </c>
      <c r="R4611">
        <v>20</v>
      </c>
      <c r="S4611" t="s">
        <v>36</v>
      </c>
    </row>
    <row r="4612" spans="1:19" x14ac:dyDescent="0.3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 t="str">
        <f t="shared" si="72"/>
        <v>31-60 days</v>
      </c>
      <c r="L4612">
        <v>59</v>
      </c>
      <c r="M4612">
        <v>0</v>
      </c>
      <c r="N4612">
        <v>0</v>
      </c>
      <c r="O4612" t="s">
        <v>25</v>
      </c>
      <c r="P4612" t="s">
        <v>35</v>
      </c>
      <c r="Q4612">
        <v>12.2</v>
      </c>
      <c r="R4612">
        <v>31</v>
      </c>
      <c r="S4612" t="s">
        <v>36</v>
      </c>
    </row>
    <row r="4613" spans="1:19" x14ac:dyDescent="0.3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 t="str">
        <f t="shared" si="72"/>
        <v>31-60 days</v>
      </c>
      <c r="L4613">
        <v>44</v>
      </c>
      <c r="M4613">
        <v>3</v>
      </c>
      <c r="N4613">
        <v>0</v>
      </c>
      <c r="O4613" t="s">
        <v>25</v>
      </c>
      <c r="P4613" t="s">
        <v>26</v>
      </c>
      <c r="Q4613">
        <v>1.6</v>
      </c>
      <c r="R4613">
        <v>21</v>
      </c>
      <c r="S4613" t="s">
        <v>27</v>
      </c>
    </row>
    <row r="4614" spans="1:19" x14ac:dyDescent="0.3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 t="str">
        <f t="shared" si="72"/>
        <v>0-7 days</v>
      </c>
      <c r="L4614">
        <v>4</v>
      </c>
      <c r="M4614">
        <v>5</v>
      </c>
      <c r="N4614">
        <v>1</v>
      </c>
      <c r="O4614" t="s">
        <v>25</v>
      </c>
      <c r="P4614" t="s">
        <v>50</v>
      </c>
      <c r="Q4614">
        <v>3.9</v>
      </c>
      <c r="R4614">
        <v>7</v>
      </c>
      <c r="S4614" t="s">
        <v>36</v>
      </c>
    </row>
    <row r="4615" spans="1:19" x14ac:dyDescent="0.3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 t="str">
        <f t="shared" si="72"/>
        <v>15-30 days</v>
      </c>
      <c r="L4615">
        <v>24</v>
      </c>
      <c r="M4615">
        <v>3</v>
      </c>
      <c r="N4615">
        <v>1</v>
      </c>
      <c r="O4615" t="s">
        <v>25</v>
      </c>
      <c r="P4615" t="s">
        <v>35</v>
      </c>
      <c r="Q4615">
        <v>15.9</v>
      </c>
      <c r="R4615">
        <v>41</v>
      </c>
      <c r="S4615" t="s">
        <v>27</v>
      </c>
    </row>
    <row r="4616" spans="1:19" x14ac:dyDescent="0.3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 t="str">
        <f t="shared" si="72"/>
        <v>31-60 days</v>
      </c>
      <c r="L4616">
        <v>44</v>
      </c>
      <c r="M4616">
        <v>1</v>
      </c>
      <c r="N4616">
        <v>1</v>
      </c>
      <c r="O4616" t="s">
        <v>54</v>
      </c>
      <c r="P4616" t="s">
        <v>55</v>
      </c>
      <c r="Q4616">
        <v>21.3</v>
      </c>
      <c r="R4616">
        <v>24</v>
      </c>
      <c r="S4616" t="s">
        <v>36</v>
      </c>
    </row>
    <row r="4617" spans="1:19" x14ac:dyDescent="0.3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 t="str">
        <f t="shared" si="72"/>
        <v>31-60 days</v>
      </c>
      <c r="L4617">
        <v>36</v>
      </c>
      <c r="M4617">
        <v>4</v>
      </c>
      <c r="N4617">
        <v>1</v>
      </c>
      <c r="O4617" t="s">
        <v>54</v>
      </c>
      <c r="P4617" t="s">
        <v>55</v>
      </c>
      <c r="Q4617">
        <v>16.2</v>
      </c>
      <c r="R4617">
        <v>26</v>
      </c>
      <c r="S4617" t="s">
        <v>36</v>
      </c>
    </row>
    <row r="4618" spans="1:19" x14ac:dyDescent="0.3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 t="str">
        <f t="shared" si="72"/>
        <v>15-30 days</v>
      </c>
      <c r="L4618">
        <v>27</v>
      </c>
      <c r="M4618">
        <v>4</v>
      </c>
      <c r="N4618">
        <v>1</v>
      </c>
      <c r="O4618" t="s">
        <v>25</v>
      </c>
      <c r="P4618" t="s">
        <v>26</v>
      </c>
      <c r="Q4618">
        <v>7</v>
      </c>
      <c r="R4618">
        <v>34</v>
      </c>
      <c r="S4618" t="s">
        <v>27</v>
      </c>
    </row>
    <row r="4619" spans="1:19" x14ac:dyDescent="0.3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 t="str">
        <f t="shared" si="72"/>
        <v>15-30 days</v>
      </c>
      <c r="L4619">
        <v>26</v>
      </c>
      <c r="M4619">
        <v>5</v>
      </c>
      <c r="N4619">
        <v>2</v>
      </c>
      <c r="O4619" t="s">
        <v>25</v>
      </c>
      <c r="P4619" t="s">
        <v>50</v>
      </c>
      <c r="Q4619">
        <v>5.0999999999999996</v>
      </c>
      <c r="R4619">
        <v>22</v>
      </c>
      <c r="S4619" t="s">
        <v>36</v>
      </c>
    </row>
    <row r="4620" spans="1:19" x14ac:dyDescent="0.3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 t="str">
        <f t="shared" si="72"/>
        <v>15-30 days</v>
      </c>
      <c r="L4620">
        <v>24</v>
      </c>
      <c r="M4620">
        <v>1</v>
      </c>
      <c r="N4620">
        <v>1</v>
      </c>
      <c r="O4620" t="s">
        <v>25</v>
      </c>
      <c r="P4620" t="s">
        <v>35</v>
      </c>
      <c r="R4620">
        <v>21</v>
      </c>
      <c r="S4620" t="s">
        <v>27</v>
      </c>
    </row>
    <row r="4621" spans="1:19" x14ac:dyDescent="0.3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 t="str">
        <f t="shared" si="72"/>
        <v>31-60 days</v>
      </c>
      <c r="L4621">
        <v>35</v>
      </c>
      <c r="M4621">
        <v>1</v>
      </c>
      <c r="N4621">
        <v>1</v>
      </c>
      <c r="O4621" t="s">
        <v>54</v>
      </c>
      <c r="P4621" t="s">
        <v>55</v>
      </c>
      <c r="Q4621">
        <v>4.5</v>
      </c>
      <c r="R4621">
        <v>37</v>
      </c>
      <c r="S4621" t="s">
        <v>36</v>
      </c>
    </row>
    <row r="4622" spans="1:19" x14ac:dyDescent="0.3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 t="str">
        <f t="shared" si="72"/>
        <v>8-14 days</v>
      </c>
      <c r="L4622">
        <v>10</v>
      </c>
      <c r="M4622">
        <v>3</v>
      </c>
      <c r="N4622">
        <v>0</v>
      </c>
      <c r="O4622" t="s">
        <v>25</v>
      </c>
      <c r="P4622" t="s">
        <v>50</v>
      </c>
      <c r="Q4622">
        <v>12.3</v>
      </c>
      <c r="R4622">
        <v>15</v>
      </c>
      <c r="S4622" t="s">
        <v>27</v>
      </c>
    </row>
    <row r="4623" spans="1:19" x14ac:dyDescent="0.3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 t="str">
        <f t="shared" si="72"/>
        <v>31-60 days</v>
      </c>
      <c r="L4623">
        <v>31</v>
      </c>
      <c r="M4623">
        <v>1</v>
      </c>
      <c r="N4623">
        <v>0</v>
      </c>
      <c r="O4623" t="s">
        <v>54</v>
      </c>
      <c r="P4623" t="s">
        <v>55</v>
      </c>
      <c r="Q4623">
        <v>6</v>
      </c>
      <c r="R4623">
        <v>34</v>
      </c>
      <c r="S4623" t="s">
        <v>27</v>
      </c>
    </row>
    <row r="4624" spans="1:19" x14ac:dyDescent="0.3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 t="str">
        <f t="shared" si="72"/>
        <v>8-14 days</v>
      </c>
      <c r="L4624">
        <v>12</v>
      </c>
      <c r="M4624">
        <v>2</v>
      </c>
      <c r="N4624">
        <v>0</v>
      </c>
      <c r="O4624" t="s">
        <v>54</v>
      </c>
      <c r="P4624" t="s">
        <v>55</v>
      </c>
      <c r="Q4624">
        <v>11.6</v>
      </c>
      <c r="R4624">
        <v>12</v>
      </c>
      <c r="S4624" t="s">
        <v>36</v>
      </c>
    </row>
    <row r="4625" spans="1:19" x14ac:dyDescent="0.3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 t="str">
        <f t="shared" si="72"/>
        <v>31-60 days</v>
      </c>
      <c r="L4625">
        <v>41</v>
      </c>
      <c r="M4625">
        <v>5</v>
      </c>
      <c r="N4625">
        <v>1</v>
      </c>
      <c r="O4625" t="s">
        <v>25</v>
      </c>
      <c r="P4625" t="s">
        <v>35</v>
      </c>
      <c r="R4625">
        <v>16</v>
      </c>
      <c r="S4625" t="s">
        <v>36</v>
      </c>
    </row>
    <row r="4626" spans="1:19" x14ac:dyDescent="0.3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 t="str">
        <f t="shared" si="72"/>
        <v>31-60 days</v>
      </c>
      <c r="L4626">
        <v>52</v>
      </c>
      <c r="M4626">
        <v>1</v>
      </c>
      <c r="N4626">
        <v>0</v>
      </c>
      <c r="O4626" t="s">
        <v>25</v>
      </c>
      <c r="P4626" t="s">
        <v>26</v>
      </c>
      <c r="Q4626">
        <v>22.3</v>
      </c>
      <c r="R4626">
        <v>27</v>
      </c>
      <c r="S4626" t="s">
        <v>27</v>
      </c>
    </row>
    <row r="4627" spans="1:19" x14ac:dyDescent="0.3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 t="str">
        <f t="shared" si="72"/>
        <v>15-30 days</v>
      </c>
      <c r="L4627">
        <v>30</v>
      </c>
      <c r="M4627">
        <v>4</v>
      </c>
      <c r="N4627">
        <v>0</v>
      </c>
      <c r="O4627" t="s">
        <v>25</v>
      </c>
      <c r="P4627" t="s">
        <v>35</v>
      </c>
      <c r="Q4627">
        <v>3</v>
      </c>
      <c r="R4627">
        <v>40</v>
      </c>
      <c r="S4627" t="s">
        <v>27</v>
      </c>
    </row>
    <row r="4628" spans="1:19" x14ac:dyDescent="0.3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 t="str">
        <f t="shared" si="72"/>
        <v>15-30 days</v>
      </c>
      <c r="L4628">
        <v>23</v>
      </c>
      <c r="M4628">
        <v>3</v>
      </c>
      <c r="N4628">
        <v>1</v>
      </c>
      <c r="O4628" t="s">
        <v>25</v>
      </c>
      <c r="P4628" t="s">
        <v>35</v>
      </c>
      <c r="Q4628">
        <v>4.3</v>
      </c>
      <c r="R4628">
        <v>26</v>
      </c>
      <c r="S4628" t="s">
        <v>36</v>
      </c>
    </row>
    <row r="4629" spans="1:19" x14ac:dyDescent="0.3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 t="str">
        <f t="shared" si="72"/>
        <v>31-60 days</v>
      </c>
      <c r="L4629">
        <v>57</v>
      </c>
      <c r="M4629">
        <v>0</v>
      </c>
      <c r="N4629">
        <v>0</v>
      </c>
      <c r="O4629" t="s">
        <v>54</v>
      </c>
      <c r="P4629" t="s">
        <v>55</v>
      </c>
      <c r="Q4629">
        <v>9.8000000000000007</v>
      </c>
      <c r="R4629">
        <v>9</v>
      </c>
      <c r="S4629" t="s">
        <v>27</v>
      </c>
    </row>
    <row r="4630" spans="1:19" x14ac:dyDescent="0.3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 t="str">
        <f t="shared" si="72"/>
        <v>31-60 days</v>
      </c>
      <c r="L4630">
        <v>40</v>
      </c>
      <c r="M4630">
        <v>3</v>
      </c>
      <c r="N4630">
        <v>1</v>
      </c>
      <c r="O4630" t="s">
        <v>25</v>
      </c>
      <c r="P4630" t="s">
        <v>35</v>
      </c>
      <c r="Q4630">
        <v>20.2</v>
      </c>
      <c r="R4630">
        <v>32</v>
      </c>
      <c r="S4630" t="s">
        <v>27</v>
      </c>
    </row>
    <row r="4631" spans="1:19" x14ac:dyDescent="0.3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 t="str">
        <f t="shared" si="72"/>
        <v>15-30 days</v>
      </c>
      <c r="L4631">
        <v>26</v>
      </c>
      <c r="M4631">
        <v>4</v>
      </c>
      <c r="N4631">
        <v>0</v>
      </c>
      <c r="O4631" t="s">
        <v>25</v>
      </c>
      <c r="P4631" t="s">
        <v>35</v>
      </c>
      <c r="Q4631">
        <v>3.7</v>
      </c>
      <c r="R4631">
        <v>15</v>
      </c>
      <c r="S4631" t="s">
        <v>36</v>
      </c>
    </row>
    <row r="4632" spans="1:19" x14ac:dyDescent="0.3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 t="str">
        <f t="shared" si="72"/>
        <v>0-7 days</v>
      </c>
      <c r="L4632">
        <v>1</v>
      </c>
      <c r="M4632">
        <v>5</v>
      </c>
      <c r="N4632">
        <v>0</v>
      </c>
      <c r="O4632" t="s">
        <v>25</v>
      </c>
      <c r="P4632" t="s">
        <v>35</v>
      </c>
      <c r="Q4632">
        <v>7.1</v>
      </c>
      <c r="R4632">
        <v>31</v>
      </c>
      <c r="S4632" t="s">
        <v>27</v>
      </c>
    </row>
    <row r="4633" spans="1:19" x14ac:dyDescent="0.3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 t="str">
        <f t="shared" si="72"/>
        <v>0-7 days</v>
      </c>
      <c r="L4633">
        <v>0</v>
      </c>
      <c r="M4633">
        <v>2</v>
      </c>
      <c r="N4633">
        <v>0</v>
      </c>
      <c r="O4633" t="s">
        <v>25</v>
      </c>
      <c r="P4633" t="s">
        <v>26</v>
      </c>
      <c r="Q4633">
        <v>8.6</v>
      </c>
      <c r="R4633">
        <v>27</v>
      </c>
      <c r="S4633" t="s">
        <v>36</v>
      </c>
    </row>
    <row r="4634" spans="1:19" x14ac:dyDescent="0.3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 t="str">
        <f t="shared" si="72"/>
        <v>8-14 days</v>
      </c>
      <c r="L4634">
        <v>13</v>
      </c>
      <c r="M4634">
        <v>2</v>
      </c>
      <c r="N4634">
        <v>1</v>
      </c>
      <c r="O4634" t="s">
        <v>25</v>
      </c>
      <c r="P4634" t="s">
        <v>35</v>
      </c>
      <c r="Q4634">
        <v>16.3</v>
      </c>
      <c r="R4634">
        <v>7</v>
      </c>
      <c r="S4634" t="s">
        <v>36</v>
      </c>
    </row>
    <row r="4635" spans="1:19" x14ac:dyDescent="0.3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 t="str">
        <f t="shared" si="72"/>
        <v>8-14 days</v>
      </c>
      <c r="L4635">
        <v>14</v>
      </c>
      <c r="M4635">
        <v>4</v>
      </c>
      <c r="N4635">
        <v>1</v>
      </c>
      <c r="O4635" t="s">
        <v>54</v>
      </c>
      <c r="P4635" t="s">
        <v>55</v>
      </c>
      <c r="Q4635">
        <v>3.3</v>
      </c>
      <c r="R4635">
        <v>28</v>
      </c>
      <c r="S4635" t="s">
        <v>36</v>
      </c>
    </row>
    <row r="4636" spans="1:19" x14ac:dyDescent="0.3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 t="str">
        <f t="shared" si="72"/>
        <v>31-60 days</v>
      </c>
      <c r="L4636">
        <v>44</v>
      </c>
      <c r="M4636">
        <v>4</v>
      </c>
      <c r="N4636">
        <v>1</v>
      </c>
      <c r="O4636" t="s">
        <v>25</v>
      </c>
      <c r="P4636" t="s">
        <v>35</v>
      </c>
      <c r="Q4636">
        <v>13.2</v>
      </c>
      <c r="R4636">
        <v>10</v>
      </c>
      <c r="S4636" t="s">
        <v>36</v>
      </c>
    </row>
    <row r="4637" spans="1:19" x14ac:dyDescent="0.3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 t="str">
        <f t="shared" si="72"/>
        <v>15-30 days</v>
      </c>
      <c r="L4637">
        <v>30</v>
      </c>
      <c r="M4637">
        <v>1</v>
      </c>
      <c r="N4637">
        <v>0</v>
      </c>
      <c r="O4637" t="s">
        <v>25</v>
      </c>
      <c r="P4637" t="s">
        <v>50</v>
      </c>
      <c r="Q4637">
        <v>18.7</v>
      </c>
      <c r="R4637">
        <v>39</v>
      </c>
      <c r="S4637" t="s">
        <v>27</v>
      </c>
    </row>
    <row r="4638" spans="1:19" x14ac:dyDescent="0.3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 t="str">
        <f t="shared" si="72"/>
        <v>31-60 days</v>
      </c>
      <c r="L4638">
        <v>60</v>
      </c>
      <c r="M4638">
        <v>4</v>
      </c>
      <c r="N4638">
        <v>0</v>
      </c>
      <c r="O4638" t="s">
        <v>54</v>
      </c>
      <c r="P4638" t="s">
        <v>55</v>
      </c>
      <c r="Q4638">
        <v>10.5</v>
      </c>
      <c r="R4638">
        <v>7</v>
      </c>
      <c r="S4638" t="s">
        <v>71</v>
      </c>
    </row>
    <row r="4639" spans="1:19" x14ac:dyDescent="0.3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 t="str">
        <f t="shared" si="72"/>
        <v>31-60 days</v>
      </c>
      <c r="L4639">
        <v>32</v>
      </c>
      <c r="M4639">
        <v>2</v>
      </c>
      <c r="N4639">
        <v>0</v>
      </c>
      <c r="O4639" t="s">
        <v>25</v>
      </c>
      <c r="P4639" t="s">
        <v>35</v>
      </c>
      <c r="Q4639">
        <v>2.2999999999999998</v>
      </c>
      <c r="R4639">
        <v>22</v>
      </c>
      <c r="S4639" t="s">
        <v>27</v>
      </c>
    </row>
    <row r="4640" spans="1:19" x14ac:dyDescent="0.3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 t="str">
        <f t="shared" si="72"/>
        <v>31-60 days</v>
      </c>
      <c r="L4640">
        <v>55</v>
      </c>
      <c r="M4640">
        <v>2</v>
      </c>
      <c r="N4640">
        <v>0</v>
      </c>
      <c r="O4640" t="s">
        <v>25</v>
      </c>
      <c r="P4640" t="s">
        <v>50</v>
      </c>
      <c r="Q4640">
        <v>13.9</v>
      </c>
      <c r="R4640">
        <v>14</v>
      </c>
      <c r="S4640" t="s">
        <v>36</v>
      </c>
    </row>
    <row r="4641" spans="1:19" x14ac:dyDescent="0.3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 t="str">
        <f t="shared" si="72"/>
        <v>31-60 days</v>
      </c>
      <c r="L4641">
        <v>33</v>
      </c>
      <c r="M4641">
        <v>1</v>
      </c>
      <c r="N4641">
        <v>0</v>
      </c>
      <c r="O4641" t="s">
        <v>54</v>
      </c>
      <c r="P4641" t="s">
        <v>55</v>
      </c>
      <c r="Q4641">
        <v>19.600000000000001</v>
      </c>
      <c r="R4641">
        <v>40</v>
      </c>
      <c r="S4641" t="s">
        <v>36</v>
      </c>
    </row>
    <row r="4642" spans="1:19" x14ac:dyDescent="0.3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 t="str">
        <f t="shared" si="72"/>
        <v>15-30 days</v>
      </c>
      <c r="L4642">
        <v>21</v>
      </c>
      <c r="M4642">
        <v>4</v>
      </c>
      <c r="N4642">
        <v>1</v>
      </c>
      <c r="O4642" t="s">
        <v>25</v>
      </c>
      <c r="P4642" t="s">
        <v>26</v>
      </c>
      <c r="Q4642">
        <v>7</v>
      </c>
      <c r="R4642">
        <v>7</v>
      </c>
      <c r="S4642" t="s">
        <v>36</v>
      </c>
    </row>
    <row r="4643" spans="1:19" x14ac:dyDescent="0.3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 t="str">
        <f t="shared" si="72"/>
        <v>31-60 days</v>
      </c>
      <c r="L4643">
        <v>43</v>
      </c>
      <c r="M4643">
        <v>2</v>
      </c>
      <c r="N4643">
        <v>0</v>
      </c>
      <c r="O4643" t="s">
        <v>54</v>
      </c>
      <c r="P4643" t="s">
        <v>55</v>
      </c>
      <c r="Q4643">
        <v>2.8</v>
      </c>
      <c r="R4643">
        <v>50</v>
      </c>
      <c r="S4643" t="s">
        <v>27</v>
      </c>
    </row>
    <row r="4644" spans="1:19" x14ac:dyDescent="0.3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 t="str">
        <f t="shared" si="72"/>
        <v>15-30 days</v>
      </c>
      <c r="L4644">
        <v>27</v>
      </c>
      <c r="M4644">
        <v>2</v>
      </c>
      <c r="N4644">
        <v>0</v>
      </c>
      <c r="O4644" t="s">
        <v>54</v>
      </c>
      <c r="P4644" t="s">
        <v>55</v>
      </c>
      <c r="Q4644">
        <v>10.7</v>
      </c>
      <c r="R4644">
        <v>20</v>
      </c>
      <c r="S4644" t="s">
        <v>27</v>
      </c>
    </row>
    <row r="4645" spans="1:19" x14ac:dyDescent="0.3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 t="str">
        <f t="shared" si="72"/>
        <v>15-30 days</v>
      </c>
      <c r="L4645">
        <v>16</v>
      </c>
      <c r="M4645">
        <v>1</v>
      </c>
      <c r="N4645">
        <v>0</v>
      </c>
      <c r="O4645" t="s">
        <v>25</v>
      </c>
      <c r="P4645" t="s">
        <v>50</v>
      </c>
      <c r="Q4645">
        <v>8.4</v>
      </c>
      <c r="R4645">
        <v>18</v>
      </c>
      <c r="S4645" t="s">
        <v>27</v>
      </c>
    </row>
    <row r="4646" spans="1:19" x14ac:dyDescent="0.3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 t="str">
        <f t="shared" si="72"/>
        <v>15-30 days</v>
      </c>
      <c r="L4646">
        <v>28</v>
      </c>
      <c r="M4646">
        <v>6</v>
      </c>
      <c r="N4646">
        <v>1</v>
      </c>
      <c r="O4646" t="s">
        <v>25</v>
      </c>
      <c r="P4646" t="s">
        <v>26</v>
      </c>
      <c r="Q4646">
        <v>3.5</v>
      </c>
      <c r="R4646">
        <v>32</v>
      </c>
      <c r="S4646" t="s">
        <v>27</v>
      </c>
    </row>
    <row r="4647" spans="1:19" x14ac:dyDescent="0.3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 t="str">
        <f t="shared" si="72"/>
        <v>31-60 days</v>
      </c>
      <c r="L4647">
        <v>40</v>
      </c>
      <c r="M4647">
        <v>2</v>
      </c>
      <c r="N4647">
        <v>2</v>
      </c>
      <c r="O4647" t="s">
        <v>54</v>
      </c>
      <c r="P4647" t="s">
        <v>55</v>
      </c>
      <c r="Q4647">
        <v>13.6</v>
      </c>
      <c r="R4647">
        <v>24</v>
      </c>
      <c r="S4647" t="s">
        <v>27</v>
      </c>
    </row>
    <row r="4648" spans="1:19" x14ac:dyDescent="0.3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 t="str">
        <f t="shared" si="72"/>
        <v>15-30 days</v>
      </c>
      <c r="L4648">
        <v>22</v>
      </c>
      <c r="M4648">
        <v>5</v>
      </c>
      <c r="N4648">
        <v>1</v>
      </c>
      <c r="O4648" t="s">
        <v>25</v>
      </c>
      <c r="P4648" t="s">
        <v>35</v>
      </c>
      <c r="Q4648">
        <v>10.9</v>
      </c>
      <c r="R4648">
        <v>15</v>
      </c>
      <c r="S4648" t="s">
        <v>27</v>
      </c>
    </row>
    <row r="4649" spans="1:19" x14ac:dyDescent="0.3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 t="str">
        <f t="shared" si="72"/>
        <v>31-60 days</v>
      </c>
      <c r="L4649">
        <v>42</v>
      </c>
      <c r="M4649">
        <v>2</v>
      </c>
      <c r="N4649">
        <v>0</v>
      </c>
      <c r="O4649" t="s">
        <v>54</v>
      </c>
      <c r="P4649" t="s">
        <v>55</v>
      </c>
      <c r="Q4649">
        <v>8.1999999999999993</v>
      </c>
      <c r="R4649">
        <v>16</v>
      </c>
      <c r="S4649" t="s">
        <v>27</v>
      </c>
    </row>
    <row r="4650" spans="1:19" x14ac:dyDescent="0.3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 t="str">
        <f t="shared" si="72"/>
        <v>31-60 days</v>
      </c>
      <c r="L4650">
        <v>59</v>
      </c>
      <c r="M4650">
        <v>3</v>
      </c>
      <c r="N4650">
        <v>0</v>
      </c>
      <c r="O4650" t="s">
        <v>54</v>
      </c>
      <c r="P4650" t="s">
        <v>55</v>
      </c>
      <c r="Q4650">
        <v>7.6</v>
      </c>
      <c r="R4650">
        <v>19</v>
      </c>
      <c r="S4650" t="s">
        <v>27</v>
      </c>
    </row>
    <row r="4651" spans="1:19" x14ac:dyDescent="0.3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 t="str">
        <f t="shared" si="72"/>
        <v>15-30 days</v>
      </c>
      <c r="L4651">
        <v>25</v>
      </c>
      <c r="M4651">
        <v>2</v>
      </c>
      <c r="N4651">
        <v>0</v>
      </c>
      <c r="O4651" t="s">
        <v>25</v>
      </c>
      <c r="P4651" t="s">
        <v>35</v>
      </c>
      <c r="Q4651">
        <v>10.7</v>
      </c>
      <c r="R4651">
        <v>16</v>
      </c>
      <c r="S4651" t="s">
        <v>27</v>
      </c>
    </row>
    <row r="4652" spans="1:19" x14ac:dyDescent="0.3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 t="str">
        <f t="shared" si="72"/>
        <v>15-30 days</v>
      </c>
      <c r="L4652">
        <v>18</v>
      </c>
      <c r="M4652">
        <v>2</v>
      </c>
      <c r="N4652">
        <v>0</v>
      </c>
      <c r="O4652" t="s">
        <v>25</v>
      </c>
      <c r="P4652" t="s">
        <v>26</v>
      </c>
      <c r="Q4652">
        <v>3.9</v>
      </c>
      <c r="R4652">
        <v>33</v>
      </c>
      <c r="S4652" t="s">
        <v>36</v>
      </c>
    </row>
    <row r="4653" spans="1:19" x14ac:dyDescent="0.3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 t="str">
        <f t="shared" si="72"/>
        <v>15-30 days</v>
      </c>
      <c r="L4653">
        <v>24</v>
      </c>
      <c r="M4653">
        <v>3</v>
      </c>
      <c r="N4653">
        <v>1</v>
      </c>
      <c r="O4653" t="s">
        <v>25</v>
      </c>
      <c r="P4653" t="s">
        <v>35</v>
      </c>
      <c r="Q4653">
        <v>16.3</v>
      </c>
      <c r="R4653">
        <v>25</v>
      </c>
      <c r="S4653" t="s">
        <v>36</v>
      </c>
    </row>
    <row r="4654" spans="1:19" x14ac:dyDescent="0.3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 t="str">
        <f t="shared" si="72"/>
        <v>31-60 days</v>
      </c>
      <c r="L4654">
        <v>51</v>
      </c>
      <c r="M4654">
        <v>1</v>
      </c>
      <c r="N4654">
        <v>1</v>
      </c>
      <c r="O4654" t="s">
        <v>25</v>
      </c>
      <c r="P4654" t="s">
        <v>50</v>
      </c>
      <c r="Q4654">
        <v>18.8</v>
      </c>
      <c r="R4654">
        <v>29</v>
      </c>
      <c r="S4654" t="s">
        <v>27</v>
      </c>
    </row>
    <row r="4655" spans="1:19" x14ac:dyDescent="0.3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 t="str">
        <f t="shared" si="72"/>
        <v>8-14 days</v>
      </c>
      <c r="L4655">
        <v>10</v>
      </c>
      <c r="M4655">
        <v>2</v>
      </c>
      <c r="N4655">
        <v>0</v>
      </c>
      <c r="O4655" t="s">
        <v>25</v>
      </c>
      <c r="P4655" t="s">
        <v>35</v>
      </c>
      <c r="Q4655">
        <v>7.6</v>
      </c>
      <c r="R4655">
        <v>19</v>
      </c>
      <c r="S4655" t="s">
        <v>36</v>
      </c>
    </row>
    <row r="4656" spans="1:19" x14ac:dyDescent="0.3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 t="str">
        <f t="shared" si="72"/>
        <v>31-60 days</v>
      </c>
      <c r="L4656">
        <v>59</v>
      </c>
      <c r="M4656">
        <v>4</v>
      </c>
      <c r="N4656">
        <v>0</v>
      </c>
      <c r="O4656" t="s">
        <v>25</v>
      </c>
      <c r="P4656" t="s">
        <v>35</v>
      </c>
      <c r="Q4656">
        <v>6.7</v>
      </c>
      <c r="R4656">
        <v>31</v>
      </c>
      <c r="S4656" t="s">
        <v>27</v>
      </c>
    </row>
    <row r="4657" spans="1:19" x14ac:dyDescent="0.3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 t="str">
        <f t="shared" si="72"/>
        <v>15-30 days</v>
      </c>
      <c r="L4657">
        <v>25</v>
      </c>
      <c r="M4657">
        <v>3</v>
      </c>
      <c r="N4657">
        <v>0</v>
      </c>
      <c r="O4657" t="s">
        <v>25</v>
      </c>
      <c r="P4657" t="s">
        <v>35</v>
      </c>
      <c r="Q4657">
        <v>4.5999999999999996</v>
      </c>
      <c r="R4657">
        <v>16</v>
      </c>
      <c r="S4657" t="s">
        <v>27</v>
      </c>
    </row>
    <row r="4658" spans="1:19" x14ac:dyDescent="0.3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 t="str">
        <f t="shared" si="72"/>
        <v>31-60 days</v>
      </c>
      <c r="L4658">
        <v>51</v>
      </c>
      <c r="M4658">
        <v>2</v>
      </c>
      <c r="N4658">
        <v>0</v>
      </c>
      <c r="O4658" t="s">
        <v>25</v>
      </c>
      <c r="P4658" t="s">
        <v>35</v>
      </c>
      <c r="Q4658">
        <v>3</v>
      </c>
      <c r="R4658">
        <v>14</v>
      </c>
      <c r="S4658" t="s">
        <v>27</v>
      </c>
    </row>
    <row r="4659" spans="1:19" x14ac:dyDescent="0.3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 t="str">
        <f t="shared" si="72"/>
        <v>31-60 days</v>
      </c>
      <c r="L4659">
        <v>47</v>
      </c>
      <c r="M4659">
        <v>1</v>
      </c>
      <c r="N4659">
        <v>1</v>
      </c>
      <c r="O4659" t="s">
        <v>25</v>
      </c>
      <c r="P4659" t="s">
        <v>50</v>
      </c>
      <c r="Q4659">
        <v>6.1</v>
      </c>
      <c r="R4659">
        <v>18</v>
      </c>
      <c r="S4659" t="s">
        <v>27</v>
      </c>
    </row>
    <row r="4660" spans="1:19" x14ac:dyDescent="0.3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 t="str">
        <f t="shared" si="72"/>
        <v>31-60 days</v>
      </c>
      <c r="L4660">
        <v>47</v>
      </c>
      <c r="M4660">
        <v>1</v>
      </c>
      <c r="N4660">
        <v>0</v>
      </c>
      <c r="O4660" t="s">
        <v>54</v>
      </c>
      <c r="P4660" t="s">
        <v>55</v>
      </c>
      <c r="Q4660">
        <v>9.1999999999999993</v>
      </c>
      <c r="R4660">
        <v>40</v>
      </c>
      <c r="S4660" t="s">
        <v>27</v>
      </c>
    </row>
    <row r="4661" spans="1:19" x14ac:dyDescent="0.3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 t="str">
        <f t="shared" si="72"/>
        <v>31-60 days</v>
      </c>
      <c r="L4661">
        <v>55</v>
      </c>
      <c r="M4661">
        <v>0</v>
      </c>
      <c r="N4661">
        <v>0</v>
      </c>
      <c r="O4661" t="s">
        <v>54</v>
      </c>
      <c r="P4661" t="s">
        <v>55</v>
      </c>
      <c r="Q4661">
        <v>14</v>
      </c>
      <c r="R4661">
        <v>18</v>
      </c>
      <c r="S4661" t="s">
        <v>27</v>
      </c>
    </row>
    <row r="4662" spans="1:19" x14ac:dyDescent="0.3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 t="str">
        <f t="shared" si="72"/>
        <v>8-14 days</v>
      </c>
      <c r="L4662">
        <v>11</v>
      </c>
      <c r="M4662">
        <v>4</v>
      </c>
      <c r="N4662">
        <v>0</v>
      </c>
      <c r="O4662" t="s">
        <v>25</v>
      </c>
      <c r="P4662" t="s">
        <v>35</v>
      </c>
      <c r="Q4662">
        <v>3.4</v>
      </c>
      <c r="R4662">
        <v>18</v>
      </c>
      <c r="S4662" t="s">
        <v>27</v>
      </c>
    </row>
    <row r="4663" spans="1:19" x14ac:dyDescent="0.3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 t="str">
        <f t="shared" si="72"/>
        <v>31-60 days</v>
      </c>
      <c r="L4663">
        <v>36</v>
      </c>
      <c r="M4663">
        <v>3</v>
      </c>
      <c r="N4663">
        <v>1</v>
      </c>
      <c r="O4663" t="s">
        <v>25</v>
      </c>
      <c r="P4663" t="s">
        <v>35</v>
      </c>
      <c r="Q4663">
        <v>7.9</v>
      </c>
      <c r="R4663">
        <v>26</v>
      </c>
      <c r="S4663" t="s">
        <v>36</v>
      </c>
    </row>
    <row r="4664" spans="1:19" x14ac:dyDescent="0.3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 t="str">
        <f t="shared" si="72"/>
        <v>0-7 days</v>
      </c>
      <c r="L4664">
        <v>6</v>
      </c>
      <c r="M4664">
        <v>2</v>
      </c>
      <c r="N4664">
        <v>0</v>
      </c>
      <c r="O4664" t="s">
        <v>54</v>
      </c>
      <c r="P4664" t="s">
        <v>55</v>
      </c>
      <c r="Q4664">
        <v>8.1999999999999993</v>
      </c>
      <c r="R4664">
        <v>23</v>
      </c>
      <c r="S4664" t="s">
        <v>36</v>
      </c>
    </row>
    <row r="4665" spans="1:19" x14ac:dyDescent="0.3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 t="str">
        <f t="shared" si="72"/>
        <v>15-30 days</v>
      </c>
      <c r="L4665">
        <v>18</v>
      </c>
      <c r="M4665">
        <v>2</v>
      </c>
      <c r="N4665">
        <v>0</v>
      </c>
      <c r="O4665" t="s">
        <v>25</v>
      </c>
      <c r="P4665" t="s">
        <v>26</v>
      </c>
      <c r="Q4665">
        <v>12</v>
      </c>
      <c r="R4665">
        <v>12</v>
      </c>
      <c r="S4665" t="s">
        <v>27</v>
      </c>
    </row>
    <row r="4666" spans="1:19" x14ac:dyDescent="0.3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 t="str">
        <f t="shared" si="72"/>
        <v>0-7 days</v>
      </c>
      <c r="L4666">
        <v>2</v>
      </c>
      <c r="M4666">
        <v>4</v>
      </c>
      <c r="N4666">
        <v>1</v>
      </c>
      <c r="O4666" t="s">
        <v>54</v>
      </c>
      <c r="P4666" t="s">
        <v>55</v>
      </c>
      <c r="Q4666">
        <v>5.6</v>
      </c>
      <c r="R4666">
        <v>11</v>
      </c>
      <c r="S4666" t="s">
        <v>36</v>
      </c>
    </row>
    <row r="4667" spans="1:19" x14ac:dyDescent="0.3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 t="str">
        <f t="shared" si="72"/>
        <v>31-60 days</v>
      </c>
      <c r="L4667">
        <v>41</v>
      </c>
      <c r="M4667">
        <v>1</v>
      </c>
      <c r="N4667">
        <v>0</v>
      </c>
      <c r="O4667" t="s">
        <v>25</v>
      </c>
      <c r="P4667" t="s">
        <v>50</v>
      </c>
      <c r="Q4667">
        <v>20.5</v>
      </c>
      <c r="R4667">
        <v>32</v>
      </c>
      <c r="S4667" t="s">
        <v>36</v>
      </c>
    </row>
    <row r="4668" spans="1:19" x14ac:dyDescent="0.3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 t="str">
        <f t="shared" si="72"/>
        <v>31-60 days</v>
      </c>
      <c r="L4668">
        <v>37</v>
      </c>
      <c r="M4668">
        <v>1</v>
      </c>
      <c r="N4668">
        <v>0</v>
      </c>
      <c r="O4668" t="s">
        <v>25</v>
      </c>
      <c r="P4668" t="s">
        <v>35</v>
      </c>
      <c r="R4668">
        <v>11</v>
      </c>
      <c r="S4668" t="s">
        <v>36</v>
      </c>
    </row>
    <row r="4669" spans="1:19" x14ac:dyDescent="0.3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 t="str">
        <f t="shared" si="72"/>
        <v>31-60 days</v>
      </c>
      <c r="L4669">
        <v>45</v>
      </c>
      <c r="M4669">
        <v>2</v>
      </c>
      <c r="N4669">
        <v>0</v>
      </c>
      <c r="O4669" t="s">
        <v>25</v>
      </c>
      <c r="P4669" t="s">
        <v>35</v>
      </c>
      <c r="Q4669">
        <v>9.8000000000000007</v>
      </c>
      <c r="R4669">
        <v>34</v>
      </c>
      <c r="S4669" t="s">
        <v>27</v>
      </c>
    </row>
    <row r="4670" spans="1:19" x14ac:dyDescent="0.3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 t="str">
        <f t="shared" si="72"/>
        <v>8-14 days</v>
      </c>
      <c r="L4670">
        <v>10</v>
      </c>
      <c r="M4670">
        <v>2</v>
      </c>
      <c r="N4670">
        <v>0</v>
      </c>
      <c r="O4670" t="s">
        <v>25</v>
      </c>
      <c r="P4670" t="s">
        <v>35</v>
      </c>
      <c r="Q4670">
        <v>19.2</v>
      </c>
      <c r="R4670">
        <v>19</v>
      </c>
      <c r="S4670" t="s">
        <v>27</v>
      </c>
    </row>
    <row r="4671" spans="1:19" x14ac:dyDescent="0.3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 t="str">
        <f t="shared" si="72"/>
        <v>15-30 days</v>
      </c>
      <c r="L4671">
        <v>20</v>
      </c>
      <c r="M4671">
        <v>1</v>
      </c>
      <c r="N4671">
        <v>0</v>
      </c>
      <c r="O4671" t="s">
        <v>54</v>
      </c>
      <c r="P4671" t="s">
        <v>55</v>
      </c>
      <c r="Q4671">
        <v>12.4</v>
      </c>
      <c r="R4671">
        <v>2</v>
      </c>
      <c r="S4671" t="s">
        <v>27</v>
      </c>
    </row>
    <row r="4672" spans="1:19" x14ac:dyDescent="0.3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 t="str">
        <f t="shared" si="72"/>
        <v>31-60 days</v>
      </c>
      <c r="L4672">
        <v>41</v>
      </c>
      <c r="M4672">
        <v>4</v>
      </c>
      <c r="N4672">
        <v>0</v>
      </c>
      <c r="O4672" t="s">
        <v>54</v>
      </c>
      <c r="P4672" t="s">
        <v>55</v>
      </c>
      <c r="Q4672">
        <v>17.7</v>
      </c>
      <c r="R4672">
        <v>31</v>
      </c>
      <c r="S4672" t="s">
        <v>27</v>
      </c>
    </row>
    <row r="4673" spans="1:19" x14ac:dyDescent="0.3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 t="str">
        <f t="shared" si="72"/>
        <v>31-60 days</v>
      </c>
      <c r="L4673">
        <v>50</v>
      </c>
      <c r="M4673">
        <v>2</v>
      </c>
      <c r="N4673">
        <v>0</v>
      </c>
      <c r="O4673" t="s">
        <v>25</v>
      </c>
      <c r="P4673" t="s">
        <v>35</v>
      </c>
      <c r="Q4673">
        <v>15</v>
      </c>
      <c r="R4673">
        <v>33</v>
      </c>
      <c r="S4673" t="s">
        <v>36</v>
      </c>
    </row>
    <row r="4674" spans="1:19" x14ac:dyDescent="0.3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 t="str">
        <f t="shared" si="72"/>
        <v>31-60 days</v>
      </c>
      <c r="L4674">
        <v>54</v>
      </c>
      <c r="M4674">
        <v>2</v>
      </c>
      <c r="N4674">
        <v>0</v>
      </c>
      <c r="O4674" t="s">
        <v>25</v>
      </c>
      <c r="P4674" t="s">
        <v>26</v>
      </c>
      <c r="Q4674">
        <v>11.4</v>
      </c>
      <c r="R4674">
        <v>30</v>
      </c>
      <c r="S4674" t="s">
        <v>27</v>
      </c>
    </row>
    <row r="4675" spans="1:19" x14ac:dyDescent="0.3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 t="str">
        <f t="shared" ref="K4675:K4738" si="73">IF(L4675&lt;=7,"0-7 days",IF(L4675&lt;=14,"8-14 days",IF(L4675&lt;=30,"15-30 days","31-60 days")))</f>
        <v>0-7 days</v>
      </c>
      <c r="L4675">
        <v>4</v>
      </c>
      <c r="M4675">
        <v>1</v>
      </c>
      <c r="N4675">
        <v>0</v>
      </c>
      <c r="O4675" t="s">
        <v>25</v>
      </c>
      <c r="P4675" t="s">
        <v>35</v>
      </c>
      <c r="Q4675">
        <v>11.6</v>
      </c>
      <c r="R4675">
        <v>19</v>
      </c>
      <c r="S4675" t="s">
        <v>36</v>
      </c>
    </row>
    <row r="4676" spans="1:19" x14ac:dyDescent="0.3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 t="str">
        <f t="shared" si="73"/>
        <v>15-30 days</v>
      </c>
      <c r="L4676">
        <v>24</v>
      </c>
      <c r="M4676">
        <v>4</v>
      </c>
      <c r="N4676">
        <v>0</v>
      </c>
      <c r="O4676" t="s">
        <v>54</v>
      </c>
      <c r="P4676" t="s">
        <v>55</v>
      </c>
      <c r="Q4676">
        <v>10</v>
      </c>
      <c r="R4676">
        <v>20</v>
      </c>
      <c r="S4676" t="s">
        <v>36</v>
      </c>
    </row>
    <row r="4677" spans="1:19" x14ac:dyDescent="0.3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 t="str">
        <f t="shared" si="73"/>
        <v>0-7 days</v>
      </c>
      <c r="L4677">
        <v>0</v>
      </c>
      <c r="M4677">
        <v>4</v>
      </c>
      <c r="N4677">
        <v>1</v>
      </c>
      <c r="O4677" t="s">
        <v>25</v>
      </c>
      <c r="P4677" t="s">
        <v>35</v>
      </c>
      <c r="Q4677">
        <v>32.1</v>
      </c>
      <c r="R4677">
        <v>19</v>
      </c>
      <c r="S4677" t="s">
        <v>27</v>
      </c>
    </row>
    <row r="4678" spans="1:19" x14ac:dyDescent="0.3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 t="str">
        <f t="shared" si="73"/>
        <v>31-60 days</v>
      </c>
      <c r="L4678">
        <v>49</v>
      </c>
      <c r="M4678">
        <v>2</v>
      </c>
      <c r="N4678">
        <v>0</v>
      </c>
      <c r="O4678" t="s">
        <v>25</v>
      </c>
      <c r="P4678" t="s">
        <v>26</v>
      </c>
      <c r="Q4678">
        <v>16.5</v>
      </c>
      <c r="S4678" t="s">
        <v>27</v>
      </c>
    </row>
    <row r="4679" spans="1:19" x14ac:dyDescent="0.3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 t="str">
        <f t="shared" si="73"/>
        <v>0-7 days</v>
      </c>
      <c r="L4679">
        <v>7</v>
      </c>
      <c r="M4679">
        <v>2</v>
      </c>
      <c r="N4679">
        <v>1</v>
      </c>
      <c r="O4679" t="s">
        <v>25</v>
      </c>
      <c r="P4679" t="s">
        <v>35</v>
      </c>
      <c r="Q4679">
        <v>9.4</v>
      </c>
      <c r="S4679" t="s">
        <v>27</v>
      </c>
    </row>
    <row r="4680" spans="1:19" x14ac:dyDescent="0.3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 t="str">
        <f t="shared" si="73"/>
        <v>31-60 days</v>
      </c>
      <c r="L4680">
        <v>50</v>
      </c>
      <c r="M4680">
        <v>2</v>
      </c>
      <c r="N4680">
        <v>0</v>
      </c>
      <c r="O4680" t="s">
        <v>25</v>
      </c>
      <c r="P4680" t="s">
        <v>35</v>
      </c>
      <c r="Q4680">
        <v>20.100000000000001</v>
      </c>
      <c r="R4680">
        <v>22</v>
      </c>
      <c r="S4680" t="s">
        <v>27</v>
      </c>
    </row>
    <row r="4681" spans="1:19" x14ac:dyDescent="0.3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 t="str">
        <f t="shared" si="73"/>
        <v>8-14 days</v>
      </c>
      <c r="L4681">
        <v>9</v>
      </c>
      <c r="M4681">
        <v>6</v>
      </c>
      <c r="N4681">
        <v>2</v>
      </c>
      <c r="O4681" t="s">
        <v>54</v>
      </c>
      <c r="P4681" t="s">
        <v>55</v>
      </c>
      <c r="Q4681">
        <v>5.6</v>
      </c>
      <c r="R4681">
        <v>19</v>
      </c>
      <c r="S4681" t="s">
        <v>27</v>
      </c>
    </row>
    <row r="4682" spans="1:19" x14ac:dyDescent="0.3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 t="str">
        <f t="shared" si="73"/>
        <v>0-7 days</v>
      </c>
      <c r="L4682">
        <v>0</v>
      </c>
      <c r="M4682">
        <v>2</v>
      </c>
      <c r="N4682">
        <v>0</v>
      </c>
      <c r="O4682" t="s">
        <v>54</v>
      </c>
      <c r="P4682" t="s">
        <v>55</v>
      </c>
      <c r="Q4682">
        <v>10.4</v>
      </c>
      <c r="R4682">
        <v>16</v>
      </c>
      <c r="S4682" t="s">
        <v>36</v>
      </c>
    </row>
    <row r="4683" spans="1:19" x14ac:dyDescent="0.3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 t="str">
        <f t="shared" si="73"/>
        <v>31-60 days</v>
      </c>
      <c r="L4683">
        <v>53</v>
      </c>
      <c r="M4683">
        <v>4</v>
      </c>
      <c r="N4683">
        <v>1</v>
      </c>
      <c r="O4683" t="s">
        <v>54</v>
      </c>
      <c r="P4683" t="s">
        <v>55</v>
      </c>
      <c r="Q4683">
        <v>5.7</v>
      </c>
      <c r="R4683">
        <v>26</v>
      </c>
      <c r="S4683" t="s">
        <v>36</v>
      </c>
    </row>
    <row r="4684" spans="1:19" x14ac:dyDescent="0.3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 t="str">
        <f t="shared" si="73"/>
        <v>15-30 days</v>
      </c>
      <c r="L4684">
        <v>26</v>
      </c>
      <c r="M4684">
        <v>2</v>
      </c>
      <c r="N4684">
        <v>0</v>
      </c>
      <c r="O4684" t="s">
        <v>25</v>
      </c>
      <c r="P4684" t="s">
        <v>35</v>
      </c>
      <c r="Q4684">
        <v>9</v>
      </c>
      <c r="R4684">
        <v>38</v>
      </c>
      <c r="S4684" t="s">
        <v>27</v>
      </c>
    </row>
    <row r="4685" spans="1:19" x14ac:dyDescent="0.3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 t="str">
        <f t="shared" si="73"/>
        <v>15-30 days</v>
      </c>
      <c r="L4685">
        <v>25</v>
      </c>
      <c r="M4685">
        <v>6</v>
      </c>
      <c r="N4685">
        <v>3</v>
      </c>
      <c r="O4685" t="s">
        <v>54</v>
      </c>
      <c r="P4685" t="s">
        <v>55</v>
      </c>
      <c r="Q4685">
        <v>6.9</v>
      </c>
      <c r="R4685">
        <v>25</v>
      </c>
      <c r="S4685" t="s">
        <v>27</v>
      </c>
    </row>
    <row r="4686" spans="1:19" x14ac:dyDescent="0.3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 t="str">
        <f t="shared" si="73"/>
        <v>31-60 days</v>
      </c>
      <c r="L4686">
        <v>39</v>
      </c>
      <c r="M4686">
        <v>3</v>
      </c>
      <c r="N4686">
        <v>1</v>
      </c>
      <c r="O4686" t="s">
        <v>25</v>
      </c>
      <c r="P4686" t="s">
        <v>26</v>
      </c>
      <c r="Q4686">
        <v>9.4</v>
      </c>
      <c r="R4686">
        <v>9</v>
      </c>
      <c r="S4686" t="s">
        <v>36</v>
      </c>
    </row>
    <row r="4687" spans="1:19" x14ac:dyDescent="0.3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 t="str">
        <f t="shared" si="73"/>
        <v>15-30 days</v>
      </c>
      <c r="L4687">
        <v>16</v>
      </c>
      <c r="M4687">
        <v>4</v>
      </c>
      <c r="N4687">
        <v>0</v>
      </c>
      <c r="O4687" t="s">
        <v>25</v>
      </c>
      <c r="P4687" t="s">
        <v>26</v>
      </c>
      <c r="Q4687">
        <v>5.6</v>
      </c>
      <c r="R4687">
        <v>24</v>
      </c>
      <c r="S4687" t="s">
        <v>36</v>
      </c>
    </row>
    <row r="4688" spans="1:19" x14ac:dyDescent="0.3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 t="str">
        <f t="shared" si="73"/>
        <v>31-60 days</v>
      </c>
      <c r="L4688">
        <v>42</v>
      </c>
      <c r="M4688">
        <v>5</v>
      </c>
      <c r="N4688">
        <v>1</v>
      </c>
      <c r="O4688" t="s">
        <v>25</v>
      </c>
      <c r="P4688" t="s">
        <v>35</v>
      </c>
      <c r="Q4688">
        <v>10.5</v>
      </c>
      <c r="R4688">
        <v>29</v>
      </c>
      <c r="S4688" t="s">
        <v>36</v>
      </c>
    </row>
    <row r="4689" spans="1:19" x14ac:dyDescent="0.3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 t="str">
        <f t="shared" si="73"/>
        <v>15-30 days</v>
      </c>
      <c r="L4689">
        <v>26</v>
      </c>
      <c r="M4689">
        <v>3</v>
      </c>
      <c r="N4689">
        <v>0</v>
      </c>
      <c r="O4689" t="s">
        <v>25</v>
      </c>
      <c r="P4689" t="s">
        <v>35</v>
      </c>
      <c r="Q4689">
        <v>3.1</v>
      </c>
      <c r="R4689">
        <v>32</v>
      </c>
      <c r="S4689" t="s">
        <v>71</v>
      </c>
    </row>
    <row r="4690" spans="1:19" x14ac:dyDescent="0.3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 t="str">
        <f t="shared" si="73"/>
        <v>15-30 days</v>
      </c>
      <c r="L4690">
        <v>16</v>
      </c>
      <c r="M4690">
        <v>2</v>
      </c>
      <c r="N4690">
        <v>1</v>
      </c>
      <c r="O4690" t="s">
        <v>54</v>
      </c>
      <c r="P4690" t="s">
        <v>55</v>
      </c>
      <c r="Q4690">
        <v>7.4</v>
      </c>
      <c r="R4690">
        <v>30</v>
      </c>
      <c r="S4690" t="s">
        <v>27</v>
      </c>
    </row>
    <row r="4691" spans="1:19" x14ac:dyDescent="0.3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 t="str">
        <f t="shared" si="73"/>
        <v>15-30 days</v>
      </c>
      <c r="L4691">
        <v>24</v>
      </c>
      <c r="M4691">
        <v>2</v>
      </c>
      <c r="N4691">
        <v>0</v>
      </c>
      <c r="O4691" t="s">
        <v>54</v>
      </c>
      <c r="P4691" t="s">
        <v>55</v>
      </c>
      <c r="Q4691">
        <v>6.1</v>
      </c>
      <c r="R4691">
        <v>25</v>
      </c>
      <c r="S4691" t="s">
        <v>27</v>
      </c>
    </row>
    <row r="4692" spans="1:19" x14ac:dyDescent="0.3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 t="str">
        <f t="shared" si="73"/>
        <v>0-7 days</v>
      </c>
      <c r="L4692">
        <v>0</v>
      </c>
      <c r="M4692">
        <v>4</v>
      </c>
      <c r="N4692">
        <v>1</v>
      </c>
      <c r="O4692" t="s">
        <v>25</v>
      </c>
      <c r="P4692" t="s">
        <v>35</v>
      </c>
      <c r="Q4692">
        <v>0.7</v>
      </c>
      <c r="R4692">
        <v>54</v>
      </c>
      <c r="S4692" t="s">
        <v>36</v>
      </c>
    </row>
    <row r="4693" spans="1:19" x14ac:dyDescent="0.3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 t="str">
        <f t="shared" si="73"/>
        <v>15-30 days</v>
      </c>
      <c r="L4693">
        <v>18</v>
      </c>
      <c r="M4693">
        <v>4</v>
      </c>
      <c r="N4693">
        <v>0</v>
      </c>
      <c r="O4693" t="s">
        <v>25</v>
      </c>
      <c r="P4693" t="s">
        <v>35</v>
      </c>
      <c r="Q4693">
        <v>17.100000000000001</v>
      </c>
      <c r="R4693">
        <v>11</v>
      </c>
      <c r="S4693" t="s">
        <v>36</v>
      </c>
    </row>
    <row r="4694" spans="1:19" x14ac:dyDescent="0.3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 t="str">
        <f t="shared" si="73"/>
        <v>31-60 days</v>
      </c>
      <c r="L4694">
        <v>36</v>
      </c>
      <c r="M4694">
        <v>1</v>
      </c>
      <c r="N4694">
        <v>1</v>
      </c>
      <c r="O4694" t="s">
        <v>25</v>
      </c>
      <c r="P4694" t="s">
        <v>35</v>
      </c>
      <c r="Q4694">
        <v>24.2</v>
      </c>
      <c r="R4694">
        <v>40</v>
      </c>
      <c r="S4694" t="s">
        <v>27</v>
      </c>
    </row>
    <row r="4695" spans="1:19" x14ac:dyDescent="0.3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 t="str">
        <f t="shared" si="73"/>
        <v>8-14 days</v>
      </c>
      <c r="L4695">
        <v>8</v>
      </c>
      <c r="M4695">
        <v>3</v>
      </c>
      <c r="N4695">
        <v>2</v>
      </c>
      <c r="O4695" t="s">
        <v>25</v>
      </c>
      <c r="P4695" t="s">
        <v>26</v>
      </c>
      <c r="Q4695">
        <v>11.9</v>
      </c>
      <c r="R4695">
        <v>30</v>
      </c>
      <c r="S4695" t="s">
        <v>36</v>
      </c>
    </row>
    <row r="4696" spans="1:19" x14ac:dyDescent="0.3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 t="str">
        <f t="shared" si="73"/>
        <v>0-7 days</v>
      </c>
      <c r="L4696">
        <v>7</v>
      </c>
      <c r="M4696">
        <v>5</v>
      </c>
      <c r="N4696">
        <v>1</v>
      </c>
      <c r="O4696" t="s">
        <v>25</v>
      </c>
      <c r="P4696" t="s">
        <v>35</v>
      </c>
      <c r="R4696">
        <v>49</v>
      </c>
      <c r="S4696" t="s">
        <v>27</v>
      </c>
    </row>
    <row r="4697" spans="1:19" x14ac:dyDescent="0.3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 t="str">
        <f t="shared" si="73"/>
        <v>31-60 days</v>
      </c>
      <c r="L4697">
        <v>40</v>
      </c>
      <c r="M4697">
        <v>1</v>
      </c>
      <c r="N4697">
        <v>0</v>
      </c>
      <c r="O4697" t="s">
        <v>54</v>
      </c>
      <c r="P4697" t="s">
        <v>55</v>
      </c>
      <c r="Q4697">
        <v>6.1</v>
      </c>
      <c r="R4697">
        <v>8</v>
      </c>
      <c r="S4697" t="s">
        <v>27</v>
      </c>
    </row>
    <row r="4698" spans="1:19" x14ac:dyDescent="0.3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 t="str">
        <f t="shared" si="73"/>
        <v>15-30 days</v>
      </c>
      <c r="L4698">
        <v>26</v>
      </c>
      <c r="M4698">
        <v>2</v>
      </c>
      <c r="N4698">
        <v>1</v>
      </c>
      <c r="O4698" t="s">
        <v>25</v>
      </c>
      <c r="P4698" t="s">
        <v>26</v>
      </c>
      <c r="Q4698">
        <v>10.3</v>
      </c>
      <c r="R4698">
        <v>41</v>
      </c>
      <c r="S4698" t="s">
        <v>36</v>
      </c>
    </row>
    <row r="4699" spans="1:19" x14ac:dyDescent="0.3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 t="str">
        <f t="shared" si="73"/>
        <v>8-14 days</v>
      </c>
      <c r="L4699">
        <v>8</v>
      </c>
      <c r="M4699">
        <v>3</v>
      </c>
      <c r="N4699">
        <v>0</v>
      </c>
      <c r="O4699" t="s">
        <v>54</v>
      </c>
      <c r="P4699" t="s">
        <v>55</v>
      </c>
      <c r="Q4699">
        <v>13.9</v>
      </c>
      <c r="R4699">
        <v>42</v>
      </c>
      <c r="S4699" t="s">
        <v>36</v>
      </c>
    </row>
    <row r="4700" spans="1:19" x14ac:dyDescent="0.3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 t="str">
        <f t="shared" si="73"/>
        <v>31-60 days</v>
      </c>
      <c r="L4700">
        <v>45</v>
      </c>
      <c r="M4700">
        <v>2</v>
      </c>
      <c r="N4700">
        <v>1</v>
      </c>
      <c r="O4700" t="s">
        <v>54</v>
      </c>
      <c r="P4700" t="s">
        <v>55</v>
      </c>
      <c r="Q4700">
        <v>16.600000000000001</v>
      </c>
      <c r="R4700">
        <v>22</v>
      </c>
      <c r="S4700" t="s">
        <v>27</v>
      </c>
    </row>
    <row r="4701" spans="1:19" x14ac:dyDescent="0.3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 t="str">
        <f t="shared" si="73"/>
        <v>31-60 days</v>
      </c>
      <c r="L4701">
        <v>47</v>
      </c>
      <c r="M4701">
        <v>2</v>
      </c>
      <c r="N4701">
        <v>0</v>
      </c>
      <c r="O4701" t="s">
        <v>25</v>
      </c>
      <c r="P4701" t="s">
        <v>35</v>
      </c>
      <c r="Q4701">
        <v>14</v>
      </c>
      <c r="R4701">
        <v>15</v>
      </c>
      <c r="S4701" t="s">
        <v>27</v>
      </c>
    </row>
    <row r="4702" spans="1:19" x14ac:dyDescent="0.3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 t="str">
        <f t="shared" si="73"/>
        <v>0-7 days</v>
      </c>
      <c r="L4702">
        <v>2</v>
      </c>
      <c r="M4702">
        <v>4</v>
      </c>
      <c r="N4702">
        <v>1</v>
      </c>
      <c r="O4702" t="s">
        <v>25</v>
      </c>
      <c r="P4702" t="s">
        <v>35</v>
      </c>
      <c r="Q4702">
        <v>5.5</v>
      </c>
      <c r="R4702">
        <v>47</v>
      </c>
      <c r="S4702" t="s">
        <v>36</v>
      </c>
    </row>
    <row r="4703" spans="1:19" x14ac:dyDescent="0.3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 t="str">
        <f t="shared" si="73"/>
        <v>8-14 days</v>
      </c>
      <c r="L4703">
        <v>12</v>
      </c>
      <c r="M4703">
        <v>2</v>
      </c>
      <c r="N4703">
        <v>0</v>
      </c>
      <c r="O4703" t="s">
        <v>25</v>
      </c>
      <c r="P4703" t="s">
        <v>35</v>
      </c>
      <c r="Q4703">
        <v>6.5</v>
      </c>
      <c r="R4703">
        <v>15</v>
      </c>
      <c r="S4703" t="s">
        <v>36</v>
      </c>
    </row>
    <row r="4704" spans="1:19" x14ac:dyDescent="0.3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 t="str">
        <f t="shared" si="73"/>
        <v>15-30 days</v>
      </c>
      <c r="L4704">
        <v>22</v>
      </c>
      <c r="M4704">
        <v>3</v>
      </c>
      <c r="N4704">
        <v>2</v>
      </c>
      <c r="O4704" t="s">
        <v>25</v>
      </c>
      <c r="P4704" t="s">
        <v>35</v>
      </c>
      <c r="Q4704">
        <v>4</v>
      </c>
      <c r="R4704">
        <v>36</v>
      </c>
      <c r="S4704" t="s">
        <v>27</v>
      </c>
    </row>
    <row r="4705" spans="1:19" x14ac:dyDescent="0.3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 t="str">
        <f t="shared" si="73"/>
        <v>31-60 days</v>
      </c>
      <c r="L4705">
        <v>44</v>
      </c>
      <c r="M4705">
        <v>1</v>
      </c>
      <c r="N4705">
        <v>0</v>
      </c>
      <c r="O4705" t="s">
        <v>54</v>
      </c>
      <c r="P4705" t="s">
        <v>55</v>
      </c>
      <c r="Q4705">
        <v>5</v>
      </c>
      <c r="R4705">
        <v>40</v>
      </c>
      <c r="S4705" t="s">
        <v>36</v>
      </c>
    </row>
    <row r="4706" spans="1:19" x14ac:dyDescent="0.3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 t="str">
        <f t="shared" si="73"/>
        <v>0-7 days</v>
      </c>
      <c r="L4706">
        <v>4</v>
      </c>
      <c r="M4706">
        <v>1</v>
      </c>
      <c r="N4706">
        <v>1</v>
      </c>
      <c r="O4706" t="s">
        <v>25</v>
      </c>
      <c r="P4706" t="s">
        <v>35</v>
      </c>
      <c r="Q4706">
        <v>13.7</v>
      </c>
      <c r="R4706">
        <v>22</v>
      </c>
      <c r="S4706" t="s">
        <v>36</v>
      </c>
    </row>
    <row r="4707" spans="1:19" x14ac:dyDescent="0.3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 t="str">
        <f t="shared" si="73"/>
        <v>31-60 days</v>
      </c>
      <c r="L4707">
        <v>49</v>
      </c>
      <c r="M4707">
        <v>8</v>
      </c>
      <c r="N4707">
        <v>1</v>
      </c>
      <c r="O4707" t="s">
        <v>54</v>
      </c>
      <c r="P4707" t="s">
        <v>55</v>
      </c>
      <c r="Q4707">
        <v>8.6</v>
      </c>
      <c r="R4707">
        <v>22</v>
      </c>
      <c r="S4707" t="s">
        <v>71</v>
      </c>
    </row>
    <row r="4708" spans="1:19" x14ac:dyDescent="0.3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 t="str">
        <f t="shared" si="73"/>
        <v>15-30 days</v>
      </c>
      <c r="L4708">
        <v>19</v>
      </c>
      <c r="M4708">
        <v>5</v>
      </c>
      <c r="N4708">
        <v>1</v>
      </c>
      <c r="O4708" t="s">
        <v>25</v>
      </c>
      <c r="P4708" t="s">
        <v>35</v>
      </c>
      <c r="Q4708">
        <v>14.1</v>
      </c>
      <c r="R4708">
        <v>43</v>
      </c>
      <c r="S4708" t="s">
        <v>36</v>
      </c>
    </row>
    <row r="4709" spans="1:19" x14ac:dyDescent="0.3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 t="str">
        <f t="shared" si="73"/>
        <v>0-7 days</v>
      </c>
      <c r="L4709">
        <v>7</v>
      </c>
      <c r="M4709">
        <v>3</v>
      </c>
      <c r="N4709">
        <v>0</v>
      </c>
      <c r="O4709" t="s">
        <v>25</v>
      </c>
      <c r="P4709" t="s">
        <v>35</v>
      </c>
      <c r="Q4709">
        <v>15.6</v>
      </c>
      <c r="R4709">
        <v>21</v>
      </c>
      <c r="S4709" t="s">
        <v>36</v>
      </c>
    </row>
    <row r="4710" spans="1:19" x14ac:dyDescent="0.3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 t="str">
        <f t="shared" si="73"/>
        <v>31-60 days</v>
      </c>
      <c r="L4710">
        <v>52</v>
      </c>
      <c r="M4710">
        <v>7</v>
      </c>
      <c r="N4710">
        <v>2</v>
      </c>
      <c r="O4710" t="s">
        <v>25</v>
      </c>
      <c r="P4710" t="s">
        <v>26</v>
      </c>
      <c r="Q4710">
        <v>9.6</v>
      </c>
      <c r="R4710">
        <v>18</v>
      </c>
      <c r="S4710" t="s">
        <v>36</v>
      </c>
    </row>
    <row r="4711" spans="1:19" x14ac:dyDescent="0.3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 t="str">
        <f t="shared" si="73"/>
        <v>0-7 days</v>
      </c>
      <c r="L4711">
        <v>5</v>
      </c>
      <c r="M4711">
        <v>0</v>
      </c>
      <c r="N4711">
        <v>0</v>
      </c>
      <c r="O4711" t="s">
        <v>54</v>
      </c>
      <c r="P4711" t="s">
        <v>55</v>
      </c>
      <c r="Q4711">
        <v>14.6</v>
      </c>
      <c r="R4711">
        <v>2</v>
      </c>
      <c r="S4711" t="s">
        <v>36</v>
      </c>
    </row>
    <row r="4712" spans="1:19" x14ac:dyDescent="0.3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 t="str">
        <f t="shared" si="73"/>
        <v>0-7 days</v>
      </c>
      <c r="L4712">
        <v>7</v>
      </c>
      <c r="M4712">
        <v>1</v>
      </c>
      <c r="N4712">
        <v>0</v>
      </c>
      <c r="O4712" t="s">
        <v>25</v>
      </c>
      <c r="P4712" t="s">
        <v>35</v>
      </c>
      <c r="Q4712">
        <v>7.5</v>
      </c>
      <c r="R4712">
        <v>36</v>
      </c>
      <c r="S4712" t="s">
        <v>36</v>
      </c>
    </row>
    <row r="4713" spans="1:19" x14ac:dyDescent="0.3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 t="str">
        <f t="shared" si="73"/>
        <v>31-60 days</v>
      </c>
      <c r="L4713">
        <v>57</v>
      </c>
      <c r="M4713">
        <v>6</v>
      </c>
      <c r="N4713">
        <v>1</v>
      </c>
      <c r="O4713" t="s">
        <v>54</v>
      </c>
      <c r="P4713" t="s">
        <v>55</v>
      </c>
      <c r="Q4713">
        <v>9.8000000000000007</v>
      </c>
      <c r="R4713">
        <v>20</v>
      </c>
      <c r="S4713" t="s">
        <v>27</v>
      </c>
    </row>
    <row r="4714" spans="1:19" x14ac:dyDescent="0.3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 t="str">
        <f t="shared" si="73"/>
        <v>31-60 days</v>
      </c>
      <c r="L4714">
        <v>31</v>
      </c>
      <c r="M4714">
        <v>3</v>
      </c>
      <c r="N4714">
        <v>0</v>
      </c>
      <c r="O4714" t="s">
        <v>25</v>
      </c>
      <c r="P4714" t="s">
        <v>35</v>
      </c>
      <c r="Q4714">
        <v>3</v>
      </c>
      <c r="R4714">
        <v>33</v>
      </c>
      <c r="S4714" t="s">
        <v>27</v>
      </c>
    </row>
    <row r="4715" spans="1:19" x14ac:dyDescent="0.3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 t="str">
        <f t="shared" si="73"/>
        <v>15-30 days</v>
      </c>
      <c r="L4715">
        <v>28</v>
      </c>
      <c r="M4715">
        <v>4</v>
      </c>
      <c r="N4715">
        <v>1</v>
      </c>
      <c r="O4715" t="s">
        <v>25</v>
      </c>
      <c r="P4715" t="s">
        <v>26</v>
      </c>
      <c r="Q4715">
        <v>7.2</v>
      </c>
      <c r="R4715">
        <v>22</v>
      </c>
      <c r="S4715" t="s">
        <v>27</v>
      </c>
    </row>
    <row r="4716" spans="1:19" x14ac:dyDescent="0.3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 t="str">
        <f t="shared" si="73"/>
        <v>31-60 days</v>
      </c>
      <c r="L4716">
        <v>41</v>
      </c>
      <c r="M4716">
        <v>3</v>
      </c>
      <c r="N4716">
        <v>1</v>
      </c>
      <c r="O4716" t="s">
        <v>25</v>
      </c>
      <c r="P4716" t="s">
        <v>26</v>
      </c>
      <c r="Q4716">
        <v>5.0999999999999996</v>
      </c>
      <c r="R4716">
        <v>39</v>
      </c>
      <c r="S4716" t="s">
        <v>71</v>
      </c>
    </row>
    <row r="4717" spans="1:19" x14ac:dyDescent="0.3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 t="str">
        <f t="shared" si="73"/>
        <v>31-60 days</v>
      </c>
      <c r="L4717">
        <v>38</v>
      </c>
      <c r="M4717">
        <v>2</v>
      </c>
      <c r="N4717">
        <v>0</v>
      </c>
      <c r="O4717" t="s">
        <v>25</v>
      </c>
      <c r="P4717" t="s">
        <v>26</v>
      </c>
      <c r="Q4717">
        <v>2.5</v>
      </c>
      <c r="R4717">
        <v>39</v>
      </c>
      <c r="S4717" t="s">
        <v>36</v>
      </c>
    </row>
    <row r="4718" spans="1:19" x14ac:dyDescent="0.3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 t="str">
        <f t="shared" si="73"/>
        <v>31-60 days</v>
      </c>
      <c r="L4718">
        <v>37</v>
      </c>
      <c r="M4718">
        <v>3</v>
      </c>
      <c r="N4718">
        <v>1</v>
      </c>
      <c r="O4718" t="s">
        <v>25</v>
      </c>
      <c r="P4718" t="s">
        <v>35</v>
      </c>
      <c r="Q4718">
        <v>11</v>
      </c>
      <c r="R4718">
        <v>13</v>
      </c>
      <c r="S4718" t="s">
        <v>27</v>
      </c>
    </row>
    <row r="4719" spans="1:19" x14ac:dyDescent="0.3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 t="str">
        <f t="shared" si="73"/>
        <v>0-7 days</v>
      </c>
      <c r="L4719">
        <v>1</v>
      </c>
      <c r="M4719">
        <v>2</v>
      </c>
      <c r="N4719">
        <v>0</v>
      </c>
      <c r="O4719" t="s">
        <v>25</v>
      </c>
      <c r="P4719" t="s">
        <v>35</v>
      </c>
      <c r="Q4719">
        <v>8</v>
      </c>
      <c r="R4719">
        <v>19</v>
      </c>
      <c r="S4719" t="s">
        <v>36</v>
      </c>
    </row>
    <row r="4720" spans="1:19" x14ac:dyDescent="0.3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 t="str">
        <f t="shared" si="73"/>
        <v>31-60 days</v>
      </c>
      <c r="L4720">
        <v>33</v>
      </c>
      <c r="M4720">
        <v>2</v>
      </c>
      <c r="N4720">
        <v>0</v>
      </c>
      <c r="O4720" t="s">
        <v>25</v>
      </c>
      <c r="P4720" t="s">
        <v>35</v>
      </c>
      <c r="Q4720">
        <v>6.7</v>
      </c>
      <c r="R4720">
        <v>30</v>
      </c>
      <c r="S4720" t="s">
        <v>36</v>
      </c>
    </row>
    <row r="4721" spans="1:19" x14ac:dyDescent="0.3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 t="str">
        <f t="shared" si="73"/>
        <v>15-30 days</v>
      </c>
      <c r="L4721">
        <v>17</v>
      </c>
      <c r="M4721">
        <v>3</v>
      </c>
      <c r="N4721">
        <v>1</v>
      </c>
      <c r="O4721" t="s">
        <v>25</v>
      </c>
      <c r="P4721" t="s">
        <v>35</v>
      </c>
      <c r="Q4721">
        <v>6.9</v>
      </c>
      <c r="R4721">
        <v>39</v>
      </c>
      <c r="S4721" t="s">
        <v>36</v>
      </c>
    </row>
    <row r="4722" spans="1:19" x14ac:dyDescent="0.3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 t="str">
        <f t="shared" si="73"/>
        <v>31-60 days</v>
      </c>
      <c r="L4722">
        <v>49</v>
      </c>
      <c r="M4722">
        <v>3</v>
      </c>
      <c r="N4722">
        <v>0</v>
      </c>
      <c r="O4722" t="s">
        <v>25</v>
      </c>
      <c r="P4722" t="s">
        <v>26</v>
      </c>
      <c r="Q4722">
        <v>3.3</v>
      </c>
      <c r="R4722">
        <v>25</v>
      </c>
      <c r="S4722" t="s">
        <v>36</v>
      </c>
    </row>
    <row r="4723" spans="1:19" x14ac:dyDescent="0.3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 t="str">
        <f t="shared" si="73"/>
        <v>15-30 days</v>
      </c>
      <c r="L4723">
        <v>30</v>
      </c>
      <c r="M4723">
        <v>7</v>
      </c>
      <c r="N4723">
        <v>4</v>
      </c>
      <c r="O4723" t="s">
        <v>25</v>
      </c>
      <c r="P4723" t="s">
        <v>35</v>
      </c>
      <c r="Q4723">
        <v>12.9</v>
      </c>
      <c r="R4723">
        <v>26</v>
      </c>
      <c r="S4723" t="s">
        <v>36</v>
      </c>
    </row>
    <row r="4724" spans="1:19" x14ac:dyDescent="0.3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 t="str">
        <f t="shared" si="73"/>
        <v>0-7 days</v>
      </c>
      <c r="L4724">
        <v>7</v>
      </c>
      <c r="M4724">
        <v>7</v>
      </c>
      <c r="N4724">
        <v>1</v>
      </c>
      <c r="O4724" t="s">
        <v>25</v>
      </c>
      <c r="P4724" t="s">
        <v>35</v>
      </c>
      <c r="Q4724">
        <v>12.8</v>
      </c>
      <c r="R4724">
        <v>28</v>
      </c>
      <c r="S4724" t="s">
        <v>27</v>
      </c>
    </row>
    <row r="4725" spans="1:19" x14ac:dyDescent="0.3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 t="str">
        <f t="shared" si="73"/>
        <v>31-60 days</v>
      </c>
      <c r="L4725">
        <v>54</v>
      </c>
      <c r="M4725">
        <v>4</v>
      </c>
      <c r="N4725">
        <v>0</v>
      </c>
      <c r="O4725" t="s">
        <v>25</v>
      </c>
      <c r="P4725" t="s">
        <v>35</v>
      </c>
      <c r="Q4725">
        <v>5.4</v>
      </c>
      <c r="R4725">
        <v>14</v>
      </c>
      <c r="S4725" t="s">
        <v>71</v>
      </c>
    </row>
    <row r="4726" spans="1:19" x14ac:dyDescent="0.3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 t="str">
        <f t="shared" si="73"/>
        <v>15-30 days</v>
      </c>
      <c r="L4726">
        <v>17</v>
      </c>
      <c r="M4726">
        <v>7</v>
      </c>
      <c r="N4726">
        <v>1</v>
      </c>
      <c r="O4726" t="s">
        <v>25</v>
      </c>
      <c r="P4726" t="s">
        <v>26</v>
      </c>
      <c r="Q4726">
        <v>3.8</v>
      </c>
      <c r="R4726">
        <v>19</v>
      </c>
      <c r="S4726" t="s">
        <v>27</v>
      </c>
    </row>
    <row r="4727" spans="1:19" x14ac:dyDescent="0.3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 t="str">
        <f t="shared" si="73"/>
        <v>15-30 days</v>
      </c>
      <c r="L4727">
        <v>16</v>
      </c>
      <c r="M4727">
        <v>2</v>
      </c>
      <c r="N4727">
        <v>0</v>
      </c>
      <c r="O4727" t="s">
        <v>25</v>
      </c>
      <c r="P4727" t="s">
        <v>50</v>
      </c>
      <c r="Q4727">
        <v>11.1</v>
      </c>
      <c r="R4727">
        <v>22</v>
      </c>
      <c r="S4727" t="s">
        <v>36</v>
      </c>
    </row>
    <row r="4728" spans="1:19" x14ac:dyDescent="0.3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 t="str">
        <f t="shared" si="73"/>
        <v>31-60 days</v>
      </c>
      <c r="L4728">
        <v>57</v>
      </c>
      <c r="M4728">
        <v>7</v>
      </c>
      <c r="N4728">
        <v>3</v>
      </c>
      <c r="O4728" t="s">
        <v>54</v>
      </c>
      <c r="P4728" t="s">
        <v>55</v>
      </c>
      <c r="Q4728">
        <v>21.2</v>
      </c>
      <c r="R4728">
        <v>35</v>
      </c>
      <c r="S4728" t="s">
        <v>27</v>
      </c>
    </row>
    <row r="4729" spans="1:19" x14ac:dyDescent="0.3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 t="str">
        <f t="shared" si="73"/>
        <v>31-60 days</v>
      </c>
      <c r="L4729">
        <v>47</v>
      </c>
      <c r="M4729">
        <v>6</v>
      </c>
      <c r="N4729">
        <v>2</v>
      </c>
      <c r="O4729" t="s">
        <v>25</v>
      </c>
      <c r="P4729" t="s">
        <v>50</v>
      </c>
      <c r="Q4729">
        <v>9</v>
      </c>
      <c r="R4729">
        <v>44</v>
      </c>
      <c r="S4729" t="s">
        <v>27</v>
      </c>
    </row>
    <row r="4730" spans="1:19" x14ac:dyDescent="0.3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 t="str">
        <f t="shared" si="73"/>
        <v>31-60 days</v>
      </c>
      <c r="L4730">
        <v>52</v>
      </c>
      <c r="M4730">
        <v>2</v>
      </c>
      <c r="N4730">
        <v>0</v>
      </c>
      <c r="O4730" t="s">
        <v>25</v>
      </c>
      <c r="P4730" t="s">
        <v>35</v>
      </c>
      <c r="Q4730">
        <v>13.9</v>
      </c>
      <c r="R4730">
        <v>14</v>
      </c>
      <c r="S4730" t="s">
        <v>36</v>
      </c>
    </row>
    <row r="4731" spans="1:19" x14ac:dyDescent="0.3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 t="str">
        <f t="shared" si="73"/>
        <v>31-60 days</v>
      </c>
      <c r="L4731">
        <v>40</v>
      </c>
      <c r="M4731">
        <v>2</v>
      </c>
      <c r="N4731">
        <v>1</v>
      </c>
      <c r="O4731" t="s">
        <v>25</v>
      </c>
      <c r="P4731" t="s">
        <v>50</v>
      </c>
      <c r="Q4731">
        <v>6.4</v>
      </c>
      <c r="R4731">
        <v>32</v>
      </c>
      <c r="S4731" t="s">
        <v>27</v>
      </c>
    </row>
    <row r="4732" spans="1:19" x14ac:dyDescent="0.3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 t="str">
        <f t="shared" si="73"/>
        <v>31-60 days</v>
      </c>
      <c r="L4732">
        <v>55</v>
      </c>
      <c r="M4732">
        <v>3</v>
      </c>
      <c r="N4732">
        <v>0</v>
      </c>
      <c r="O4732" t="s">
        <v>25</v>
      </c>
      <c r="P4732" t="s">
        <v>35</v>
      </c>
      <c r="Q4732">
        <v>10.1</v>
      </c>
      <c r="R4732">
        <v>26</v>
      </c>
      <c r="S4732" t="s">
        <v>36</v>
      </c>
    </row>
    <row r="4733" spans="1:19" x14ac:dyDescent="0.3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 t="str">
        <f t="shared" si="73"/>
        <v>0-7 days</v>
      </c>
      <c r="L4733">
        <v>7</v>
      </c>
      <c r="M4733">
        <v>1</v>
      </c>
      <c r="N4733">
        <v>0</v>
      </c>
      <c r="O4733" t="s">
        <v>25</v>
      </c>
      <c r="P4733" t="s">
        <v>35</v>
      </c>
      <c r="Q4733">
        <v>1.5</v>
      </c>
      <c r="R4733">
        <v>18</v>
      </c>
      <c r="S4733" t="s">
        <v>27</v>
      </c>
    </row>
    <row r="4734" spans="1:19" x14ac:dyDescent="0.3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 t="str">
        <f t="shared" si="73"/>
        <v>31-60 days</v>
      </c>
      <c r="L4734">
        <v>36</v>
      </c>
      <c r="M4734">
        <v>2</v>
      </c>
      <c r="N4734">
        <v>1</v>
      </c>
      <c r="O4734" t="s">
        <v>25</v>
      </c>
      <c r="P4734" t="s">
        <v>35</v>
      </c>
      <c r="Q4734">
        <v>6</v>
      </c>
      <c r="R4734">
        <v>13</v>
      </c>
      <c r="S4734" t="s">
        <v>27</v>
      </c>
    </row>
    <row r="4735" spans="1:19" x14ac:dyDescent="0.3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 t="str">
        <f t="shared" si="73"/>
        <v>15-30 days</v>
      </c>
      <c r="L4735">
        <v>17</v>
      </c>
      <c r="M4735">
        <v>4</v>
      </c>
      <c r="N4735">
        <v>1</v>
      </c>
      <c r="O4735" t="s">
        <v>25</v>
      </c>
      <c r="P4735" t="s">
        <v>35</v>
      </c>
      <c r="Q4735">
        <v>3.7</v>
      </c>
      <c r="R4735">
        <v>27</v>
      </c>
      <c r="S4735" t="s">
        <v>27</v>
      </c>
    </row>
    <row r="4736" spans="1:19" x14ac:dyDescent="0.3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 t="str">
        <f t="shared" si="73"/>
        <v>15-30 days</v>
      </c>
      <c r="L4736">
        <v>24</v>
      </c>
      <c r="M4736">
        <v>3</v>
      </c>
      <c r="N4736">
        <v>0</v>
      </c>
      <c r="O4736" t="s">
        <v>25</v>
      </c>
      <c r="P4736" t="s">
        <v>50</v>
      </c>
      <c r="Q4736">
        <v>27.1</v>
      </c>
      <c r="R4736">
        <v>18</v>
      </c>
      <c r="S4736" t="s">
        <v>36</v>
      </c>
    </row>
    <row r="4737" spans="1:19" x14ac:dyDescent="0.3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 t="str">
        <f t="shared" si="73"/>
        <v>8-14 days</v>
      </c>
      <c r="L4737">
        <v>14</v>
      </c>
      <c r="M4737">
        <v>3</v>
      </c>
      <c r="N4737">
        <v>1</v>
      </c>
      <c r="O4737" t="s">
        <v>25</v>
      </c>
      <c r="P4737" t="s">
        <v>26</v>
      </c>
      <c r="Q4737">
        <v>8.6</v>
      </c>
      <c r="R4737">
        <v>28</v>
      </c>
      <c r="S4737" t="s">
        <v>71</v>
      </c>
    </row>
    <row r="4738" spans="1:19" x14ac:dyDescent="0.3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 t="str">
        <f t="shared" si="73"/>
        <v>8-14 days</v>
      </c>
      <c r="L4738">
        <v>12</v>
      </c>
      <c r="M4738">
        <v>5</v>
      </c>
      <c r="N4738">
        <v>0</v>
      </c>
      <c r="O4738" t="s">
        <v>25</v>
      </c>
      <c r="P4738" t="s">
        <v>35</v>
      </c>
      <c r="Q4738">
        <v>35.5</v>
      </c>
      <c r="R4738">
        <v>13</v>
      </c>
      <c r="S4738" t="s">
        <v>36</v>
      </c>
    </row>
    <row r="4739" spans="1:19" x14ac:dyDescent="0.3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 t="str">
        <f t="shared" ref="K4739:K4802" si="74">IF(L4739&lt;=7,"0-7 days",IF(L4739&lt;=14,"8-14 days",IF(L4739&lt;=30,"15-30 days","31-60 days")))</f>
        <v>15-30 days</v>
      </c>
      <c r="L4739">
        <v>26</v>
      </c>
      <c r="M4739">
        <v>6</v>
      </c>
      <c r="N4739">
        <v>1</v>
      </c>
      <c r="O4739" t="s">
        <v>25</v>
      </c>
      <c r="P4739" t="s">
        <v>35</v>
      </c>
      <c r="Q4739">
        <v>8.6</v>
      </c>
      <c r="R4739">
        <v>12</v>
      </c>
      <c r="S4739" t="s">
        <v>36</v>
      </c>
    </row>
    <row r="4740" spans="1:19" x14ac:dyDescent="0.3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 t="str">
        <f t="shared" si="74"/>
        <v>31-60 days</v>
      </c>
      <c r="L4740">
        <v>56</v>
      </c>
      <c r="M4740">
        <v>1</v>
      </c>
      <c r="N4740">
        <v>1</v>
      </c>
      <c r="O4740" t="s">
        <v>25</v>
      </c>
      <c r="P4740" t="s">
        <v>35</v>
      </c>
      <c r="Q4740">
        <v>11</v>
      </c>
      <c r="R4740">
        <v>36</v>
      </c>
      <c r="S4740" t="s">
        <v>27</v>
      </c>
    </row>
    <row r="4741" spans="1:19" x14ac:dyDescent="0.3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 t="str">
        <f t="shared" si="74"/>
        <v>31-60 days</v>
      </c>
      <c r="L4741">
        <v>38</v>
      </c>
      <c r="M4741">
        <v>6</v>
      </c>
      <c r="N4741">
        <v>0</v>
      </c>
      <c r="O4741" t="s">
        <v>54</v>
      </c>
      <c r="P4741" t="s">
        <v>55</v>
      </c>
      <c r="Q4741">
        <v>7.9</v>
      </c>
      <c r="R4741">
        <v>26</v>
      </c>
      <c r="S4741" t="s">
        <v>36</v>
      </c>
    </row>
    <row r="4742" spans="1:19" x14ac:dyDescent="0.3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 t="str">
        <f t="shared" si="74"/>
        <v>15-30 days</v>
      </c>
      <c r="L4742">
        <v>21</v>
      </c>
      <c r="M4742">
        <v>1</v>
      </c>
      <c r="N4742">
        <v>0</v>
      </c>
      <c r="O4742" t="s">
        <v>25</v>
      </c>
      <c r="P4742" t="s">
        <v>26</v>
      </c>
      <c r="Q4742">
        <v>6.7</v>
      </c>
      <c r="R4742">
        <v>26</v>
      </c>
      <c r="S4742" t="s">
        <v>27</v>
      </c>
    </row>
    <row r="4743" spans="1:19" x14ac:dyDescent="0.3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 t="str">
        <f t="shared" si="74"/>
        <v>15-30 days</v>
      </c>
      <c r="L4743">
        <v>26</v>
      </c>
      <c r="M4743">
        <v>3</v>
      </c>
      <c r="N4743">
        <v>1</v>
      </c>
      <c r="O4743" t="s">
        <v>25</v>
      </c>
      <c r="P4743" t="s">
        <v>50</v>
      </c>
      <c r="Q4743">
        <v>10.8</v>
      </c>
      <c r="R4743">
        <v>18</v>
      </c>
      <c r="S4743" t="s">
        <v>27</v>
      </c>
    </row>
    <row r="4744" spans="1:19" x14ac:dyDescent="0.3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 t="str">
        <f t="shared" si="74"/>
        <v>31-60 days</v>
      </c>
      <c r="L4744">
        <v>32</v>
      </c>
      <c r="M4744">
        <v>1</v>
      </c>
      <c r="N4744">
        <v>0</v>
      </c>
      <c r="O4744" t="s">
        <v>25</v>
      </c>
      <c r="P4744" t="s">
        <v>35</v>
      </c>
      <c r="Q4744">
        <v>13.5</v>
      </c>
      <c r="R4744">
        <v>32</v>
      </c>
      <c r="S4744" t="s">
        <v>36</v>
      </c>
    </row>
    <row r="4745" spans="1:19" x14ac:dyDescent="0.3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 t="str">
        <f t="shared" si="74"/>
        <v>8-14 days</v>
      </c>
      <c r="L4745">
        <v>14</v>
      </c>
      <c r="M4745">
        <v>0</v>
      </c>
      <c r="N4745">
        <v>0</v>
      </c>
      <c r="O4745" t="s">
        <v>25</v>
      </c>
      <c r="P4745" t="s">
        <v>26</v>
      </c>
      <c r="Q4745">
        <v>4.5</v>
      </c>
      <c r="R4745">
        <v>22</v>
      </c>
      <c r="S4745" t="s">
        <v>36</v>
      </c>
    </row>
    <row r="4746" spans="1:19" x14ac:dyDescent="0.3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 t="str">
        <f t="shared" si="74"/>
        <v>31-60 days</v>
      </c>
      <c r="L4746">
        <v>31</v>
      </c>
      <c r="M4746">
        <v>5</v>
      </c>
      <c r="N4746">
        <v>2</v>
      </c>
      <c r="O4746" t="s">
        <v>25</v>
      </c>
      <c r="P4746" t="s">
        <v>35</v>
      </c>
      <c r="Q4746">
        <v>6.5</v>
      </c>
      <c r="R4746">
        <v>33</v>
      </c>
      <c r="S4746" t="s">
        <v>36</v>
      </c>
    </row>
    <row r="4747" spans="1:19" x14ac:dyDescent="0.3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 t="str">
        <f t="shared" si="74"/>
        <v>31-60 days</v>
      </c>
      <c r="L4747">
        <v>42</v>
      </c>
      <c r="M4747">
        <v>1</v>
      </c>
      <c r="N4747">
        <v>0</v>
      </c>
      <c r="O4747" t="s">
        <v>25</v>
      </c>
      <c r="P4747" t="s">
        <v>26</v>
      </c>
      <c r="Q4747">
        <v>2.9</v>
      </c>
      <c r="R4747">
        <v>19</v>
      </c>
      <c r="S4747" t="s">
        <v>27</v>
      </c>
    </row>
    <row r="4748" spans="1:19" x14ac:dyDescent="0.3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 t="str">
        <f t="shared" si="74"/>
        <v>8-14 days</v>
      </c>
      <c r="L4748">
        <v>14</v>
      </c>
      <c r="M4748">
        <v>1</v>
      </c>
      <c r="N4748">
        <v>0</v>
      </c>
      <c r="O4748" t="s">
        <v>25</v>
      </c>
      <c r="P4748" t="s">
        <v>26</v>
      </c>
      <c r="Q4748">
        <v>2.1</v>
      </c>
      <c r="R4748">
        <v>12</v>
      </c>
      <c r="S4748" t="s">
        <v>36</v>
      </c>
    </row>
    <row r="4749" spans="1:19" x14ac:dyDescent="0.3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 t="str">
        <f t="shared" si="74"/>
        <v>31-60 days</v>
      </c>
      <c r="L4749">
        <v>35</v>
      </c>
      <c r="M4749">
        <v>1</v>
      </c>
      <c r="N4749">
        <v>0</v>
      </c>
      <c r="O4749" t="s">
        <v>25</v>
      </c>
      <c r="P4749" t="s">
        <v>35</v>
      </c>
      <c r="Q4749">
        <v>13.5</v>
      </c>
      <c r="R4749">
        <v>16</v>
      </c>
      <c r="S4749" t="s">
        <v>27</v>
      </c>
    </row>
    <row r="4750" spans="1:19" x14ac:dyDescent="0.3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 t="str">
        <f t="shared" si="74"/>
        <v>31-60 days</v>
      </c>
      <c r="L4750">
        <v>43</v>
      </c>
      <c r="M4750">
        <v>6</v>
      </c>
      <c r="N4750">
        <v>0</v>
      </c>
      <c r="O4750" t="s">
        <v>25</v>
      </c>
      <c r="P4750" t="s">
        <v>35</v>
      </c>
      <c r="Q4750">
        <v>12.6</v>
      </c>
      <c r="R4750">
        <v>29</v>
      </c>
      <c r="S4750" t="s">
        <v>27</v>
      </c>
    </row>
    <row r="4751" spans="1:19" x14ac:dyDescent="0.3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 t="str">
        <f t="shared" si="74"/>
        <v>31-60 days</v>
      </c>
      <c r="L4751">
        <v>31</v>
      </c>
      <c r="M4751">
        <v>3</v>
      </c>
      <c r="N4751">
        <v>0</v>
      </c>
      <c r="O4751" t="s">
        <v>25</v>
      </c>
      <c r="P4751" t="s">
        <v>26</v>
      </c>
      <c r="Q4751">
        <v>7.5</v>
      </c>
      <c r="R4751">
        <v>13</v>
      </c>
      <c r="S4751" t="s">
        <v>36</v>
      </c>
    </row>
    <row r="4752" spans="1:19" x14ac:dyDescent="0.3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 t="str">
        <f t="shared" si="74"/>
        <v>15-30 days</v>
      </c>
      <c r="L4752">
        <v>17</v>
      </c>
      <c r="M4752">
        <v>5</v>
      </c>
      <c r="N4752">
        <v>2</v>
      </c>
      <c r="O4752" t="s">
        <v>25</v>
      </c>
      <c r="P4752" t="s">
        <v>35</v>
      </c>
      <c r="Q4752">
        <v>12.6</v>
      </c>
      <c r="R4752">
        <v>44</v>
      </c>
      <c r="S4752" t="s">
        <v>27</v>
      </c>
    </row>
    <row r="4753" spans="1:19" x14ac:dyDescent="0.3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 t="str">
        <f t="shared" si="74"/>
        <v>31-60 days</v>
      </c>
      <c r="L4753">
        <v>33</v>
      </c>
      <c r="M4753">
        <v>2</v>
      </c>
      <c r="N4753">
        <v>0</v>
      </c>
      <c r="O4753" t="s">
        <v>25</v>
      </c>
      <c r="P4753" t="s">
        <v>50</v>
      </c>
      <c r="Q4753">
        <v>13.9</v>
      </c>
      <c r="R4753">
        <v>9</v>
      </c>
      <c r="S4753" t="s">
        <v>36</v>
      </c>
    </row>
    <row r="4754" spans="1:19" x14ac:dyDescent="0.3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 t="str">
        <f t="shared" si="74"/>
        <v>31-60 days</v>
      </c>
      <c r="L4754">
        <v>48</v>
      </c>
      <c r="M4754">
        <v>3</v>
      </c>
      <c r="N4754">
        <v>0</v>
      </c>
      <c r="O4754" t="s">
        <v>54</v>
      </c>
      <c r="P4754" t="s">
        <v>55</v>
      </c>
      <c r="Q4754">
        <v>17</v>
      </c>
      <c r="R4754">
        <v>22</v>
      </c>
      <c r="S4754" t="s">
        <v>27</v>
      </c>
    </row>
    <row r="4755" spans="1:19" x14ac:dyDescent="0.3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 t="str">
        <f t="shared" si="74"/>
        <v>8-14 days</v>
      </c>
      <c r="L4755">
        <v>13</v>
      </c>
      <c r="M4755">
        <v>4</v>
      </c>
      <c r="N4755">
        <v>2</v>
      </c>
      <c r="O4755" t="s">
        <v>25</v>
      </c>
      <c r="P4755" t="s">
        <v>26</v>
      </c>
      <c r="Q4755">
        <v>1.6</v>
      </c>
      <c r="R4755">
        <v>37</v>
      </c>
      <c r="S4755" t="s">
        <v>36</v>
      </c>
    </row>
    <row r="4756" spans="1:19" x14ac:dyDescent="0.3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 t="str">
        <f t="shared" si="74"/>
        <v>31-60 days</v>
      </c>
      <c r="L4756">
        <v>35</v>
      </c>
      <c r="M4756">
        <v>1</v>
      </c>
      <c r="N4756">
        <v>0</v>
      </c>
      <c r="O4756" t="s">
        <v>25</v>
      </c>
      <c r="P4756" t="s">
        <v>35</v>
      </c>
      <c r="Q4756">
        <v>8.8000000000000007</v>
      </c>
      <c r="R4756">
        <v>27</v>
      </c>
      <c r="S4756" t="s">
        <v>27</v>
      </c>
    </row>
    <row r="4757" spans="1:19" x14ac:dyDescent="0.3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 t="str">
        <f t="shared" si="74"/>
        <v>31-60 days</v>
      </c>
      <c r="L4757">
        <v>41</v>
      </c>
      <c r="M4757">
        <v>4</v>
      </c>
      <c r="N4757">
        <v>0</v>
      </c>
      <c r="O4757" t="s">
        <v>25</v>
      </c>
      <c r="P4757" t="s">
        <v>50</v>
      </c>
      <c r="Q4757">
        <v>3.7</v>
      </c>
      <c r="R4757">
        <v>20</v>
      </c>
      <c r="S4757" t="s">
        <v>36</v>
      </c>
    </row>
    <row r="4758" spans="1:19" x14ac:dyDescent="0.3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 t="str">
        <f t="shared" si="74"/>
        <v>15-30 days</v>
      </c>
      <c r="L4758">
        <v>19</v>
      </c>
      <c r="M4758">
        <v>3</v>
      </c>
      <c r="N4758">
        <v>2</v>
      </c>
      <c r="O4758" t="s">
        <v>25</v>
      </c>
      <c r="P4758" t="s">
        <v>35</v>
      </c>
      <c r="Q4758">
        <v>5</v>
      </c>
      <c r="R4758">
        <v>37</v>
      </c>
      <c r="S4758" t="s">
        <v>36</v>
      </c>
    </row>
    <row r="4759" spans="1:19" x14ac:dyDescent="0.3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 t="str">
        <f t="shared" si="74"/>
        <v>15-30 days</v>
      </c>
      <c r="L4759">
        <v>23</v>
      </c>
      <c r="M4759">
        <v>1</v>
      </c>
      <c r="N4759">
        <v>0</v>
      </c>
      <c r="O4759" t="s">
        <v>25</v>
      </c>
      <c r="P4759" t="s">
        <v>35</v>
      </c>
      <c r="Q4759">
        <v>4.7</v>
      </c>
      <c r="R4759">
        <v>14</v>
      </c>
      <c r="S4759" t="s">
        <v>36</v>
      </c>
    </row>
    <row r="4760" spans="1:19" x14ac:dyDescent="0.3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 t="str">
        <f t="shared" si="74"/>
        <v>31-60 days</v>
      </c>
      <c r="L4760">
        <v>54</v>
      </c>
      <c r="M4760">
        <v>7</v>
      </c>
      <c r="N4760">
        <v>1</v>
      </c>
      <c r="O4760" t="s">
        <v>25</v>
      </c>
      <c r="P4760" t="s">
        <v>26</v>
      </c>
      <c r="Q4760">
        <v>10.5</v>
      </c>
      <c r="R4760">
        <v>21</v>
      </c>
      <c r="S4760" t="s">
        <v>27</v>
      </c>
    </row>
    <row r="4761" spans="1:19" x14ac:dyDescent="0.3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 t="str">
        <f t="shared" si="74"/>
        <v>15-30 days</v>
      </c>
      <c r="L4761">
        <v>22</v>
      </c>
      <c r="M4761">
        <v>4</v>
      </c>
      <c r="N4761">
        <v>1</v>
      </c>
      <c r="O4761" t="s">
        <v>54</v>
      </c>
      <c r="P4761" t="s">
        <v>55</v>
      </c>
      <c r="Q4761">
        <v>5.8</v>
      </c>
      <c r="R4761">
        <v>6</v>
      </c>
      <c r="S4761" t="s">
        <v>36</v>
      </c>
    </row>
    <row r="4762" spans="1:19" x14ac:dyDescent="0.3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 t="str">
        <f t="shared" si="74"/>
        <v>31-60 days</v>
      </c>
      <c r="L4762">
        <v>36</v>
      </c>
      <c r="M4762">
        <v>2</v>
      </c>
      <c r="N4762">
        <v>0</v>
      </c>
      <c r="O4762" t="s">
        <v>54</v>
      </c>
      <c r="P4762" t="s">
        <v>55</v>
      </c>
      <c r="Q4762">
        <v>1.5</v>
      </c>
      <c r="R4762">
        <v>34</v>
      </c>
      <c r="S4762" t="s">
        <v>27</v>
      </c>
    </row>
    <row r="4763" spans="1:19" x14ac:dyDescent="0.3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 t="str">
        <f t="shared" si="74"/>
        <v>8-14 days</v>
      </c>
      <c r="L4763">
        <v>9</v>
      </c>
      <c r="M4763">
        <v>3</v>
      </c>
      <c r="N4763">
        <v>0</v>
      </c>
      <c r="O4763" t="s">
        <v>25</v>
      </c>
      <c r="P4763" t="s">
        <v>35</v>
      </c>
      <c r="Q4763">
        <v>11.6</v>
      </c>
      <c r="R4763">
        <v>30</v>
      </c>
      <c r="S4763" t="s">
        <v>27</v>
      </c>
    </row>
    <row r="4764" spans="1:19" x14ac:dyDescent="0.3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 t="str">
        <f t="shared" si="74"/>
        <v>31-60 days</v>
      </c>
      <c r="L4764">
        <v>56</v>
      </c>
      <c r="M4764">
        <v>2</v>
      </c>
      <c r="N4764">
        <v>1</v>
      </c>
      <c r="O4764" t="s">
        <v>25</v>
      </c>
      <c r="P4764" t="s">
        <v>35</v>
      </c>
      <c r="Q4764">
        <v>3.7</v>
      </c>
      <c r="R4764">
        <v>30</v>
      </c>
      <c r="S4764" t="s">
        <v>27</v>
      </c>
    </row>
    <row r="4765" spans="1:19" x14ac:dyDescent="0.3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 t="str">
        <f t="shared" si="74"/>
        <v>31-60 days</v>
      </c>
      <c r="L4765">
        <v>36</v>
      </c>
      <c r="M4765">
        <v>3</v>
      </c>
      <c r="N4765">
        <v>0</v>
      </c>
      <c r="O4765" t="s">
        <v>25</v>
      </c>
      <c r="P4765" t="s">
        <v>26</v>
      </c>
      <c r="Q4765">
        <v>3.8</v>
      </c>
      <c r="R4765">
        <v>25</v>
      </c>
      <c r="S4765" t="s">
        <v>36</v>
      </c>
    </row>
    <row r="4766" spans="1:19" x14ac:dyDescent="0.3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 t="str">
        <f t="shared" si="74"/>
        <v>31-60 days</v>
      </c>
      <c r="L4766">
        <v>46</v>
      </c>
      <c r="M4766">
        <v>1</v>
      </c>
      <c r="N4766">
        <v>1</v>
      </c>
      <c r="O4766" t="s">
        <v>25</v>
      </c>
      <c r="P4766" t="s">
        <v>50</v>
      </c>
      <c r="Q4766">
        <v>38.5</v>
      </c>
      <c r="R4766">
        <v>25</v>
      </c>
      <c r="S4766" t="s">
        <v>36</v>
      </c>
    </row>
    <row r="4767" spans="1:19" x14ac:dyDescent="0.3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 t="str">
        <f t="shared" si="74"/>
        <v>31-60 days</v>
      </c>
      <c r="L4767">
        <v>36</v>
      </c>
      <c r="M4767">
        <v>2</v>
      </c>
      <c r="N4767">
        <v>0</v>
      </c>
      <c r="O4767" t="s">
        <v>54</v>
      </c>
      <c r="P4767" t="s">
        <v>55</v>
      </c>
      <c r="Q4767">
        <v>19.600000000000001</v>
      </c>
      <c r="R4767">
        <v>25</v>
      </c>
      <c r="S4767" t="s">
        <v>36</v>
      </c>
    </row>
    <row r="4768" spans="1:19" x14ac:dyDescent="0.3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 t="str">
        <f t="shared" si="74"/>
        <v>15-30 days</v>
      </c>
      <c r="L4768">
        <v>21</v>
      </c>
      <c r="M4768">
        <v>5</v>
      </c>
      <c r="N4768">
        <v>2</v>
      </c>
      <c r="O4768" t="s">
        <v>25</v>
      </c>
      <c r="P4768" t="s">
        <v>35</v>
      </c>
      <c r="Q4768">
        <v>5.8</v>
      </c>
      <c r="R4768">
        <v>27</v>
      </c>
      <c r="S4768" t="s">
        <v>36</v>
      </c>
    </row>
    <row r="4769" spans="1:19" x14ac:dyDescent="0.3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 t="str">
        <f t="shared" si="74"/>
        <v>15-30 days</v>
      </c>
      <c r="L4769">
        <v>20</v>
      </c>
      <c r="M4769">
        <v>2</v>
      </c>
      <c r="N4769">
        <v>0</v>
      </c>
      <c r="O4769" t="s">
        <v>25</v>
      </c>
      <c r="P4769" t="s">
        <v>50</v>
      </c>
      <c r="Q4769">
        <v>4.3</v>
      </c>
      <c r="R4769">
        <v>25</v>
      </c>
      <c r="S4769" t="s">
        <v>27</v>
      </c>
    </row>
    <row r="4770" spans="1:19" x14ac:dyDescent="0.3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 t="str">
        <f t="shared" si="74"/>
        <v>31-60 days</v>
      </c>
      <c r="L4770">
        <v>42</v>
      </c>
      <c r="M4770">
        <v>3</v>
      </c>
      <c r="N4770">
        <v>0</v>
      </c>
      <c r="O4770" t="s">
        <v>25</v>
      </c>
      <c r="P4770" t="s">
        <v>26</v>
      </c>
      <c r="R4770">
        <v>14</v>
      </c>
      <c r="S4770" t="s">
        <v>36</v>
      </c>
    </row>
    <row r="4771" spans="1:19" x14ac:dyDescent="0.3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 t="str">
        <f t="shared" si="74"/>
        <v>31-60 days</v>
      </c>
      <c r="L4771">
        <v>52</v>
      </c>
      <c r="M4771">
        <v>4</v>
      </c>
      <c r="N4771">
        <v>1</v>
      </c>
      <c r="O4771" t="s">
        <v>25</v>
      </c>
      <c r="P4771" t="s">
        <v>35</v>
      </c>
      <c r="Q4771">
        <v>44.2</v>
      </c>
      <c r="R4771">
        <v>2</v>
      </c>
      <c r="S4771" t="s">
        <v>27</v>
      </c>
    </row>
    <row r="4772" spans="1:19" x14ac:dyDescent="0.3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 t="str">
        <f t="shared" si="74"/>
        <v>0-7 days</v>
      </c>
      <c r="L4772">
        <v>7</v>
      </c>
      <c r="M4772">
        <v>3</v>
      </c>
      <c r="N4772">
        <v>0</v>
      </c>
      <c r="O4772" t="s">
        <v>25</v>
      </c>
      <c r="P4772" t="s">
        <v>35</v>
      </c>
      <c r="Q4772">
        <v>22.6</v>
      </c>
      <c r="R4772">
        <v>47</v>
      </c>
      <c r="S4772" t="s">
        <v>36</v>
      </c>
    </row>
    <row r="4773" spans="1:19" x14ac:dyDescent="0.3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 t="str">
        <f t="shared" si="74"/>
        <v>31-60 days</v>
      </c>
      <c r="L4773">
        <v>51</v>
      </c>
      <c r="M4773">
        <v>2</v>
      </c>
      <c r="N4773">
        <v>0</v>
      </c>
      <c r="O4773" t="s">
        <v>25</v>
      </c>
      <c r="P4773" t="s">
        <v>35</v>
      </c>
      <c r="Q4773">
        <v>13.9</v>
      </c>
      <c r="R4773">
        <v>17</v>
      </c>
      <c r="S4773" t="s">
        <v>71</v>
      </c>
    </row>
    <row r="4774" spans="1:19" x14ac:dyDescent="0.3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 t="str">
        <f t="shared" si="74"/>
        <v>31-60 days</v>
      </c>
      <c r="L4774">
        <v>50</v>
      </c>
      <c r="M4774">
        <v>0</v>
      </c>
      <c r="N4774">
        <v>0</v>
      </c>
      <c r="O4774" t="s">
        <v>25</v>
      </c>
      <c r="P4774" t="s">
        <v>26</v>
      </c>
      <c r="Q4774">
        <v>22.5</v>
      </c>
      <c r="R4774">
        <v>22</v>
      </c>
      <c r="S4774" t="s">
        <v>71</v>
      </c>
    </row>
    <row r="4775" spans="1:19" x14ac:dyDescent="0.3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 t="str">
        <f t="shared" si="74"/>
        <v>0-7 days</v>
      </c>
      <c r="L4775">
        <v>6</v>
      </c>
      <c r="M4775">
        <v>3</v>
      </c>
      <c r="N4775">
        <v>1</v>
      </c>
      <c r="O4775" t="s">
        <v>54</v>
      </c>
      <c r="P4775" t="s">
        <v>55</v>
      </c>
      <c r="Q4775">
        <v>12.1</v>
      </c>
      <c r="R4775">
        <v>36</v>
      </c>
      <c r="S4775" t="s">
        <v>36</v>
      </c>
    </row>
    <row r="4776" spans="1:19" x14ac:dyDescent="0.3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 t="str">
        <f t="shared" si="74"/>
        <v>0-7 days</v>
      </c>
      <c r="L4776">
        <v>6</v>
      </c>
      <c r="M4776">
        <v>4</v>
      </c>
      <c r="N4776">
        <v>0</v>
      </c>
      <c r="O4776" t="s">
        <v>25</v>
      </c>
      <c r="P4776" t="s">
        <v>35</v>
      </c>
      <c r="Q4776">
        <v>21.5</v>
      </c>
      <c r="R4776">
        <v>28</v>
      </c>
      <c r="S4776" t="s">
        <v>27</v>
      </c>
    </row>
    <row r="4777" spans="1:19" x14ac:dyDescent="0.3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 t="str">
        <f t="shared" si="74"/>
        <v>31-60 days</v>
      </c>
      <c r="L4777">
        <v>42</v>
      </c>
      <c r="M4777">
        <v>3</v>
      </c>
      <c r="N4777">
        <v>1</v>
      </c>
      <c r="O4777" t="s">
        <v>25</v>
      </c>
      <c r="P4777" t="s">
        <v>26</v>
      </c>
      <c r="Q4777">
        <v>5.3</v>
      </c>
      <c r="R4777">
        <v>8</v>
      </c>
      <c r="S4777" t="s">
        <v>27</v>
      </c>
    </row>
    <row r="4778" spans="1:19" x14ac:dyDescent="0.3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 t="str">
        <f t="shared" si="74"/>
        <v>31-60 days</v>
      </c>
      <c r="L4778">
        <v>51</v>
      </c>
      <c r="M4778">
        <v>5</v>
      </c>
      <c r="N4778">
        <v>0</v>
      </c>
      <c r="O4778" t="s">
        <v>25</v>
      </c>
      <c r="P4778" t="s">
        <v>35</v>
      </c>
      <c r="Q4778">
        <v>16.7</v>
      </c>
      <c r="R4778">
        <v>11</v>
      </c>
      <c r="S4778" t="s">
        <v>27</v>
      </c>
    </row>
    <row r="4779" spans="1:19" x14ac:dyDescent="0.3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 t="str">
        <f t="shared" si="74"/>
        <v>15-30 days</v>
      </c>
      <c r="L4779">
        <v>24</v>
      </c>
      <c r="M4779">
        <v>1</v>
      </c>
      <c r="N4779">
        <v>0</v>
      </c>
      <c r="O4779" t="s">
        <v>54</v>
      </c>
      <c r="P4779" t="s">
        <v>55</v>
      </c>
      <c r="Q4779">
        <v>8.3000000000000007</v>
      </c>
      <c r="R4779">
        <v>34</v>
      </c>
      <c r="S4779" t="s">
        <v>27</v>
      </c>
    </row>
    <row r="4780" spans="1:19" x14ac:dyDescent="0.3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 t="str">
        <f t="shared" si="74"/>
        <v>31-60 days</v>
      </c>
      <c r="L4780">
        <v>39</v>
      </c>
      <c r="M4780">
        <v>1</v>
      </c>
      <c r="N4780">
        <v>0</v>
      </c>
      <c r="O4780" t="s">
        <v>54</v>
      </c>
      <c r="P4780" t="s">
        <v>55</v>
      </c>
      <c r="Q4780">
        <v>13.7</v>
      </c>
      <c r="R4780">
        <v>31</v>
      </c>
      <c r="S4780" t="s">
        <v>71</v>
      </c>
    </row>
    <row r="4781" spans="1:19" x14ac:dyDescent="0.3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 t="str">
        <f t="shared" si="74"/>
        <v>31-60 days</v>
      </c>
      <c r="L4781">
        <v>60</v>
      </c>
      <c r="M4781">
        <v>3</v>
      </c>
      <c r="N4781">
        <v>1</v>
      </c>
      <c r="O4781" t="s">
        <v>25</v>
      </c>
      <c r="P4781" t="s">
        <v>35</v>
      </c>
      <c r="Q4781">
        <v>23.1</v>
      </c>
      <c r="R4781">
        <v>18</v>
      </c>
      <c r="S4781" t="s">
        <v>27</v>
      </c>
    </row>
    <row r="4782" spans="1:19" x14ac:dyDescent="0.3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 t="str">
        <f t="shared" si="74"/>
        <v>15-30 days</v>
      </c>
      <c r="L4782">
        <v>19</v>
      </c>
      <c r="M4782">
        <v>6</v>
      </c>
      <c r="N4782">
        <v>1</v>
      </c>
      <c r="O4782" t="s">
        <v>54</v>
      </c>
      <c r="P4782" t="s">
        <v>55</v>
      </c>
      <c r="Q4782">
        <v>7.1</v>
      </c>
      <c r="R4782">
        <v>24</v>
      </c>
      <c r="S4782" t="s">
        <v>36</v>
      </c>
    </row>
    <row r="4783" spans="1:19" x14ac:dyDescent="0.3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 t="str">
        <f t="shared" si="74"/>
        <v>8-14 days</v>
      </c>
      <c r="L4783">
        <v>13</v>
      </c>
      <c r="M4783">
        <v>5</v>
      </c>
      <c r="N4783">
        <v>0</v>
      </c>
      <c r="O4783" t="s">
        <v>54</v>
      </c>
      <c r="P4783" t="s">
        <v>55</v>
      </c>
      <c r="Q4783">
        <v>5</v>
      </c>
      <c r="R4783">
        <v>24</v>
      </c>
      <c r="S4783" t="s">
        <v>36</v>
      </c>
    </row>
    <row r="4784" spans="1:19" x14ac:dyDescent="0.3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 t="str">
        <f t="shared" si="74"/>
        <v>31-60 days</v>
      </c>
      <c r="L4784">
        <v>60</v>
      </c>
      <c r="M4784">
        <v>1</v>
      </c>
      <c r="N4784">
        <v>0</v>
      </c>
      <c r="O4784" t="s">
        <v>25</v>
      </c>
      <c r="P4784" t="s">
        <v>35</v>
      </c>
      <c r="Q4784">
        <v>17.7</v>
      </c>
      <c r="R4784">
        <v>27</v>
      </c>
      <c r="S4784" t="s">
        <v>27</v>
      </c>
    </row>
    <row r="4785" spans="1:19" x14ac:dyDescent="0.3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 t="str">
        <f t="shared" si="74"/>
        <v>15-30 days</v>
      </c>
      <c r="L4785">
        <v>17</v>
      </c>
      <c r="M4785">
        <v>3</v>
      </c>
      <c r="N4785">
        <v>0</v>
      </c>
      <c r="O4785" t="s">
        <v>54</v>
      </c>
      <c r="P4785" t="s">
        <v>55</v>
      </c>
      <c r="Q4785">
        <v>10.3</v>
      </c>
      <c r="R4785">
        <v>29</v>
      </c>
      <c r="S4785" t="s">
        <v>36</v>
      </c>
    </row>
    <row r="4786" spans="1:19" x14ac:dyDescent="0.3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 t="str">
        <f t="shared" si="74"/>
        <v>15-30 days</v>
      </c>
      <c r="L4786">
        <v>28</v>
      </c>
      <c r="M4786">
        <v>1</v>
      </c>
      <c r="N4786">
        <v>0</v>
      </c>
      <c r="O4786" t="s">
        <v>54</v>
      </c>
      <c r="P4786" t="s">
        <v>55</v>
      </c>
      <c r="Q4786">
        <v>11</v>
      </c>
      <c r="R4786">
        <v>20</v>
      </c>
      <c r="S4786" t="s">
        <v>27</v>
      </c>
    </row>
    <row r="4787" spans="1:19" x14ac:dyDescent="0.3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 t="str">
        <f t="shared" si="74"/>
        <v>15-30 days</v>
      </c>
      <c r="L4787">
        <v>26</v>
      </c>
      <c r="M4787">
        <v>2</v>
      </c>
      <c r="N4787">
        <v>0</v>
      </c>
      <c r="O4787" t="s">
        <v>25</v>
      </c>
      <c r="P4787" t="s">
        <v>35</v>
      </c>
      <c r="Q4787">
        <v>4.8</v>
      </c>
      <c r="R4787">
        <v>32</v>
      </c>
      <c r="S4787" t="s">
        <v>36</v>
      </c>
    </row>
    <row r="4788" spans="1:19" x14ac:dyDescent="0.3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 t="str">
        <f t="shared" si="74"/>
        <v>31-60 days</v>
      </c>
      <c r="L4788">
        <v>31</v>
      </c>
      <c r="M4788">
        <v>0</v>
      </c>
      <c r="N4788">
        <v>0</v>
      </c>
      <c r="O4788" t="s">
        <v>25</v>
      </c>
      <c r="P4788" t="s">
        <v>26</v>
      </c>
      <c r="Q4788">
        <v>13.1</v>
      </c>
      <c r="R4788">
        <v>31</v>
      </c>
      <c r="S4788" t="s">
        <v>36</v>
      </c>
    </row>
    <row r="4789" spans="1:19" x14ac:dyDescent="0.3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 t="str">
        <f t="shared" si="74"/>
        <v>15-30 days</v>
      </c>
      <c r="L4789">
        <v>16</v>
      </c>
      <c r="M4789">
        <v>4</v>
      </c>
      <c r="N4789">
        <v>0</v>
      </c>
      <c r="O4789" t="s">
        <v>25</v>
      </c>
      <c r="P4789" t="s">
        <v>26</v>
      </c>
      <c r="Q4789">
        <v>15.6</v>
      </c>
      <c r="R4789">
        <v>34</v>
      </c>
      <c r="S4789" t="s">
        <v>36</v>
      </c>
    </row>
    <row r="4790" spans="1:19" x14ac:dyDescent="0.3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 t="str">
        <f t="shared" si="74"/>
        <v>31-60 days</v>
      </c>
      <c r="L4790">
        <v>41</v>
      </c>
      <c r="M4790">
        <v>5</v>
      </c>
      <c r="N4790">
        <v>0</v>
      </c>
      <c r="O4790" t="s">
        <v>25</v>
      </c>
      <c r="P4790" t="s">
        <v>35</v>
      </c>
      <c r="Q4790">
        <v>5.9</v>
      </c>
      <c r="R4790">
        <v>32</v>
      </c>
      <c r="S4790" t="s">
        <v>27</v>
      </c>
    </row>
    <row r="4791" spans="1:19" x14ac:dyDescent="0.3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 t="str">
        <f t="shared" si="74"/>
        <v>31-60 days</v>
      </c>
      <c r="L4791">
        <v>42</v>
      </c>
      <c r="M4791">
        <v>3</v>
      </c>
      <c r="N4791">
        <v>0</v>
      </c>
      <c r="O4791" t="s">
        <v>54</v>
      </c>
      <c r="P4791" t="s">
        <v>55</v>
      </c>
      <c r="Q4791">
        <v>8.1999999999999993</v>
      </c>
      <c r="R4791">
        <v>32</v>
      </c>
      <c r="S4791" t="s">
        <v>27</v>
      </c>
    </row>
    <row r="4792" spans="1:19" x14ac:dyDescent="0.3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 t="str">
        <f t="shared" si="74"/>
        <v>8-14 days</v>
      </c>
      <c r="L4792">
        <v>12</v>
      </c>
      <c r="M4792">
        <v>3</v>
      </c>
      <c r="N4792">
        <v>2</v>
      </c>
      <c r="O4792" t="s">
        <v>25</v>
      </c>
      <c r="P4792" t="s">
        <v>35</v>
      </c>
      <c r="Q4792">
        <v>5.9</v>
      </c>
      <c r="R4792">
        <v>19</v>
      </c>
      <c r="S4792" t="s">
        <v>36</v>
      </c>
    </row>
    <row r="4793" spans="1:19" x14ac:dyDescent="0.3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 t="str">
        <f t="shared" si="74"/>
        <v>15-30 days</v>
      </c>
      <c r="L4793">
        <v>29</v>
      </c>
      <c r="M4793">
        <v>1</v>
      </c>
      <c r="N4793">
        <v>0</v>
      </c>
      <c r="O4793" t="s">
        <v>54</v>
      </c>
      <c r="P4793" t="s">
        <v>55</v>
      </c>
      <c r="Q4793">
        <v>12.3</v>
      </c>
      <c r="R4793">
        <v>23</v>
      </c>
      <c r="S4793" t="s">
        <v>36</v>
      </c>
    </row>
    <row r="4794" spans="1:19" x14ac:dyDescent="0.3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 t="str">
        <f t="shared" si="74"/>
        <v>0-7 days</v>
      </c>
      <c r="L4794">
        <v>3</v>
      </c>
      <c r="M4794">
        <v>4</v>
      </c>
      <c r="N4794">
        <v>0</v>
      </c>
      <c r="O4794" t="s">
        <v>54</v>
      </c>
      <c r="P4794" t="s">
        <v>55</v>
      </c>
      <c r="Q4794">
        <v>19.5</v>
      </c>
      <c r="R4794">
        <v>15</v>
      </c>
      <c r="S4794" t="s">
        <v>36</v>
      </c>
    </row>
    <row r="4795" spans="1:19" x14ac:dyDescent="0.3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 t="str">
        <f t="shared" si="74"/>
        <v>8-14 days</v>
      </c>
      <c r="L4795">
        <v>13</v>
      </c>
      <c r="M4795">
        <v>2</v>
      </c>
      <c r="N4795">
        <v>0</v>
      </c>
      <c r="O4795" t="s">
        <v>25</v>
      </c>
      <c r="P4795" t="s">
        <v>35</v>
      </c>
      <c r="Q4795">
        <v>0.5</v>
      </c>
      <c r="R4795">
        <v>26</v>
      </c>
      <c r="S4795" t="s">
        <v>27</v>
      </c>
    </row>
    <row r="4796" spans="1:19" x14ac:dyDescent="0.3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 t="str">
        <f t="shared" si="74"/>
        <v>31-60 days</v>
      </c>
      <c r="L4796">
        <v>60</v>
      </c>
      <c r="M4796">
        <v>3</v>
      </c>
      <c r="N4796">
        <v>1</v>
      </c>
      <c r="O4796" t="s">
        <v>25</v>
      </c>
      <c r="P4796" t="s">
        <v>26</v>
      </c>
      <c r="Q4796">
        <v>6.3</v>
      </c>
      <c r="R4796">
        <v>15</v>
      </c>
      <c r="S4796" t="s">
        <v>36</v>
      </c>
    </row>
    <row r="4797" spans="1:19" x14ac:dyDescent="0.3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 t="str">
        <f t="shared" si="74"/>
        <v>15-30 days</v>
      </c>
      <c r="L4797">
        <v>30</v>
      </c>
      <c r="M4797">
        <v>4</v>
      </c>
      <c r="N4797">
        <v>1</v>
      </c>
      <c r="O4797" t="s">
        <v>25</v>
      </c>
      <c r="P4797" t="s">
        <v>26</v>
      </c>
      <c r="Q4797">
        <v>26.7</v>
      </c>
      <c r="R4797">
        <v>29</v>
      </c>
      <c r="S4797" t="s">
        <v>27</v>
      </c>
    </row>
    <row r="4798" spans="1:19" x14ac:dyDescent="0.3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 t="str">
        <f t="shared" si="74"/>
        <v>31-60 days</v>
      </c>
      <c r="L4798">
        <v>37</v>
      </c>
      <c r="M4798">
        <v>4</v>
      </c>
      <c r="N4798">
        <v>0</v>
      </c>
      <c r="O4798" t="s">
        <v>25</v>
      </c>
      <c r="P4798" t="s">
        <v>26</v>
      </c>
      <c r="Q4798">
        <v>7.8</v>
      </c>
      <c r="R4798">
        <v>37</v>
      </c>
      <c r="S4798" t="s">
        <v>27</v>
      </c>
    </row>
    <row r="4799" spans="1:19" x14ac:dyDescent="0.3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 t="str">
        <f t="shared" si="74"/>
        <v>31-60 days</v>
      </c>
      <c r="L4799">
        <v>54</v>
      </c>
      <c r="M4799">
        <v>1</v>
      </c>
      <c r="N4799">
        <v>0</v>
      </c>
      <c r="O4799" t="s">
        <v>25</v>
      </c>
      <c r="P4799" t="s">
        <v>35</v>
      </c>
      <c r="Q4799">
        <v>10.4</v>
      </c>
      <c r="R4799">
        <v>24</v>
      </c>
      <c r="S4799" t="s">
        <v>36</v>
      </c>
    </row>
    <row r="4800" spans="1:19" x14ac:dyDescent="0.3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 t="str">
        <f t="shared" si="74"/>
        <v>31-60 days</v>
      </c>
      <c r="L4800">
        <v>43</v>
      </c>
      <c r="M4800">
        <v>7</v>
      </c>
      <c r="N4800">
        <v>3</v>
      </c>
      <c r="O4800" t="s">
        <v>25</v>
      </c>
      <c r="P4800" t="s">
        <v>26</v>
      </c>
      <c r="Q4800">
        <v>36.200000000000003</v>
      </c>
      <c r="R4800">
        <v>18</v>
      </c>
      <c r="S4800" t="s">
        <v>36</v>
      </c>
    </row>
    <row r="4801" spans="1:19" x14ac:dyDescent="0.3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 t="str">
        <f t="shared" si="74"/>
        <v>31-60 days</v>
      </c>
      <c r="L4801">
        <v>48</v>
      </c>
      <c r="M4801">
        <v>4</v>
      </c>
      <c r="N4801">
        <v>1</v>
      </c>
      <c r="O4801" t="s">
        <v>25</v>
      </c>
      <c r="P4801" t="s">
        <v>35</v>
      </c>
      <c r="Q4801">
        <v>24.8</v>
      </c>
      <c r="R4801">
        <v>29</v>
      </c>
      <c r="S4801" t="s">
        <v>27</v>
      </c>
    </row>
    <row r="4802" spans="1:19" x14ac:dyDescent="0.3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 t="str">
        <f t="shared" si="74"/>
        <v>31-60 days</v>
      </c>
      <c r="L4802">
        <v>43</v>
      </c>
      <c r="M4802">
        <v>3</v>
      </c>
      <c r="N4802">
        <v>1</v>
      </c>
      <c r="O4802" t="s">
        <v>25</v>
      </c>
      <c r="P4802" t="s">
        <v>35</v>
      </c>
      <c r="Q4802">
        <v>12.7</v>
      </c>
      <c r="R4802">
        <v>35</v>
      </c>
      <c r="S4802" t="s">
        <v>27</v>
      </c>
    </row>
    <row r="4803" spans="1:19" x14ac:dyDescent="0.3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 t="str">
        <f t="shared" ref="K4803:K4866" si="75">IF(L4803&lt;=7,"0-7 days",IF(L4803&lt;=14,"8-14 days",IF(L4803&lt;=30,"15-30 days","31-60 days")))</f>
        <v>15-30 days</v>
      </c>
      <c r="L4803">
        <v>30</v>
      </c>
      <c r="M4803">
        <v>8</v>
      </c>
      <c r="N4803">
        <v>1</v>
      </c>
      <c r="O4803" t="s">
        <v>54</v>
      </c>
      <c r="P4803" t="s">
        <v>55</v>
      </c>
      <c r="Q4803">
        <v>8</v>
      </c>
      <c r="R4803">
        <v>16</v>
      </c>
      <c r="S4803" t="s">
        <v>36</v>
      </c>
    </row>
    <row r="4804" spans="1:19" x14ac:dyDescent="0.3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 t="str">
        <f t="shared" si="75"/>
        <v>31-60 days</v>
      </c>
      <c r="L4804">
        <v>38</v>
      </c>
      <c r="M4804">
        <v>2</v>
      </c>
      <c r="N4804">
        <v>1</v>
      </c>
      <c r="O4804" t="s">
        <v>25</v>
      </c>
      <c r="P4804" t="s">
        <v>35</v>
      </c>
      <c r="Q4804">
        <v>15.4</v>
      </c>
      <c r="R4804">
        <v>25</v>
      </c>
      <c r="S4804" t="s">
        <v>27</v>
      </c>
    </row>
    <row r="4805" spans="1:19" x14ac:dyDescent="0.3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 t="str">
        <f t="shared" si="75"/>
        <v>15-30 days</v>
      </c>
      <c r="L4805">
        <v>17</v>
      </c>
      <c r="M4805">
        <v>3</v>
      </c>
      <c r="N4805">
        <v>1</v>
      </c>
      <c r="O4805" t="s">
        <v>25</v>
      </c>
      <c r="P4805" t="s">
        <v>35</v>
      </c>
      <c r="Q4805">
        <v>5.9</v>
      </c>
      <c r="R4805">
        <v>27</v>
      </c>
      <c r="S4805" t="s">
        <v>36</v>
      </c>
    </row>
    <row r="4806" spans="1:19" x14ac:dyDescent="0.3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 t="str">
        <f t="shared" si="75"/>
        <v>31-60 days</v>
      </c>
      <c r="L4806">
        <v>54</v>
      </c>
      <c r="M4806">
        <v>3</v>
      </c>
      <c r="N4806">
        <v>0</v>
      </c>
      <c r="O4806" t="s">
        <v>25</v>
      </c>
      <c r="P4806" t="s">
        <v>35</v>
      </c>
      <c r="Q4806">
        <v>6.1</v>
      </c>
      <c r="R4806">
        <v>21</v>
      </c>
      <c r="S4806" t="s">
        <v>27</v>
      </c>
    </row>
    <row r="4807" spans="1:19" x14ac:dyDescent="0.3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 t="str">
        <f t="shared" si="75"/>
        <v>8-14 days</v>
      </c>
      <c r="L4807">
        <v>10</v>
      </c>
      <c r="M4807">
        <v>6</v>
      </c>
      <c r="N4807">
        <v>0</v>
      </c>
      <c r="O4807" t="s">
        <v>25</v>
      </c>
      <c r="P4807" t="s">
        <v>35</v>
      </c>
      <c r="Q4807">
        <v>3.7</v>
      </c>
      <c r="R4807">
        <v>30</v>
      </c>
      <c r="S4807" t="s">
        <v>36</v>
      </c>
    </row>
    <row r="4808" spans="1:19" x14ac:dyDescent="0.3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 t="str">
        <f t="shared" si="75"/>
        <v>31-60 days</v>
      </c>
      <c r="L4808">
        <v>53</v>
      </c>
      <c r="M4808">
        <v>1</v>
      </c>
      <c r="N4808">
        <v>0</v>
      </c>
      <c r="O4808" t="s">
        <v>25</v>
      </c>
      <c r="P4808" t="s">
        <v>35</v>
      </c>
      <c r="Q4808">
        <v>5.4</v>
      </c>
      <c r="R4808">
        <v>6</v>
      </c>
      <c r="S4808" t="s">
        <v>36</v>
      </c>
    </row>
    <row r="4809" spans="1:19" x14ac:dyDescent="0.3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 t="str">
        <f t="shared" si="75"/>
        <v>31-60 days</v>
      </c>
      <c r="L4809">
        <v>53</v>
      </c>
      <c r="M4809">
        <v>4</v>
      </c>
      <c r="N4809">
        <v>1</v>
      </c>
      <c r="O4809" t="s">
        <v>25</v>
      </c>
      <c r="P4809" t="s">
        <v>26</v>
      </c>
      <c r="Q4809">
        <v>7.8</v>
      </c>
      <c r="R4809">
        <v>28</v>
      </c>
      <c r="S4809" t="s">
        <v>27</v>
      </c>
    </row>
    <row r="4810" spans="1:19" x14ac:dyDescent="0.3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 t="str">
        <f t="shared" si="75"/>
        <v>8-14 days</v>
      </c>
      <c r="L4810">
        <v>8</v>
      </c>
      <c r="M4810">
        <v>3</v>
      </c>
      <c r="N4810">
        <v>0</v>
      </c>
      <c r="O4810" t="s">
        <v>54</v>
      </c>
      <c r="P4810" t="s">
        <v>55</v>
      </c>
      <c r="Q4810">
        <v>12.1</v>
      </c>
      <c r="R4810">
        <v>44</v>
      </c>
      <c r="S4810" t="s">
        <v>27</v>
      </c>
    </row>
    <row r="4811" spans="1:19" x14ac:dyDescent="0.3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 t="str">
        <f t="shared" si="75"/>
        <v>31-60 days</v>
      </c>
      <c r="L4811">
        <v>43</v>
      </c>
      <c r="M4811">
        <v>5</v>
      </c>
      <c r="N4811">
        <v>1</v>
      </c>
      <c r="O4811" t="s">
        <v>25</v>
      </c>
      <c r="P4811" t="s">
        <v>35</v>
      </c>
      <c r="Q4811">
        <v>12.9</v>
      </c>
      <c r="R4811">
        <v>30</v>
      </c>
      <c r="S4811" t="s">
        <v>71</v>
      </c>
    </row>
    <row r="4812" spans="1:19" x14ac:dyDescent="0.3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 t="str">
        <f t="shared" si="75"/>
        <v>31-60 days</v>
      </c>
      <c r="L4812">
        <v>60</v>
      </c>
      <c r="M4812">
        <v>2</v>
      </c>
      <c r="N4812">
        <v>0</v>
      </c>
      <c r="O4812" t="s">
        <v>25</v>
      </c>
      <c r="P4812" t="s">
        <v>26</v>
      </c>
      <c r="Q4812">
        <v>7.2</v>
      </c>
      <c r="R4812">
        <v>24</v>
      </c>
      <c r="S4812" t="s">
        <v>71</v>
      </c>
    </row>
    <row r="4813" spans="1:19" x14ac:dyDescent="0.3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 t="str">
        <f t="shared" si="75"/>
        <v>31-60 days</v>
      </c>
      <c r="L4813">
        <v>34</v>
      </c>
      <c r="M4813">
        <v>1</v>
      </c>
      <c r="N4813">
        <v>0</v>
      </c>
      <c r="O4813" t="s">
        <v>25</v>
      </c>
      <c r="P4813" t="s">
        <v>26</v>
      </c>
      <c r="Q4813">
        <v>10.6</v>
      </c>
      <c r="R4813">
        <v>11</v>
      </c>
      <c r="S4813" t="s">
        <v>36</v>
      </c>
    </row>
    <row r="4814" spans="1:19" x14ac:dyDescent="0.3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 t="str">
        <f t="shared" si="75"/>
        <v>15-30 days</v>
      </c>
      <c r="L4814">
        <v>20</v>
      </c>
      <c r="M4814">
        <v>1</v>
      </c>
      <c r="N4814">
        <v>0</v>
      </c>
      <c r="O4814" t="s">
        <v>54</v>
      </c>
      <c r="P4814" t="s">
        <v>55</v>
      </c>
      <c r="Q4814">
        <v>20.5</v>
      </c>
      <c r="R4814">
        <v>20</v>
      </c>
      <c r="S4814" t="s">
        <v>27</v>
      </c>
    </row>
    <row r="4815" spans="1:19" x14ac:dyDescent="0.3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 t="str">
        <f t="shared" si="75"/>
        <v>31-60 days</v>
      </c>
      <c r="L4815">
        <v>53</v>
      </c>
      <c r="M4815">
        <v>3</v>
      </c>
      <c r="N4815">
        <v>0</v>
      </c>
      <c r="O4815" t="s">
        <v>25</v>
      </c>
      <c r="P4815" t="s">
        <v>26</v>
      </c>
      <c r="Q4815">
        <v>14.8</v>
      </c>
      <c r="R4815">
        <v>27</v>
      </c>
      <c r="S4815" t="s">
        <v>27</v>
      </c>
    </row>
    <row r="4816" spans="1:19" x14ac:dyDescent="0.3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 t="str">
        <f t="shared" si="75"/>
        <v>31-60 days</v>
      </c>
      <c r="L4816">
        <v>31</v>
      </c>
      <c r="M4816">
        <v>3</v>
      </c>
      <c r="N4816">
        <v>0</v>
      </c>
      <c r="O4816" t="s">
        <v>54</v>
      </c>
      <c r="P4816" t="s">
        <v>55</v>
      </c>
      <c r="Q4816">
        <v>4.9000000000000004</v>
      </c>
      <c r="R4816">
        <v>25</v>
      </c>
      <c r="S4816" t="s">
        <v>27</v>
      </c>
    </row>
    <row r="4817" spans="1:19" x14ac:dyDescent="0.3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 t="str">
        <f t="shared" si="75"/>
        <v>0-7 days</v>
      </c>
      <c r="L4817">
        <v>7</v>
      </c>
      <c r="M4817">
        <v>3</v>
      </c>
      <c r="N4817">
        <v>0</v>
      </c>
      <c r="O4817" t="s">
        <v>25</v>
      </c>
      <c r="P4817" t="s">
        <v>26</v>
      </c>
      <c r="Q4817">
        <v>8.9</v>
      </c>
      <c r="R4817">
        <v>10</v>
      </c>
      <c r="S4817" t="s">
        <v>36</v>
      </c>
    </row>
    <row r="4818" spans="1:19" x14ac:dyDescent="0.3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 t="str">
        <f t="shared" si="75"/>
        <v>15-30 days</v>
      </c>
      <c r="L4818">
        <v>15</v>
      </c>
      <c r="M4818">
        <v>2</v>
      </c>
      <c r="N4818">
        <v>0</v>
      </c>
      <c r="O4818" t="s">
        <v>25</v>
      </c>
      <c r="P4818" t="s">
        <v>35</v>
      </c>
      <c r="Q4818">
        <v>18.8</v>
      </c>
      <c r="R4818">
        <v>27</v>
      </c>
      <c r="S4818" t="s">
        <v>27</v>
      </c>
    </row>
    <row r="4819" spans="1:19" x14ac:dyDescent="0.3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 t="str">
        <f t="shared" si="75"/>
        <v>31-60 days</v>
      </c>
      <c r="L4819">
        <v>41</v>
      </c>
      <c r="M4819">
        <v>4</v>
      </c>
      <c r="N4819">
        <v>2</v>
      </c>
      <c r="O4819" t="s">
        <v>25</v>
      </c>
      <c r="P4819" t="s">
        <v>26</v>
      </c>
      <c r="Q4819">
        <v>5.5</v>
      </c>
      <c r="R4819">
        <v>15</v>
      </c>
      <c r="S4819" t="s">
        <v>27</v>
      </c>
    </row>
    <row r="4820" spans="1:19" x14ac:dyDescent="0.3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 t="str">
        <f t="shared" si="75"/>
        <v>15-30 days</v>
      </c>
      <c r="L4820">
        <v>27</v>
      </c>
      <c r="M4820">
        <v>4</v>
      </c>
      <c r="N4820">
        <v>2</v>
      </c>
      <c r="O4820" t="s">
        <v>54</v>
      </c>
      <c r="P4820" t="s">
        <v>55</v>
      </c>
      <c r="Q4820">
        <v>4.5999999999999996</v>
      </c>
      <c r="R4820">
        <v>18</v>
      </c>
      <c r="S4820" t="s">
        <v>27</v>
      </c>
    </row>
    <row r="4821" spans="1:19" x14ac:dyDescent="0.3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 t="str">
        <f t="shared" si="75"/>
        <v>8-14 days</v>
      </c>
      <c r="L4821">
        <v>13</v>
      </c>
      <c r="M4821">
        <v>0</v>
      </c>
      <c r="N4821">
        <v>0</v>
      </c>
      <c r="O4821" t="s">
        <v>54</v>
      </c>
      <c r="P4821" t="s">
        <v>55</v>
      </c>
      <c r="Q4821">
        <v>5.9</v>
      </c>
      <c r="R4821">
        <v>34</v>
      </c>
      <c r="S4821" t="s">
        <v>36</v>
      </c>
    </row>
    <row r="4822" spans="1:19" x14ac:dyDescent="0.3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 t="str">
        <f t="shared" si="75"/>
        <v>31-60 days</v>
      </c>
      <c r="L4822">
        <v>48</v>
      </c>
      <c r="M4822">
        <v>2</v>
      </c>
      <c r="N4822">
        <v>0</v>
      </c>
      <c r="O4822" t="s">
        <v>25</v>
      </c>
      <c r="P4822" t="s">
        <v>50</v>
      </c>
      <c r="Q4822">
        <v>8</v>
      </c>
      <c r="R4822">
        <v>21</v>
      </c>
      <c r="S4822" t="s">
        <v>27</v>
      </c>
    </row>
    <row r="4823" spans="1:19" x14ac:dyDescent="0.3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 t="str">
        <f t="shared" si="75"/>
        <v>0-7 days</v>
      </c>
      <c r="L4823">
        <v>7</v>
      </c>
      <c r="M4823">
        <v>2</v>
      </c>
      <c r="N4823">
        <v>0</v>
      </c>
      <c r="O4823" t="s">
        <v>25</v>
      </c>
      <c r="P4823" t="s">
        <v>35</v>
      </c>
      <c r="Q4823">
        <v>4.8</v>
      </c>
      <c r="R4823">
        <v>17</v>
      </c>
      <c r="S4823" t="s">
        <v>36</v>
      </c>
    </row>
    <row r="4824" spans="1:19" x14ac:dyDescent="0.3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 t="str">
        <f t="shared" si="75"/>
        <v>8-14 days</v>
      </c>
      <c r="L4824">
        <v>13</v>
      </c>
      <c r="M4824">
        <v>4</v>
      </c>
      <c r="N4824">
        <v>1</v>
      </c>
      <c r="O4824" t="s">
        <v>25</v>
      </c>
      <c r="P4824" t="s">
        <v>35</v>
      </c>
      <c r="Q4824">
        <v>6</v>
      </c>
      <c r="R4824">
        <v>13</v>
      </c>
      <c r="S4824" t="s">
        <v>36</v>
      </c>
    </row>
    <row r="4825" spans="1:19" x14ac:dyDescent="0.3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 t="str">
        <f t="shared" si="75"/>
        <v>15-30 days</v>
      </c>
      <c r="L4825">
        <v>28</v>
      </c>
      <c r="M4825">
        <v>4</v>
      </c>
      <c r="N4825">
        <v>0</v>
      </c>
      <c r="O4825" t="s">
        <v>54</v>
      </c>
      <c r="P4825" t="s">
        <v>55</v>
      </c>
      <c r="Q4825">
        <v>21</v>
      </c>
      <c r="R4825">
        <v>16</v>
      </c>
      <c r="S4825" t="s">
        <v>27</v>
      </c>
    </row>
    <row r="4826" spans="1:19" x14ac:dyDescent="0.3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 t="str">
        <f t="shared" si="75"/>
        <v>0-7 days</v>
      </c>
      <c r="L4826">
        <v>2</v>
      </c>
      <c r="M4826">
        <v>6</v>
      </c>
      <c r="N4826">
        <v>2</v>
      </c>
      <c r="O4826" t="s">
        <v>54</v>
      </c>
      <c r="P4826" t="s">
        <v>55</v>
      </c>
      <c r="Q4826">
        <v>19.100000000000001</v>
      </c>
      <c r="R4826">
        <v>18</v>
      </c>
      <c r="S4826" t="s">
        <v>36</v>
      </c>
    </row>
    <row r="4827" spans="1:19" x14ac:dyDescent="0.3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 t="str">
        <f t="shared" si="75"/>
        <v>15-30 days</v>
      </c>
      <c r="L4827">
        <v>23</v>
      </c>
      <c r="M4827">
        <v>4</v>
      </c>
      <c r="N4827">
        <v>1</v>
      </c>
      <c r="O4827" t="s">
        <v>25</v>
      </c>
      <c r="P4827" t="s">
        <v>35</v>
      </c>
      <c r="Q4827">
        <v>1.4</v>
      </c>
      <c r="R4827">
        <v>33</v>
      </c>
      <c r="S4827" t="s">
        <v>36</v>
      </c>
    </row>
    <row r="4828" spans="1:19" x14ac:dyDescent="0.3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 t="str">
        <f t="shared" si="75"/>
        <v>31-60 days</v>
      </c>
      <c r="L4828">
        <v>55</v>
      </c>
      <c r="M4828">
        <v>4</v>
      </c>
      <c r="N4828">
        <v>2</v>
      </c>
      <c r="O4828" t="s">
        <v>25</v>
      </c>
      <c r="P4828" t="s">
        <v>26</v>
      </c>
      <c r="Q4828">
        <v>2.4</v>
      </c>
      <c r="R4828">
        <v>24</v>
      </c>
      <c r="S4828" t="s">
        <v>36</v>
      </c>
    </row>
    <row r="4829" spans="1:19" x14ac:dyDescent="0.3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 t="str">
        <f t="shared" si="75"/>
        <v>31-60 days</v>
      </c>
      <c r="L4829">
        <v>57</v>
      </c>
      <c r="M4829">
        <v>2</v>
      </c>
      <c r="N4829">
        <v>1</v>
      </c>
      <c r="O4829" t="s">
        <v>25</v>
      </c>
      <c r="P4829" t="s">
        <v>35</v>
      </c>
      <c r="Q4829">
        <v>14.8</v>
      </c>
      <c r="R4829">
        <v>37</v>
      </c>
      <c r="S4829" t="s">
        <v>36</v>
      </c>
    </row>
    <row r="4830" spans="1:19" x14ac:dyDescent="0.3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 t="str">
        <f t="shared" si="75"/>
        <v>31-60 days</v>
      </c>
      <c r="L4830">
        <v>53</v>
      </c>
      <c r="M4830">
        <v>2</v>
      </c>
      <c r="N4830">
        <v>0</v>
      </c>
      <c r="O4830" t="s">
        <v>54</v>
      </c>
      <c r="P4830" t="s">
        <v>55</v>
      </c>
      <c r="Q4830">
        <v>5.7</v>
      </c>
      <c r="R4830">
        <v>11</v>
      </c>
      <c r="S4830" t="s">
        <v>36</v>
      </c>
    </row>
    <row r="4831" spans="1:19" x14ac:dyDescent="0.3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 t="str">
        <f t="shared" si="75"/>
        <v>15-30 days</v>
      </c>
      <c r="L4831">
        <v>19</v>
      </c>
      <c r="M4831">
        <v>3</v>
      </c>
      <c r="N4831">
        <v>0</v>
      </c>
      <c r="O4831" t="s">
        <v>25</v>
      </c>
      <c r="P4831" t="s">
        <v>26</v>
      </c>
      <c r="Q4831">
        <v>4.5</v>
      </c>
      <c r="R4831">
        <v>38</v>
      </c>
      <c r="S4831" t="s">
        <v>36</v>
      </c>
    </row>
    <row r="4832" spans="1:19" x14ac:dyDescent="0.3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 t="str">
        <f t="shared" si="75"/>
        <v>0-7 days</v>
      </c>
      <c r="L4832">
        <v>3</v>
      </c>
      <c r="M4832">
        <v>3</v>
      </c>
      <c r="N4832">
        <v>1</v>
      </c>
      <c r="O4832" t="s">
        <v>25</v>
      </c>
      <c r="P4832" t="s">
        <v>50</v>
      </c>
      <c r="Q4832">
        <v>11.5</v>
      </c>
      <c r="R4832">
        <v>22</v>
      </c>
      <c r="S4832" t="s">
        <v>36</v>
      </c>
    </row>
    <row r="4833" spans="1:19" x14ac:dyDescent="0.3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 t="str">
        <f t="shared" si="75"/>
        <v>31-60 days</v>
      </c>
      <c r="L4833">
        <v>49</v>
      </c>
      <c r="M4833">
        <v>2</v>
      </c>
      <c r="N4833">
        <v>0</v>
      </c>
      <c r="O4833" t="s">
        <v>54</v>
      </c>
      <c r="P4833" t="s">
        <v>55</v>
      </c>
      <c r="Q4833">
        <v>13.6</v>
      </c>
      <c r="R4833">
        <v>22</v>
      </c>
      <c r="S4833" t="s">
        <v>27</v>
      </c>
    </row>
    <row r="4834" spans="1:19" x14ac:dyDescent="0.3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 t="str">
        <f t="shared" si="75"/>
        <v>15-30 days</v>
      </c>
      <c r="L4834">
        <v>22</v>
      </c>
      <c r="M4834">
        <v>7</v>
      </c>
      <c r="N4834">
        <v>2</v>
      </c>
      <c r="O4834" t="s">
        <v>25</v>
      </c>
      <c r="P4834" t="s">
        <v>26</v>
      </c>
      <c r="Q4834">
        <v>14.7</v>
      </c>
      <c r="R4834">
        <v>21</v>
      </c>
      <c r="S4834" t="s">
        <v>27</v>
      </c>
    </row>
    <row r="4835" spans="1:19" x14ac:dyDescent="0.3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 t="str">
        <f t="shared" si="75"/>
        <v>31-60 days</v>
      </c>
      <c r="L4835">
        <v>45</v>
      </c>
      <c r="M4835">
        <v>1</v>
      </c>
      <c r="N4835">
        <v>0</v>
      </c>
      <c r="O4835" t="s">
        <v>25</v>
      </c>
      <c r="P4835" t="s">
        <v>50</v>
      </c>
      <c r="Q4835">
        <v>14</v>
      </c>
      <c r="R4835">
        <v>49</v>
      </c>
      <c r="S4835" t="s">
        <v>36</v>
      </c>
    </row>
    <row r="4836" spans="1:19" x14ac:dyDescent="0.3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 t="str">
        <f t="shared" si="75"/>
        <v>0-7 days</v>
      </c>
      <c r="L4836">
        <v>7</v>
      </c>
      <c r="M4836">
        <v>2</v>
      </c>
      <c r="N4836">
        <v>0</v>
      </c>
      <c r="O4836" t="s">
        <v>25</v>
      </c>
      <c r="P4836" t="s">
        <v>50</v>
      </c>
      <c r="Q4836">
        <v>12</v>
      </c>
      <c r="R4836">
        <v>19</v>
      </c>
      <c r="S4836" t="s">
        <v>36</v>
      </c>
    </row>
    <row r="4837" spans="1:19" x14ac:dyDescent="0.3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 t="str">
        <f t="shared" si="75"/>
        <v>31-60 days</v>
      </c>
      <c r="L4837">
        <v>40</v>
      </c>
      <c r="M4837">
        <v>1</v>
      </c>
      <c r="N4837">
        <v>0</v>
      </c>
      <c r="O4837" t="s">
        <v>54</v>
      </c>
      <c r="P4837" t="s">
        <v>55</v>
      </c>
      <c r="Q4837">
        <v>7.6</v>
      </c>
      <c r="R4837">
        <v>47</v>
      </c>
      <c r="S4837" t="s">
        <v>71</v>
      </c>
    </row>
    <row r="4838" spans="1:19" x14ac:dyDescent="0.3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 t="str">
        <f t="shared" si="75"/>
        <v>31-60 days</v>
      </c>
      <c r="L4838">
        <v>35</v>
      </c>
      <c r="M4838">
        <v>2</v>
      </c>
      <c r="N4838">
        <v>0</v>
      </c>
      <c r="O4838" t="s">
        <v>25</v>
      </c>
      <c r="P4838" t="s">
        <v>50</v>
      </c>
      <c r="Q4838">
        <v>16.3</v>
      </c>
      <c r="R4838">
        <v>33</v>
      </c>
      <c r="S4838" t="s">
        <v>36</v>
      </c>
    </row>
    <row r="4839" spans="1:19" x14ac:dyDescent="0.3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 t="str">
        <f t="shared" si="75"/>
        <v>31-60 days</v>
      </c>
      <c r="L4839">
        <v>56</v>
      </c>
      <c r="M4839">
        <v>1</v>
      </c>
      <c r="N4839">
        <v>0</v>
      </c>
      <c r="O4839" t="s">
        <v>25</v>
      </c>
      <c r="P4839" t="s">
        <v>26</v>
      </c>
      <c r="Q4839">
        <v>15.6</v>
      </c>
      <c r="R4839">
        <v>12</v>
      </c>
      <c r="S4839" t="s">
        <v>27</v>
      </c>
    </row>
    <row r="4840" spans="1:19" x14ac:dyDescent="0.3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 t="str">
        <f t="shared" si="75"/>
        <v>0-7 days</v>
      </c>
      <c r="L4840">
        <v>6</v>
      </c>
      <c r="M4840">
        <v>6</v>
      </c>
      <c r="N4840">
        <v>0</v>
      </c>
      <c r="O4840" t="s">
        <v>54</v>
      </c>
      <c r="P4840" t="s">
        <v>55</v>
      </c>
      <c r="R4840">
        <v>13</v>
      </c>
      <c r="S4840" t="s">
        <v>36</v>
      </c>
    </row>
    <row r="4841" spans="1:19" x14ac:dyDescent="0.3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 t="str">
        <f t="shared" si="75"/>
        <v>15-30 days</v>
      </c>
      <c r="L4841">
        <v>24</v>
      </c>
      <c r="M4841">
        <v>3</v>
      </c>
      <c r="N4841">
        <v>0</v>
      </c>
      <c r="O4841" t="s">
        <v>54</v>
      </c>
      <c r="P4841" t="s">
        <v>55</v>
      </c>
      <c r="Q4841">
        <v>4.7</v>
      </c>
      <c r="R4841">
        <v>26</v>
      </c>
      <c r="S4841" t="s">
        <v>27</v>
      </c>
    </row>
    <row r="4842" spans="1:19" x14ac:dyDescent="0.3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 t="str">
        <f t="shared" si="75"/>
        <v>31-60 days</v>
      </c>
      <c r="L4842">
        <v>60</v>
      </c>
      <c r="M4842">
        <v>2</v>
      </c>
      <c r="N4842">
        <v>0</v>
      </c>
      <c r="O4842" t="s">
        <v>25</v>
      </c>
      <c r="P4842" t="s">
        <v>35</v>
      </c>
      <c r="Q4842">
        <v>4.5</v>
      </c>
      <c r="R4842">
        <v>25</v>
      </c>
      <c r="S4842" t="s">
        <v>27</v>
      </c>
    </row>
    <row r="4843" spans="1:19" x14ac:dyDescent="0.3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 t="str">
        <f t="shared" si="75"/>
        <v>15-30 days</v>
      </c>
      <c r="L4843">
        <v>23</v>
      </c>
      <c r="M4843">
        <v>6</v>
      </c>
      <c r="N4843">
        <v>0</v>
      </c>
      <c r="O4843" t="s">
        <v>25</v>
      </c>
      <c r="P4843" t="s">
        <v>35</v>
      </c>
      <c r="Q4843">
        <v>37</v>
      </c>
      <c r="R4843">
        <v>20</v>
      </c>
      <c r="S4843" t="s">
        <v>27</v>
      </c>
    </row>
    <row r="4844" spans="1:19" x14ac:dyDescent="0.3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 t="str">
        <f t="shared" si="75"/>
        <v>31-60 days</v>
      </c>
      <c r="L4844">
        <v>40</v>
      </c>
      <c r="M4844">
        <v>3</v>
      </c>
      <c r="N4844">
        <v>1</v>
      </c>
      <c r="O4844" t="s">
        <v>25</v>
      </c>
      <c r="P4844" t="s">
        <v>35</v>
      </c>
      <c r="Q4844">
        <v>17.7</v>
      </c>
      <c r="R4844">
        <v>18</v>
      </c>
      <c r="S4844" t="s">
        <v>36</v>
      </c>
    </row>
    <row r="4845" spans="1:19" x14ac:dyDescent="0.3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 t="str">
        <f t="shared" si="75"/>
        <v>8-14 days</v>
      </c>
      <c r="L4845">
        <v>9</v>
      </c>
      <c r="M4845">
        <v>5</v>
      </c>
      <c r="N4845">
        <v>0</v>
      </c>
      <c r="O4845" t="s">
        <v>25</v>
      </c>
      <c r="P4845" t="s">
        <v>26</v>
      </c>
      <c r="Q4845">
        <v>5.8</v>
      </c>
      <c r="R4845">
        <v>41</v>
      </c>
      <c r="S4845" t="s">
        <v>36</v>
      </c>
    </row>
    <row r="4846" spans="1:19" x14ac:dyDescent="0.3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 t="str">
        <f t="shared" si="75"/>
        <v>31-60 days</v>
      </c>
      <c r="L4846">
        <v>44</v>
      </c>
      <c r="M4846">
        <v>3</v>
      </c>
      <c r="N4846">
        <v>1</v>
      </c>
      <c r="O4846" t="s">
        <v>25</v>
      </c>
      <c r="P4846" t="s">
        <v>26</v>
      </c>
      <c r="Q4846">
        <v>7.5</v>
      </c>
      <c r="R4846">
        <v>26</v>
      </c>
      <c r="S4846" t="s">
        <v>27</v>
      </c>
    </row>
    <row r="4847" spans="1:19" x14ac:dyDescent="0.3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 t="str">
        <f t="shared" si="75"/>
        <v>15-30 days</v>
      </c>
      <c r="L4847">
        <v>16</v>
      </c>
      <c r="M4847">
        <v>5</v>
      </c>
      <c r="N4847">
        <v>0</v>
      </c>
      <c r="O4847" t="s">
        <v>25</v>
      </c>
      <c r="P4847" t="s">
        <v>35</v>
      </c>
      <c r="Q4847">
        <v>13.7</v>
      </c>
      <c r="R4847">
        <v>29</v>
      </c>
      <c r="S4847" t="s">
        <v>36</v>
      </c>
    </row>
    <row r="4848" spans="1:19" x14ac:dyDescent="0.3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 t="str">
        <f t="shared" si="75"/>
        <v>31-60 days</v>
      </c>
      <c r="L4848">
        <v>34</v>
      </c>
      <c r="M4848">
        <v>4</v>
      </c>
      <c r="N4848">
        <v>1</v>
      </c>
      <c r="O4848" t="s">
        <v>25</v>
      </c>
      <c r="P4848" t="s">
        <v>35</v>
      </c>
      <c r="Q4848">
        <v>14.9</v>
      </c>
      <c r="R4848">
        <v>25</v>
      </c>
      <c r="S4848" t="s">
        <v>27</v>
      </c>
    </row>
    <row r="4849" spans="1:19" x14ac:dyDescent="0.3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 t="str">
        <f t="shared" si="75"/>
        <v>31-60 days</v>
      </c>
      <c r="L4849">
        <v>53</v>
      </c>
      <c r="M4849">
        <v>2</v>
      </c>
      <c r="N4849">
        <v>0</v>
      </c>
      <c r="O4849" t="s">
        <v>54</v>
      </c>
      <c r="P4849" t="s">
        <v>55</v>
      </c>
      <c r="Q4849">
        <v>2</v>
      </c>
      <c r="R4849">
        <v>24</v>
      </c>
      <c r="S4849" t="s">
        <v>36</v>
      </c>
    </row>
    <row r="4850" spans="1:19" x14ac:dyDescent="0.3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 t="str">
        <f t="shared" si="75"/>
        <v>31-60 days</v>
      </c>
      <c r="L4850">
        <v>40</v>
      </c>
      <c r="M4850">
        <v>1</v>
      </c>
      <c r="N4850">
        <v>0</v>
      </c>
      <c r="O4850" t="s">
        <v>54</v>
      </c>
      <c r="P4850" t="s">
        <v>55</v>
      </c>
      <c r="Q4850">
        <v>11.2</v>
      </c>
      <c r="R4850">
        <v>48</v>
      </c>
      <c r="S4850" t="s">
        <v>36</v>
      </c>
    </row>
    <row r="4851" spans="1:19" x14ac:dyDescent="0.3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 t="str">
        <f t="shared" si="75"/>
        <v>15-30 days</v>
      </c>
      <c r="L4851">
        <v>28</v>
      </c>
      <c r="M4851">
        <v>6</v>
      </c>
      <c r="N4851">
        <v>1</v>
      </c>
      <c r="O4851" t="s">
        <v>25</v>
      </c>
      <c r="P4851" t="s">
        <v>35</v>
      </c>
      <c r="Q4851">
        <v>15.6</v>
      </c>
      <c r="R4851">
        <v>30</v>
      </c>
      <c r="S4851" t="s">
        <v>27</v>
      </c>
    </row>
    <row r="4852" spans="1:19" x14ac:dyDescent="0.3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 t="str">
        <f t="shared" si="75"/>
        <v>8-14 days</v>
      </c>
      <c r="L4852">
        <v>11</v>
      </c>
      <c r="M4852">
        <v>2</v>
      </c>
      <c r="N4852">
        <v>0</v>
      </c>
      <c r="O4852" t="s">
        <v>54</v>
      </c>
      <c r="P4852" t="s">
        <v>55</v>
      </c>
      <c r="Q4852">
        <v>6</v>
      </c>
      <c r="R4852">
        <v>53</v>
      </c>
      <c r="S4852" t="s">
        <v>27</v>
      </c>
    </row>
    <row r="4853" spans="1:19" x14ac:dyDescent="0.3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 t="str">
        <f t="shared" si="75"/>
        <v>15-30 days</v>
      </c>
      <c r="L4853">
        <v>20</v>
      </c>
      <c r="M4853">
        <v>3</v>
      </c>
      <c r="N4853">
        <v>1</v>
      </c>
      <c r="O4853" t="s">
        <v>25</v>
      </c>
      <c r="P4853" t="s">
        <v>35</v>
      </c>
      <c r="Q4853">
        <v>2</v>
      </c>
      <c r="R4853">
        <v>33</v>
      </c>
      <c r="S4853" t="s">
        <v>27</v>
      </c>
    </row>
    <row r="4854" spans="1:19" x14ac:dyDescent="0.3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 t="str">
        <f t="shared" si="75"/>
        <v>31-60 days</v>
      </c>
      <c r="L4854">
        <v>51</v>
      </c>
      <c r="M4854">
        <v>5</v>
      </c>
      <c r="N4854">
        <v>1</v>
      </c>
      <c r="O4854" t="s">
        <v>25</v>
      </c>
      <c r="P4854" t="s">
        <v>26</v>
      </c>
      <c r="Q4854">
        <v>14.3</v>
      </c>
      <c r="R4854">
        <v>17</v>
      </c>
      <c r="S4854" t="s">
        <v>71</v>
      </c>
    </row>
    <row r="4855" spans="1:19" x14ac:dyDescent="0.3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 t="str">
        <f t="shared" si="75"/>
        <v>8-14 days</v>
      </c>
      <c r="L4855">
        <v>13</v>
      </c>
      <c r="M4855">
        <v>2</v>
      </c>
      <c r="N4855">
        <v>0</v>
      </c>
      <c r="O4855" t="s">
        <v>25</v>
      </c>
      <c r="P4855" t="s">
        <v>35</v>
      </c>
      <c r="Q4855">
        <v>3.1</v>
      </c>
      <c r="R4855">
        <v>38</v>
      </c>
      <c r="S4855" t="s">
        <v>36</v>
      </c>
    </row>
    <row r="4856" spans="1:19" x14ac:dyDescent="0.3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 t="str">
        <f t="shared" si="75"/>
        <v>31-60 days</v>
      </c>
      <c r="L4856">
        <v>40</v>
      </c>
      <c r="M4856">
        <v>1</v>
      </c>
      <c r="N4856">
        <v>0</v>
      </c>
      <c r="O4856" t="s">
        <v>25</v>
      </c>
      <c r="P4856" t="s">
        <v>26</v>
      </c>
      <c r="Q4856">
        <v>19.8</v>
      </c>
      <c r="R4856">
        <v>23</v>
      </c>
      <c r="S4856" t="s">
        <v>27</v>
      </c>
    </row>
    <row r="4857" spans="1:19" x14ac:dyDescent="0.3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 t="str">
        <f t="shared" si="75"/>
        <v>15-30 days</v>
      </c>
      <c r="L4857">
        <v>29</v>
      </c>
      <c r="M4857">
        <v>4</v>
      </c>
      <c r="N4857">
        <v>1</v>
      </c>
      <c r="O4857" t="s">
        <v>54</v>
      </c>
      <c r="P4857" t="s">
        <v>55</v>
      </c>
      <c r="Q4857">
        <v>4.2</v>
      </c>
      <c r="R4857">
        <v>41</v>
      </c>
      <c r="S4857" t="s">
        <v>36</v>
      </c>
    </row>
    <row r="4858" spans="1:19" x14ac:dyDescent="0.3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 t="str">
        <f t="shared" si="75"/>
        <v>15-30 days</v>
      </c>
      <c r="L4858">
        <v>19</v>
      </c>
      <c r="M4858">
        <v>4</v>
      </c>
      <c r="N4858">
        <v>1</v>
      </c>
      <c r="O4858" t="s">
        <v>25</v>
      </c>
      <c r="P4858" t="s">
        <v>26</v>
      </c>
      <c r="Q4858">
        <v>10.5</v>
      </c>
      <c r="R4858">
        <v>17</v>
      </c>
      <c r="S4858" t="s">
        <v>27</v>
      </c>
    </row>
    <row r="4859" spans="1:19" x14ac:dyDescent="0.3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 t="str">
        <f t="shared" si="75"/>
        <v>31-60 days</v>
      </c>
      <c r="L4859">
        <v>43</v>
      </c>
      <c r="M4859">
        <v>4</v>
      </c>
      <c r="N4859">
        <v>2</v>
      </c>
      <c r="O4859" t="s">
        <v>54</v>
      </c>
      <c r="P4859" t="s">
        <v>55</v>
      </c>
      <c r="Q4859">
        <v>2.2000000000000002</v>
      </c>
      <c r="R4859">
        <v>7</v>
      </c>
      <c r="S4859" t="s">
        <v>27</v>
      </c>
    </row>
    <row r="4860" spans="1:19" x14ac:dyDescent="0.3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 t="str">
        <f t="shared" si="75"/>
        <v>15-30 days</v>
      </c>
      <c r="L4860">
        <v>22</v>
      </c>
      <c r="M4860">
        <v>0</v>
      </c>
      <c r="N4860">
        <v>0</v>
      </c>
      <c r="O4860" t="s">
        <v>25</v>
      </c>
      <c r="P4860" t="s">
        <v>26</v>
      </c>
      <c r="Q4860">
        <v>10.199999999999999</v>
      </c>
      <c r="R4860">
        <v>25</v>
      </c>
      <c r="S4860" t="s">
        <v>36</v>
      </c>
    </row>
    <row r="4861" spans="1:19" x14ac:dyDescent="0.3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 t="str">
        <f t="shared" si="75"/>
        <v>15-30 days</v>
      </c>
      <c r="L4861">
        <v>17</v>
      </c>
      <c r="M4861">
        <v>5</v>
      </c>
      <c r="N4861">
        <v>0</v>
      </c>
      <c r="O4861" t="s">
        <v>25</v>
      </c>
      <c r="P4861" t="s">
        <v>26</v>
      </c>
      <c r="Q4861">
        <v>8.9</v>
      </c>
      <c r="R4861">
        <v>40</v>
      </c>
      <c r="S4861" t="s">
        <v>36</v>
      </c>
    </row>
    <row r="4862" spans="1:19" x14ac:dyDescent="0.3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 t="str">
        <f t="shared" si="75"/>
        <v>31-60 days</v>
      </c>
      <c r="L4862">
        <v>32</v>
      </c>
      <c r="M4862">
        <v>3</v>
      </c>
      <c r="N4862">
        <v>0</v>
      </c>
      <c r="O4862" t="s">
        <v>25</v>
      </c>
      <c r="P4862" t="s">
        <v>35</v>
      </c>
      <c r="Q4862">
        <v>7.4</v>
      </c>
      <c r="R4862">
        <v>17</v>
      </c>
      <c r="S4862" t="s">
        <v>27</v>
      </c>
    </row>
    <row r="4863" spans="1:19" x14ac:dyDescent="0.3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 t="str">
        <f t="shared" si="75"/>
        <v>31-60 days</v>
      </c>
      <c r="L4863">
        <v>46</v>
      </c>
      <c r="M4863">
        <v>4</v>
      </c>
      <c r="N4863">
        <v>1</v>
      </c>
      <c r="O4863" t="s">
        <v>25</v>
      </c>
      <c r="P4863" t="s">
        <v>35</v>
      </c>
      <c r="Q4863">
        <v>6</v>
      </c>
      <c r="R4863">
        <v>30</v>
      </c>
      <c r="S4863" t="s">
        <v>36</v>
      </c>
    </row>
    <row r="4864" spans="1:19" x14ac:dyDescent="0.3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 t="str">
        <f t="shared" si="75"/>
        <v>31-60 days</v>
      </c>
      <c r="L4864">
        <v>52</v>
      </c>
      <c r="M4864">
        <v>4</v>
      </c>
      <c r="N4864">
        <v>0</v>
      </c>
      <c r="O4864" t="s">
        <v>25</v>
      </c>
      <c r="P4864" t="s">
        <v>26</v>
      </c>
      <c r="Q4864">
        <v>7.6</v>
      </c>
      <c r="R4864">
        <v>17</v>
      </c>
      <c r="S4864" t="s">
        <v>71</v>
      </c>
    </row>
    <row r="4865" spans="1:19" x14ac:dyDescent="0.3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 t="str">
        <f t="shared" si="75"/>
        <v>31-60 days</v>
      </c>
      <c r="L4865">
        <v>38</v>
      </c>
      <c r="M4865">
        <v>7</v>
      </c>
      <c r="N4865">
        <v>1</v>
      </c>
      <c r="O4865" t="s">
        <v>25</v>
      </c>
      <c r="P4865" t="s">
        <v>26</v>
      </c>
      <c r="Q4865">
        <v>6.2</v>
      </c>
      <c r="R4865">
        <v>34</v>
      </c>
      <c r="S4865" t="s">
        <v>27</v>
      </c>
    </row>
    <row r="4866" spans="1:19" x14ac:dyDescent="0.3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 t="str">
        <f t="shared" si="75"/>
        <v>31-60 days</v>
      </c>
      <c r="L4866">
        <v>40</v>
      </c>
      <c r="M4866">
        <v>2</v>
      </c>
      <c r="N4866">
        <v>2</v>
      </c>
      <c r="O4866" t="s">
        <v>25</v>
      </c>
      <c r="P4866" t="s">
        <v>35</v>
      </c>
      <c r="Q4866">
        <v>13.6</v>
      </c>
      <c r="R4866">
        <v>20</v>
      </c>
      <c r="S4866" t="s">
        <v>27</v>
      </c>
    </row>
    <row r="4867" spans="1:19" x14ac:dyDescent="0.3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 t="str">
        <f t="shared" ref="K4867:K4930" si="76">IF(L4867&lt;=7,"0-7 days",IF(L4867&lt;=14,"8-14 days",IF(L4867&lt;=30,"15-30 days","31-60 days")))</f>
        <v>31-60 days</v>
      </c>
      <c r="L4867">
        <v>48</v>
      </c>
      <c r="M4867">
        <v>3</v>
      </c>
      <c r="N4867">
        <v>0</v>
      </c>
      <c r="O4867" t="s">
        <v>25</v>
      </c>
      <c r="P4867" t="s">
        <v>35</v>
      </c>
      <c r="Q4867">
        <v>10.6</v>
      </c>
      <c r="R4867">
        <v>27</v>
      </c>
      <c r="S4867" t="s">
        <v>27</v>
      </c>
    </row>
    <row r="4868" spans="1:19" x14ac:dyDescent="0.3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 t="str">
        <f t="shared" si="76"/>
        <v>15-30 days</v>
      </c>
      <c r="L4868">
        <v>16</v>
      </c>
      <c r="M4868">
        <v>1</v>
      </c>
      <c r="N4868">
        <v>0</v>
      </c>
      <c r="O4868" t="s">
        <v>25</v>
      </c>
      <c r="P4868" t="s">
        <v>35</v>
      </c>
      <c r="Q4868">
        <v>9.9</v>
      </c>
      <c r="R4868">
        <v>20</v>
      </c>
      <c r="S4868" t="s">
        <v>36</v>
      </c>
    </row>
    <row r="4869" spans="1:19" x14ac:dyDescent="0.3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 t="str">
        <f t="shared" si="76"/>
        <v>15-30 days</v>
      </c>
      <c r="L4869">
        <v>15</v>
      </c>
      <c r="M4869">
        <v>2</v>
      </c>
      <c r="N4869">
        <v>0</v>
      </c>
      <c r="O4869" t="s">
        <v>54</v>
      </c>
      <c r="P4869" t="s">
        <v>55</v>
      </c>
      <c r="Q4869">
        <v>10.3</v>
      </c>
      <c r="R4869">
        <v>16</v>
      </c>
      <c r="S4869" t="s">
        <v>27</v>
      </c>
    </row>
    <row r="4870" spans="1:19" x14ac:dyDescent="0.3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 t="str">
        <f t="shared" si="76"/>
        <v>15-30 days</v>
      </c>
      <c r="L4870">
        <v>29</v>
      </c>
      <c r="M4870">
        <v>3</v>
      </c>
      <c r="N4870">
        <v>0</v>
      </c>
      <c r="O4870" t="s">
        <v>25</v>
      </c>
      <c r="P4870" t="s">
        <v>35</v>
      </c>
      <c r="Q4870">
        <v>6.7</v>
      </c>
      <c r="R4870">
        <v>3</v>
      </c>
      <c r="S4870" t="s">
        <v>36</v>
      </c>
    </row>
    <row r="4871" spans="1:19" x14ac:dyDescent="0.3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 t="str">
        <f t="shared" si="76"/>
        <v>31-60 days</v>
      </c>
      <c r="L4871">
        <v>38</v>
      </c>
      <c r="M4871">
        <v>3</v>
      </c>
      <c r="N4871">
        <v>0</v>
      </c>
      <c r="O4871" t="s">
        <v>25</v>
      </c>
      <c r="P4871" t="s">
        <v>26</v>
      </c>
      <c r="Q4871">
        <v>11.7</v>
      </c>
      <c r="R4871">
        <v>10</v>
      </c>
      <c r="S4871" t="s">
        <v>36</v>
      </c>
    </row>
    <row r="4872" spans="1:19" x14ac:dyDescent="0.3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 t="str">
        <f t="shared" si="76"/>
        <v>31-60 days</v>
      </c>
      <c r="L4872">
        <v>39</v>
      </c>
      <c r="M4872">
        <v>5</v>
      </c>
      <c r="N4872">
        <v>0</v>
      </c>
      <c r="O4872" t="s">
        <v>54</v>
      </c>
      <c r="P4872" t="s">
        <v>55</v>
      </c>
      <c r="Q4872">
        <v>15.7</v>
      </c>
      <c r="R4872">
        <v>21</v>
      </c>
      <c r="S4872" t="s">
        <v>27</v>
      </c>
    </row>
    <row r="4873" spans="1:19" x14ac:dyDescent="0.3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 t="str">
        <f t="shared" si="76"/>
        <v>8-14 days</v>
      </c>
      <c r="L4873">
        <v>9</v>
      </c>
      <c r="M4873">
        <v>3</v>
      </c>
      <c r="N4873">
        <v>0</v>
      </c>
      <c r="O4873" t="s">
        <v>25</v>
      </c>
      <c r="P4873" t="s">
        <v>35</v>
      </c>
      <c r="Q4873">
        <v>12.7</v>
      </c>
      <c r="R4873">
        <v>29</v>
      </c>
      <c r="S4873" t="s">
        <v>36</v>
      </c>
    </row>
    <row r="4874" spans="1:19" x14ac:dyDescent="0.3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 t="str">
        <f t="shared" si="76"/>
        <v>31-60 days</v>
      </c>
      <c r="L4874">
        <v>47</v>
      </c>
      <c r="M4874">
        <v>8</v>
      </c>
      <c r="N4874">
        <v>1</v>
      </c>
      <c r="O4874" t="s">
        <v>25</v>
      </c>
      <c r="P4874" t="s">
        <v>35</v>
      </c>
      <c r="Q4874">
        <v>15.4</v>
      </c>
      <c r="R4874">
        <v>44</v>
      </c>
      <c r="S4874" t="s">
        <v>27</v>
      </c>
    </row>
    <row r="4875" spans="1:19" x14ac:dyDescent="0.3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 t="str">
        <f t="shared" si="76"/>
        <v>15-30 days</v>
      </c>
      <c r="L4875">
        <v>22</v>
      </c>
      <c r="M4875">
        <v>1</v>
      </c>
      <c r="N4875">
        <v>0</v>
      </c>
      <c r="O4875" t="s">
        <v>25</v>
      </c>
      <c r="P4875" t="s">
        <v>35</v>
      </c>
      <c r="Q4875">
        <v>13.4</v>
      </c>
      <c r="R4875">
        <v>18</v>
      </c>
      <c r="S4875" t="s">
        <v>27</v>
      </c>
    </row>
    <row r="4876" spans="1:19" x14ac:dyDescent="0.3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 t="str">
        <f t="shared" si="76"/>
        <v>31-60 days</v>
      </c>
      <c r="L4876">
        <v>53</v>
      </c>
      <c r="M4876">
        <v>4</v>
      </c>
      <c r="N4876">
        <v>0</v>
      </c>
      <c r="O4876" t="s">
        <v>25</v>
      </c>
      <c r="P4876" t="s">
        <v>26</v>
      </c>
      <c r="Q4876">
        <v>11.4</v>
      </c>
      <c r="R4876">
        <v>17</v>
      </c>
      <c r="S4876" t="s">
        <v>36</v>
      </c>
    </row>
    <row r="4877" spans="1:19" x14ac:dyDescent="0.3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 t="str">
        <f t="shared" si="76"/>
        <v>31-60 days</v>
      </c>
      <c r="L4877">
        <v>44</v>
      </c>
      <c r="M4877">
        <v>3</v>
      </c>
      <c r="N4877">
        <v>2</v>
      </c>
      <c r="O4877" t="s">
        <v>25</v>
      </c>
      <c r="P4877" t="s">
        <v>35</v>
      </c>
      <c r="Q4877">
        <v>3.7</v>
      </c>
      <c r="R4877">
        <v>9</v>
      </c>
      <c r="S4877" t="s">
        <v>27</v>
      </c>
    </row>
    <row r="4878" spans="1:19" x14ac:dyDescent="0.3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 t="str">
        <f t="shared" si="76"/>
        <v>31-60 days</v>
      </c>
      <c r="L4878">
        <v>59</v>
      </c>
      <c r="M4878">
        <v>2</v>
      </c>
      <c r="N4878">
        <v>0</v>
      </c>
      <c r="O4878" t="s">
        <v>25</v>
      </c>
      <c r="P4878" t="s">
        <v>26</v>
      </c>
      <c r="Q4878">
        <v>5.3</v>
      </c>
      <c r="R4878">
        <v>33</v>
      </c>
      <c r="S4878" t="s">
        <v>36</v>
      </c>
    </row>
    <row r="4879" spans="1:19" x14ac:dyDescent="0.3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 t="str">
        <f t="shared" si="76"/>
        <v>31-60 days</v>
      </c>
      <c r="L4879">
        <v>38</v>
      </c>
      <c r="M4879">
        <v>3</v>
      </c>
      <c r="N4879">
        <v>0</v>
      </c>
      <c r="O4879" t="s">
        <v>54</v>
      </c>
      <c r="P4879" t="s">
        <v>55</v>
      </c>
      <c r="Q4879">
        <v>2.2000000000000002</v>
      </c>
      <c r="R4879">
        <v>30</v>
      </c>
      <c r="S4879" t="s">
        <v>27</v>
      </c>
    </row>
    <row r="4880" spans="1:19" x14ac:dyDescent="0.3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 t="str">
        <f t="shared" si="76"/>
        <v>31-60 days</v>
      </c>
      <c r="L4880">
        <v>32</v>
      </c>
      <c r="M4880">
        <v>2</v>
      </c>
      <c r="N4880">
        <v>1</v>
      </c>
      <c r="O4880" t="s">
        <v>25</v>
      </c>
      <c r="P4880" t="s">
        <v>26</v>
      </c>
      <c r="R4880">
        <v>29</v>
      </c>
      <c r="S4880" t="s">
        <v>27</v>
      </c>
    </row>
    <row r="4881" spans="1:19" x14ac:dyDescent="0.3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 t="str">
        <f t="shared" si="76"/>
        <v>8-14 days</v>
      </c>
      <c r="L4881">
        <v>11</v>
      </c>
      <c r="M4881">
        <v>4</v>
      </c>
      <c r="N4881">
        <v>1</v>
      </c>
      <c r="O4881" t="s">
        <v>54</v>
      </c>
      <c r="P4881" t="s">
        <v>55</v>
      </c>
      <c r="Q4881">
        <v>3.7</v>
      </c>
      <c r="R4881">
        <v>28</v>
      </c>
      <c r="S4881" t="s">
        <v>36</v>
      </c>
    </row>
    <row r="4882" spans="1:19" x14ac:dyDescent="0.3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 t="str">
        <f t="shared" si="76"/>
        <v>15-30 days</v>
      </c>
      <c r="L4882">
        <v>24</v>
      </c>
      <c r="M4882">
        <v>6</v>
      </c>
      <c r="N4882">
        <v>1</v>
      </c>
      <c r="O4882" t="s">
        <v>54</v>
      </c>
      <c r="P4882" t="s">
        <v>55</v>
      </c>
      <c r="Q4882">
        <v>4.9000000000000004</v>
      </c>
      <c r="R4882">
        <v>20</v>
      </c>
      <c r="S4882" t="s">
        <v>27</v>
      </c>
    </row>
    <row r="4883" spans="1:19" x14ac:dyDescent="0.3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 t="str">
        <f t="shared" si="76"/>
        <v>31-60 days</v>
      </c>
      <c r="L4883">
        <v>52</v>
      </c>
      <c r="M4883">
        <v>0</v>
      </c>
      <c r="N4883">
        <v>0</v>
      </c>
      <c r="O4883" t="s">
        <v>25</v>
      </c>
      <c r="P4883" t="s">
        <v>26</v>
      </c>
      <c r="R4883">
        <v>39</v>
      </c>
      <c r="S4883" t="s">
        <v>71</v>
      </c>
    </row>
    <row r="4884" spans="1:19" x14ac:dyDescent="0.3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 t="str">
        <f t="shared" si="76"/>
        <v>15-30 days</v>
      </c>
      <c r="L4884">
        <v>23</v>
      </c>
      <c r="M4884">
        <v>2</v>
      </c>
      <c r="N4884">
        <v>1</v>
      </c>
      <c r="O4884" t="s">
        <v>25</v>
      </c>
      <c r="P4884" t="s">
        <v>35</v>
      </c>
      <c r="Q4884">
        <v>7</v>
      </c>
      <c r="R4884">
        <v>15</v>
      </c>
      <c r="S4884" t="s">
        <v>27</v>
      </c>
    </row>
    <row r="4885" spans="1:19" x14ac:dyDescent="0.3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 t="str">
        <f t="shared" si="76"/>
        <v>0-7 days</v>
      </c>
      <c r="L4885">
        <v>3</v>
      </c>
      <c r="M4885">
        <v>4</v>
      </c>
      <c r="N4885">
        <v>1</v>
      </c>
      <c r="O4885" t="s">
        <v>54</v>
      </c>
      <c r="P4885" t="s">
        <v>55</v>
      </c>
      <c r="Q4885">
        <v>7.9</v>
      </c>
      <c r="R4885">
        <v>19</v>
      </c>
      <c r="S4885" t="s">
        <v>36</v>
      </c>
    </row>
    <row r="4886" spans="1:19" x14ac:dyDescent="0.3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 t="str">
        <f t="shared" si="76"/>
        <v>8-14 days</v>
      </c>
      <c r="L4886">
        <v>14</v>
      </c>
      <c r="M4886">
        <v>4</v>
      </c>
      <c r="N4886">
        <v>0</v>
      </c>
      <c r="O4886" t="s">
        <v>54</v>
      </c>
      <c r="P4886" t="s">
        <v>55</v>
      </c>
      <c r="Q4886">
        <v>15.9</v>
      </c>
      <c r="R4886">
        <v>13</v>
      </c>
      <c r="S4886" t="s">
        <v>36</v>
      </c>
    </row>
    <row r="4887" spans="1:19" x14ac:dyDescent="0.3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 t="str">
        <f t="shared" si="76"/>
        <v>31-60 days</v>
      </c>
      <c r="L4887">
        <v>36</v>
      </c>
      <c r="M4887">
        <v>5</v>
      </c>
      <c r="N4887">
        <v>1</v>
      </c>
      <c r="O4887" t="s">
        <v>25</v>
      </c>
      <c r="P4887" t="s">
        <v>35</v>
      </c>
      <c r="Q4887">
        <v>11.3</v>
      </c>
      <c r="R4887">
        <v>23</v>
      </c>
      <c r="S4887" t="s">
        <v>27</v>
      </c>
    </row>
    <row r="4888" spans="1:19" x14ac:dyDescent="0.3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 t="str">
        <f t="shared" si="76"/>
        <v>31-60 days</v>
      </c>
      <c r="L4888">
        <v>38</v>
      </c>
      <c r="M4888">
        <v>4</v>
      </c>
      <c r="N4888">
        <v>0</v>
      </c>
      <c r="O4888" t="s">
        <v>25</v>
      </c>
      <c r="P4888" t="s">
        <v>35</v>
      </c>
      <c r="Q4888">
        <v>13</v>
      </c>
      <c r="R4888">
        <v>15</v>
      </c>
      <c r="S4888" t="s">
        <v>36</v>
      </c>
    </row>
    <row r="4889" spans="1:19" x14ac:dyDescent="0.3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 t="str">
        <f t="shared" si="76"/>
        <v>31-60 days</v>
      </c>
      <c r="L4889">
        <v>60</v>
      </c>
      <c r="M4889">
        <v>2</v>
      </c>
      <c r="N4889">
        <v>0</v>
      </c>
      <c r="O4889" t="s">
        <v>25</v>
      </c>
      <c r="P4889" t="s">
        <v>35</v>
      </c>
      <c r="Q4889">
        <v>4.5999999999999996</v>
      </c>
      <c r="R4889">
        <v>17</v>
      </c>
      <c r="S4889" t="s">
        <v>36</v>
      </c>
    </row>
    <row r="4890" spans="1:19" x14ac:dyDescent="0.3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 t="str">
        <f t="shared" si="76"/>
        <v>31-60 days</v>
      </c>
      <c r="L4890">
        <v>56</v>
      </c>
      <c r="M4890">
        <v>6</v>
      </c>
      <c r="N4890">
        <v>0</v>
      </c>
      <c r="O4890" t="s">
        <v>25</v>
      </c>
      <c r="P4890" t="s">
        <v>26</v>
      </c>
      <c r="Q4890">
        <v>13.1</v>
      </c>
      <c r="R4890">
        <v>11</v>
      </c>
      <c r="S4890" t="s">
        <v>27</v>
      </c>
    </row>
    <row r="4891" spans="1:19" x14ac:dyDescent="0.3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 t="str">
        <f t="shared" si="76"/>
        <v>31-60 days</v>
      </c>
      <c r="L4891">
        <v>32</v>
      </c>
      <c r="M4891">
        <v>4</v>
      </c>
      <c r="N4891">
        <v>0</v>
      </c>
      <c r="O4891" t="s">
        <v>54</v>
      </c>
      <c r="P4891" t="s">
        <v>55</v>
      </c>
      <c r="Q4891">
        <v>4.4000000000000004</v>
      </c>
      <c r="R4891">
        <v>13</v>
      </c>
      <c r="S4891" t="s">
        <v>36</v>
      </c>
    </row>
    <row r="4892" spans="1:19" x14ac:dyDescent="0.3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 t="str">
        <f t="shared" si="76"/>
        <v>31-60 days</v>
      </c>
      <c r="L4892">
        <v>33</v>
      </c>
      <c r="M4892">
        <v>5</v>
      </c>
      <c r="N4892">
        <v>2</v>
      </c>
      <c r="O4892" t="s">
        <v>25</v>
      </c>
      <c r="P4892" t="s">
        <v>50</v>
      </c>
      <c r="Q4892">
        <v>7.7</v>
      </c>
      <c r="R4892">
        <v>6</v>
      </c>
      <c r="S4892" t="s">
        <v>27</v>
      </c>
    </row>
    <row r="4893" spans="1:19" x14ac:dyDescent="0.3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 t="str">
        <f t="shared" si="76"/>
        <v>31-60 days</v>
      </c>
      <c r="L4893">
        <v>48</v>
      </c>
      <c r="M4893">
        <v>0</v>
      </c>
      <c r="N4893">
        <v>0</v>
      </c>
      <c r="O4893" t="s">
        <v>25</v>
      </c>
      <c r="P4893" t="s">
        <v>26</v>
      </c>
      <c r="Q4893">
        <v>5.9</v>
      </c>
      <c r="R4893">
        <v>28</v>
      </c>
      <c r="S4893" t="s">
        <v>36</v>
      </c>
    </row>
    <row r="4894" spans="1:19" x14ac:dyDescent="0.3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 t="str">
        <f t="shared" si="76"/>
        <v>0-7 days</v>
      </c>
      <c r="L4894">
        <v>2</v>
      </c>
      <c r="M4894">
        <v>4</v>
      </c>
      <c r="N4894">
        <v>0</v>
      </c>
      <c r="O4894" t="s">
        <v>25</v>
      </c>
      <c r="P4894" t="s">
        <v>26</v>
      </c>
      <c r="Q4894">
        <v>6.1</v>
      </c>
      <c r="R4894">
        <v>15</v>
      </c>
      <c r="S4894" t="s">
        <v>36</v>
      </c>
    </row>
    <row r="4895" spans="1:19" x14ac:dyDescent="0.3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 t="str">
        <f t="shared" si="76"/>
        <v>31-60 days</v>
      </c>
      <c r="L4895">
        <v>36</v>
      </c>
      <c r="M4895">
        <v>4</v>
      </c>
      <c r="N4895">
        <v>0</v>
      </c>
      <c r="O4895" t="s">
        <v>25</v>
      </c>
      <c r="P4895" t="s">
        <v>35</v>
      </c>
      <c r="Q4895">
        <v>31.4</v>
      </c>
      <c r="R4895">
        <v>42</v>
      </c>
      <c r="S4895" t="s">
        <v>27</v>
      </c>
    </row>
    <row r="4896" spans="1:19" x14ac:dyDescent="0.3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 t="str">
        <f t="shared" si="76"/>
        <v>15-30 days</v>
      </c>
      <c r="L4896">
        <v>28</v>
      </c>
      <c r="M4896">
        <v>2</v>
      </c>
      <c r="N4896">
        <v>0</v>
      </c>
      <c r="O4896" t="s">
        <v>54</v>
      </c>
      <c r="P4896" t="s">
        <v>55</v>
      </c>
      <c r="Q4896">
        <v>6.5</v>
      </c>
      <c r="R4896">
        <v>34</v>
      </c>
      <c r="S4896" t="s">
        <v>36</v>
      </c>
    </row>
    <row r="4897" spans="1:19" x14ac:dyDescent="0.3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 t="str">
        <f t="shared" si="76"/>
        <v>31-60 days</v>
      </c>
      <c r="L4897">
        <v>47</v>
      </c>
      <c r="M4897">
        <v>3</v>
      </c>
      <c r="N4897">
        <v>0</v>
      </c>
      <c r="O4897" t="s">
        <v>54</v>
      </c>
      <c r="P4897" t="s">
        <v>55</v>
      </c>
      <c r="Q4897">
        <v>1.8</v>
      </c>
      <c r="R4897">
        <v>25</v>
      </c>
      <c r="S4897" t="s">
        <v>27</v>
      </c>
    </row>
    <row r="4898" spans="1:19" x14ac:dyDescent="0.3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 t="str">
        <f t="shared" si="76"/>
        <v>31-60 days</v>
      </c>
      <c r="L4898">
        <v>48</v>
      </c>
      <c r="M4898">
        <v>2</v>
      </c>
      <c r="N4898">
        <v>1</v>
      </c>
      <c r="O4898" t="s">
        <v>25</v>
      </c>
      <c r="P4898" t="s">
        <v>35</v>
      </c>
      <c r="Q4898">
        <v>15.3</v>
      </c>
      <c r="R4898">
        <v>30</v>
      </c>
      <c r="S4898" t="s">
        <v>27</v>
      </c>
    </row>
    <row r="4899" spans="1:19" x14ac:dyDescent="0.3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 t="str">
        <f t="shared" si="76"/>
        <v>31-60 days</v>
      </c>
      <c r="L4899">
        <v>39</v>
      </c>
      <c r="M4899">
        <v>3</v>
      </c>
      <c r="N4899">
        <v>2</v>
      </c>
      <c r="O4899" t="s">
        <v>54</v>
      </c>
      <c r="P4899" t="s">
        <v>55</v>
      </c>
      <c r="Q4899">
        <v>8.1999999999999993</v>
      </c>
      <c r="R4899">
        <v>33</v>
      </c>
      <c r="S4899" t="s">
        <v>36</v>
      </c>
    </row>
    <row r="4900" spans="1:19" x14ac:dyDescent="0.3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 t="str">
        <f t="shared" si="76"/>
        <v>31-60 days</v>
      </c>
      <c r="L4900">
        <v>40</v>
      </c>
      <c r="M4900">
        <v>1</v>
      </c>
      <c r="N4900">
        <v>0</v>
      </c>
      <c r="O4900" t="s">
        <v>25</v>
      </c>
      <c r="P4900" t="s">
        <v>35</v>
      </c>
      <c r="Q4900">
        <v>12.6</v>
      </c>
      <c r="R4900">
        <v>19</v>
      </c>
      <c r="S4900" t="s">
        <v>36</v>
      </c>
    </row>
    <row r="4901" spans="1:19" x14ac:dyDescent="0.3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 t="str">
        <f t="shared" si="76"/>
        <v>31-60 days</v>
      </c>
      <c r="L4901">
        <v>42</v>
      </c>
      <c r="M4901">
        <v>2</v>
      </c>
      <c r="N4901">
        <v>0</v>
      </c>
      <c r="O4901" t="s">
        <v>25</v>
      </c>
      <c r="P4901" t="s">
        <v>26</v>
      </c>
      <c r="Q4901">
        <v>4.9000000000000004</v>
      </c>
      <c r="R4901">
        <v>22</v>
      </c>
      <c r="S4901" t="s">
        <v>36</v>
      </c>
    </row>
    <row r="4902" spans="1:19" x14ac:dyDescent="0.3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 t="str">
        <f t="shared" si="76"/>
        <v>31-60 days</v>
      </c>
      <c r="L4902">
        <v>35</v>
      </c>
      <c r="M4902">
        <v>2</v>
      </c>
      <c r="N4902">
        <v>1</v>
      </c>
      <c r="O4902" t="s">
        <v>54</v>
      </c>
      <c r="P4902" t="s">
        <v>55</v>
      </c>
      <c r="Q4902">
        <v>7.9</v>
      </c>
      <c r="R4902">
        <v>36</v>
      </c>
      <c r="S4902" t="s">
        <v>27</v>
      </c>
    </row>
    <row r="4903" spans="1:19" x14ac:dyDescent="0.3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 t="str">
        <f t="shared" si="76"/>
        <v>8-14 days</v>
      </c>
      <c r="L4903">
        <v>13</v>
      </c>
      <c r="M4903">
        <v>3</v>
      </c>
      <c r="N4903">
        <v>0</v>
      </c>
      <c r="O4903" t="s">
        <v>25</v>
      </c>
      <c r="P4903" t="s">
        <v>35</v>
      </c>
      <c r="Q4903">
        <v>8.8000000000000007</v>
      </c>
      <c r="R4903">
        <v>37</v>
      </c>
      <c r="S4903" t="s">
        <v>27</v>
      </c>
    </row>
    <row r="4904" spans="1:19" x14ac:dyDescent="0.3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 t="str">
        <f t="shared" si="76"/>
        <v>15-30 days</v>
      </c>
      <c r="L4904">
        <v>17</v>
      </c>
      <c r="M4904">
        <v>3</v>
      </c>
      <c r="N4904">
        <v>0</v>
      </c>
      <c r="O4904" t="s">
        <v>54</v>
      </c>
      <c r="P4904" t="s">
        <v>55</v>
      </c>
      <c r="Q4904">
        <v>8.6999999999999993</v>
      </c>
      <c r="R4904">
        <v>16</v>
      </c>
      <c r="S4904" t="s">
        <v>36</v>
      </c>
    </row>
    <row r="4905" spans="1:19" x14ac:dyDescent="0.3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 t="str">
        <f t="shared" si="76"/>
        <v>31-60 days</v>
      </c>
      <c r="L4905">
        <v>45</v>
      </c>
      <c r="M4905">
        <v>2</v>
      </c>
      <c r="N4905">
        <v>1</v>
      </c>
      <c r="O4905" t="s">
        <v>25</v>
      </c>
      <c r="P4905" t="s">
        <v>50</v>
      </c>
      <c r="Q4905">
        <v>8.1999999999999993</v>
      </c>
      <c r="R4905">
        <v>49</v>
      </c>
      <c r="S4905" t="s">
        <v>36</v>
      </c>
    </row>
    <row r="4906" spans="1:19" x14ac:dyDescent="0.3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 t="str">
        <f t="shared" si="76"/>
        <v>31-60 days</v>
      </c>
      <c r="L4906">
        <v>37</v>
      </c>
      <c r="M4906">
        <v>2</v>
      </c>
      <c r="N4906">
        <v>0</v>
      </c>
      <c r="O4906" t="s">
        <v>25</v>
      </c>
      <c r="P4906" t="s">
        <v>35</v>
      </c>
      <c r="Q4906">
        <v>14.7</v>
      </c>
      <c r="R4906">
        <v>9</v>
      </c>
      <c r="S4906" t="s">
        <v>71</v>
      </c>
    </row>
    <row r="4907" spans="1:19" x14ac:dyDescent="0.3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 t="str">
        <f t="shared" si="76"/>
        <v>8-14 days</v>
      </c>
      <c r="L4907">
        <v>14</v>
      </c>
      <c r="M4907">
        <v>4</v>
      </c>
      <c r="N4907">
        <v>0</v>
      </c>
      <c r="O4907" t="s">
        <v>25</v>
      </c>
      <c r="P4907" t="s">
        <v>35</v>
      </c>
      <c r="Q4907">
        <v>16.100000000000001</v>
      </c>
      <c r="R4907">
        <v>2</v>
      </c>
      <c r="S4907" t="s">
        <v>36</v>
      </c>
    </row>
    <row r="4908" spans="1:19" x14ac:dyDescent="0.3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 t="str">
        <f t="shared" si="76"/>
        <v>31-60 days</v>
      </c>
      <c r="L4908">
        <v>53</v>
      </c>
      <c r="M4908">
        <v>1</v>
      </c>
      <c r="N4908">
        <v>0</v>
      </c>
      <c r="O4908" t="s">
        <v>25</v>
      </c>
      <c r="P4908" t="s">
        <v>26</v>
      </c>
      <c r="Q4908">
        <v>4.8</v>
      </c>
      <c r="R4908">
        <v>43</v>
      </c>
      <c r="S4908" t="s">
        <v>36</v>
      </c>
    </row>
    <row r="4909" spans="1:19" x14ac:dyDescent="0.3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 t="str">
        <f t="shared" si="76"/>
        <v>31-60 days</v>
      </c>
      <c r="L4909">
        <v>59</v>
      </c>
      <c r="M4909">
        <v>4</v>
      </c>
      <c r="N4909">
        <v>0</v>
      </c>
      <c r="O4909" t="s">
        <v>25</v>
      </c>
      <c r="P4909" t="s">
        <v>26</v>
      </c>
      <c r="Q4909">
        <v>15.5</v>
      </c>
      <c r="R4909">
        <v>32</v>
      </c>
      <c r="S4909" t="s">
        <v>36</v>
      </c>
    </row>
    <row r="4910" spans="1:19" x14ac:dyDescent="0.3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 t="str">
        <f t="shared" si="76"/>
        <v>31-60 days</v>
      </c>
      <c r="L4910">
        <v>38</v>
      </c>
      <c r="M4910">
        <v>1</v>
      </c>
      <c r="N4910">
        <v>0</v>
      </c>
      <c r="O4910" t="s">
        <v>25</v>
      </c>
      <c r="P4910" t="s">
        <v>26</v>
      </c>
      <c r="Q4910">
        <v>5.2</v>
      </c>
      <c r="R4910">
        <v>26</v>
      </c>
      <c r="S4910" t="s">
        <v>71</v>
      </c>
    </row>
    <row r="4911" spans="1:19" x14ac:dyDescent="0.3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 t="str">
        <f t="shared" si="76"/>
        <v>8-14 days</v>
      </c>
      <c r="L4911">
        <v>13</v>
      </c>
      <c r="M4911">
        <v>2</v>
      </c>
      <c r="N4911">
        <v>0</v>
      </c>
      <c r="O4911" t="s">
        <v>25</v>
      </c>
      <c r="P4911" t="s">
        <v>26</v>
      </c>
      <c r="Q4911">
        <v>12.1</v>
      </c>
      <c r="R4911">
        <v>33</v>
      </c>
      <c r="S4911" t="s">
        <v>27</v>
      </c>
    </row>
    <row r="4912" spans="1:19" x14ac:dyDescent="0.3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 t="str">
        <f t="shared" si="76"/>
        <v>31-60 days</v>
      </c>
      <c r="L4912">
        <v>57</v>
      </c>
      <c r="M4912">
        <v>5</v>
      </c>
      <c r="N4912">
        <v>0</v>
      </c>
      <c r="O4912" t="s">
        <v>25</v>
      </c>
      <c r="P4912" t="s">
        <v>50</v>
      </c>
      <c r="Q4912">
        <v>1.6</v>
      </c>
      <c r="R4912">
        <v>17</v>
      </c>
      <c r="S4912" t="s">
        <v>27</v>
      </c>
    </row>
    <row r="4913" spans="1:19" x14ac:dyDescent="0.3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 t="str">
        <f t="shared" si="76"/>
        <v>8-14 days</v>
      </c>
      <c r="L4913">
        <v>14</v>
      </c>
      <c r="M4913">
        <v>7</v>
      </c>
      <c r="N4913">
        <v>2</v>
      </c>
      <c r="O4913" t="s">
        <v>25</v>
      </c>
      <c r="P4913" t="s">
        <v>26</v>
      </c>
      <c r="Q4913">
        <v>14.8</v>
      </c>
      <c r="R4913">
        <v>5</v>
      </c>
      <c r="S4913" t="s">
        <v>27</v>
      </c>
    </row>
    <row r="4914" spans="1:19" x14ac:dyDescent="0.3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 t="str">
        <f t="shared" si="76"/>
        <v>15-30 days</v>
      </c>
      <c r="L4914">
        <v>26</v>
      </c>
      <c r="M4914">
        <v>3</v>
      </c>
      <c r="N4914">
        <v>2</v>
      </c>
      <c r="O4914" t="s">
        <v>54</v>
      </c>
      <c r="P4914" t="s">
        <v>55</v>
      </c>
      <c r="Q4914">
        <v>11.3</v>
      </c>
      <c r="R4914">
        <v>19</v>
      </c>
      <c r="S4914" t="s">
        <v>27</v>
      </c>
    </row>
    <row r="4915" spans="1:19" x14ac:dyDescent="0.3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 t="str">
        <f t="shared" si="76"/>
        <v>31-60 days</v>
      </c>
      <c r="L4915">
        <v>52</v>
      </c>
      <c r="M4915">
        <v>4</v>
      </c>
      <c r="N4915">
        <v>2</v>
      </c>
      <c r="O4915" t="s">
        <v>25</v>
      </c>
      <c r="P4915" t="s">
        <v>35</v>
      </c>
      <c r="Q4915">
        <v>5.4</v>
      </c>
      <c r="R4915">
        <v>16</v>
      </c>
      <c r="S4915" t="s">
        <v>36</v>
      </c>
    </row>
    <row r="4916" spans="1:19" x14ac:dyDescent="0.3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 t="str">
        <f t="shared" si="76"/>
        <v>31-60 days</v>
      </c>
      <c r="L4916">
        <v>31</v>
      </c>
      <c r="M4916">
        <v>3</v>
      </c>
      <c r="N4916">
        <v>0</v>
      </c>
      <c r="O4916" t="s">
        <v>25</v>
      </c>
      <c r="P4916" t="s">
        <v>35</v>
      </c>
      <c r="Q4916">
        <v>9.3000000000000007</v>
      </c>
      <c r="R4916">
        <v>13</v>
      </c>
      <c r="S4916" t="s">
        <v>36</v>
      </c>
    </row>
    <row r="4917" spans="1:19" x14ac:dyDescent="0.3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 t="str">
        <f t="shared" si="76"/>
        <v>8-14 days</v>
      </c>
      <c r="L4917">
        <v>14</v>
      </c>
      <c r="M4917">
        <v>4</v>
      </c>
      <c r="N4917">
        <v>2</v>
      </c>
      <c r="O4917" t="s">
        <v>25</v>
      </c>
      <c r="P4917" t="s">
        <v>50</v>
      </c>
      <c r="Q4917">
        <v>8.1999999999999993</v>
      </c>
      <c r="R4917">
        <v>17</v>
      </c>
      <c r="S4917" t="s">
        <v>36</v>
      </c>
    </row>
    <row r="4918" spans="1:19" x14ac:dyDescent="0.3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 t="str">
        <f t="shared" si="76"/>
        <v>0-7 days</v>
      </c>
      <c r="L4918">
        <v>4</v>
      </c>
      <c r="M4918">
        <v>2</v>
      </c>
      <c r="N4918">
        <v>0</v>
      </c>
      <c r="O4918" t="s">
        <v>25</v>
      </c>
      <c r="P4918" t="s">
        <v>35</v>
      </c>
      <c r="Q4918">
        <v>9.9</v>
      </c>
      <c r="R4918">
        <v>18</v>
      </c>
      <c r="S4918" t="s">
        <v>36</v>
      </c>
    </row>
    <row r="4919" spans="1:19" x14ac:dyDescent="0.3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 t="str">
        <f t="shared" si="76"/>
        <v>15-30 days</v>
      </c>
      <c r="L4919">
        <v>22</v>
      </c>
      <c r="M4919">
        <v>4</v>
      </c>
      <c r="N4919">
        <v>0</v>
      </c>
      <c r="O4919" t="s">
        <v>25</v>
      </c>
      <c r="P4919" t="s">
        <v>26</v>
      </c>
      <c r="Q4919">
        <v>10.1</v>
      </c>
      <c r="R4919">
        <v>19</v>
      </c>
      <c r="S4919" t="s">
        <v>27</v>
      </c>
    </row>
    <row r="4920" spans="1:19" x14ac:dyDescent="0.3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 t="str">
        <f t="shared" si="76"/>
        <v>31-60 days</v>
      </c>
      <c r="L4920">
        <v>40</v>
      </c>
      <c r="M4920">
        <v>3</v>
      </c>
      <c r="N4920">
        <v>0</v>
      </c>
      <c r="O4920" t="s">
        <v>25</v>
      </c>
      <c r="P4920" t="s">
        <v>35</v>
      </c>
      <c r="Q4920">
        <v>8.3000000000000007</v>
      </c>
      <c r="R4920">
        <v>28</v>
      </c>
      <c r="S4920" t="s">
        <v>27</v>
      </c>
    </row>
    <row r="4921" spans="1:19" x14ac:dyDescent="0.3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 t="str">
        <f t="shared" si="76"/>
        <v>31-60 days</v>
      </c>
      <c r="L4921">
        <v>43</v>
      </c>
      <c r="M4921">
        <v>2</v>
      </c>
      <c r="N4921">
        <v>1</v>
      </c>
      <c r="O4921" t="s">
        <v>25</v>
      </c>
      <c r="P4921" t="s">
        <v>26</v>
      </c>
      <c r="Q4921">
        <v>21.5</v>
      </c>
      <c r="R4921">
        <v>30</v>
      </c>
      <c r="S4921" t="s">
        <v>27</v>
      </c>
    </row>
    <row r="4922" spans="1:19" x14ac:dyDescent="0.3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 t="str">
        <f t="shared" si="76"/>
        <v>8-14 days</v>
      </c>
      <c r="L4922">
        <v>13</v>
      </c>
      <c r="M4922">
        <v>3</v>
      </c>
      <c r="N4922">
        <v>0</v>
      </c>
      <c r="O4922" t="s">
        <v>25</v>
      </c>
      <c r="P4922" t="s">
        <v>35</v>
      </c>
      <c r="Q4922">
        <v>6.5</v>
      </c>
      <c r="R4922">
        <v>27</v>
      </c>
      <c r="S4922" t="s">
        <v>27</v>
      </c>
    </row>
    <row r="4923" spans="1:19" x14ac:dyDescent="0.3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 t="str">
        <f t="shared" si="76"/>
        <v>8-14 days</v>
      </c>
      <c r="L4923">
        <v>9</v>
      </c>
      <c r="M4923">
        <v>2</v>
      </c>
      <c r="N4923">
        <v>0</v>
      </c>
      <c r="O4923" t="s">
        <v>25</v>
      </c>
      <c r="P4923" t="s">
        <v>35</v>
      </c>
      <c r="Q4923">
        <v>11.9</v>
      </c>
      <c r="R4923">
        <v>2</v>
      </c>
      <c r="S4923" t="s">
        <v>36</v>
      </c>
    </row>
    <row r="4924" spans="1:19" x14ac:dyDescent="0.3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 t="str">
        <f t="shared" si="76"/>
        <v>31-60 days</v>
      </c>
      <c r="L4924">
        <v>42</v>
      </c>
      <c r="M4924">
        <v>3</v>
      </c>
      <c r="N4924">
        <v>1</v>
      </c>
      <c r="O4924" t="s">
        <v>54</v>
      </c>
      <c r="P4924" t="s">
        <v>55</v>
      </c>
      <c r="Q4924">
        <v>10.9</v>
      </c>
      <c r="R4924">
        <v>13</v>
      </c>
      <c r="S4924" t="s">
        <v>27</v>
      </c>
    </row>
    <row r="4925" spans="1:19" x14ac:dyDescent="0.3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 t="str">
        <f t="shared" si="76"/>
        <v>8-14 days</v>
      </c>
      <c r="L4925">
        <v>9</v>
      </c>
      <c r="M4925">
        <v>1</v>
      </c>
      <c r="N4925">
        <v>0</v>
      </c>
      <c r="O4925" t="s">
        <v>25</v>
      </c>
      <c r="P4925" t="s">
        <v>35</v>
      </c>
      <c r="Q4925">
        <v>7</v>
      </c>
      <c r="R4925">
        <v>13</v>
      </c>
      <c r="S4925" t="s">
        <v>27</v>
      </c>
    </row>
    <row r="4926" spans="1:19" x14ac:dyDescent="0.3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 t="str">
        <f t="shared" si="76"/>
        <v>0-7 days</v>
      </c>
      <c r="L4926">
        <v>3</v>
      </c>
      <c r="M4926">
        <v>3</v>
      </c>
      <c r="N4926">
        <v>1</v>
      </c>
      <c r="O4926" t="s">
        <v>25</v>
      </c>
      <c r="P4926" t="s">
        <v>35</v>
      </c>
      <c r="Q4926">
        <v>19.899999999999999</v>
      </c>
      <c r="R4926">
        <v>37</v>
      </c>
      <c r="S4926" t="s">
        <v>36</v>
      </c>
    </row>
    <row r="4927" spans="1:19" x14ac:dyDescent="0.3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 t="str">
        <f t="shared" si="76"/>
        <v>15-30 days</v>
      </c>
      <c r="L4927">
        <v>29</v>
      </c>
      <c r="M4927">
        <v>4</v>
      </c>
      <c r="N4927">
        <v>0</v>
      </c>
      <c r="O4927" t="s">
        <v>25</v>
      </c>
      <c r="P4927" t="s">
        <v>35</v>
      </c>
      <c r="Q4927">
        <v>4.5</v>
      </c>
      <c r="R4927">
        <v>15</v>
      </c>
      <c r="S4927" t="s">
        <v>36</v>
      </c>
    </row>
    <row r="4928" spans="1:19" x14ac:dyDescent="0.3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 t="str">
        <f t="shared" si="76"/>
        <v>31-60 days</v>
      </c>
      <c r="L4928">
        <v>34</v>
      </c>
      <c r="M4928">
        <v>3</v>
      </c>
      <c r="N4928">
        <v>0</v>
      </c>
      <c r="O4928" t="s">
        <v>54</v>
      </c>
      <c r="P4928" t="s">
        <v>55</v>
      </c>
      <c r="Q4928">
        <v>13.4</v>
      </c>
      <c r="R4928">
        <v>3</v>
      </c>
      <c r="S4928" t="s">
        <v>36</v>
      </c>
    </row>
    <row r="4929" spans="1:19" x14ac:dyDescent="0.3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 t="str">
        <f t="shared" si="76"/>
        <v>8-14 days</v>
      </c>
      <c r="L4929">
        <v>14</v>
      </c>
      <c r="M4929">
        <v>3</v>
      </c>
      <c r="N4929">
        <v>0</v>
      </c>
      <c r="O4929" t="s">
        <v>25</v>
      </c>
      <c r="P4929" t="s">
        <v>35</v>
      </c>
      <c r="Q4929">
        <v>11.9</v>
      </c>
      <c r="R4929">
        <v>32</v>
      </c>
      <c r="S4929" t="s">
        <v>36</v>
      </c>
    </row>
    <row r="4930" spans="1:19" x14ac:dyDescent="0.3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 t="str">
        <f t="shared" si="76"/>
        <v>8-14 days</v>
      </c>
      <c r="L4930">
        <v>12</v>
      </c>
      <c r="M4930">
        <v>2</v>
      </c>
      <c r="N4930">
        <v>1</v>
      </c>
      <c r="O4930" t="s">
        <v>54</v>
      </c>
      <c r="P4930" t="s">
        <v>55</v>
      </c>
      <c r="Q4930">
        <v>11.2</v>
      </c>
      <c r="R4930">
        <v>25</v>
      </c>
      <c r="S4930" t="s">
        <v>71</v>
      </c>
    </row>
    <row r="4931" spans="1:19" x14ac:dyDescent="0.3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 t="str">
        <f t="shared" ref="K4931:K4994" si="77">IF(L4931&lt;=7,"0-7 days",IF(L4931&lt;=14,"8-14 days",IF(L4931&lt;=30,"15-30 days","31-60 days")))</f>
        <v>8-14 days</v>
      </c>
      <c r="L4931">
        <v>14</v>
      </c>
      <c r="M4931">
        <v>5</v>
      </c>
      <c r="N4931">
        <v>0</v>
      </c>
      <c r="O4931" t="s">
        <v>25</v>
      </c>
      <c r="P4931" t="s">
        <v>35</v>
      </c>
      <c r="Q4931">
        <v>9.1999999999999993</v>
      </c>
      <c r="R4931">
        <v>52</v>
      </c>
      <c r="S4931" t="s">
        <v>36</v>
      </c>
    </row>
    <row r="4932" spans="1:19" x14ac:dyDescent="0.3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 t="str">
        <f t="shared" si="77"/>
        <v>15-30 days</v>
      </c>
      <c r="L4932">
        <v>20</v>
      </c>
      <c r="M4932">
        <v>4</v>
      </c>
      <c r="N4932">
        <v>1</v>
      </c>
      <c r="O4932" t="s">
        <v>25</v>
      </c>
      <c r="P4932" t="s">
        <v>35</v>
      </c>
      <c r="Q4932">
        <v>15.4</v>
      </c>
      <c r="R4932">
        <v>9</v>
      </c>
      <c r="S4932" t="s">
        <v>27</v>
      </c>
    </row>
    <row r="4933" spans="1:19" x14ac:dyDescent="0.3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 t="str">
        <f t="shared" si="77"/>
        <v>0-7 days</v>
      </c>
      <c r="L4933">
        <v>0</v>
      </c>
      <c r="M4933">
        <v>3</v>
      </c>
      <c r="N4933">
        <v>0</v>
      </c>
      <c r="O4933" t="s">
        <v>25</v>
      </c>
      <c r="P4933" t="s">
        <v>26</v>
      </c>
      <c r="Q4933">
        <v>3.5</v>
      </c>
      <c r="R4933">
        <v>22</v>
      </c>
      <c r="S4933" t="s">
        <v>36</v>
      </c>
    </row>
    <row r="4934" spans="1:19" x14ac:dyDescent="0.3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 t="str">
        <f t="shared" si="77"/>
        <v>0-7 days</v>
      </c>
      <c r="L4934">
        <v>0</v>
      </c>
      <c r="M4934">
        <v>4</v>
      </c>
      <c r="N4934">
        <v>1</v>
      </c>
      <c r="O4934" t="s">
        <v>25</v>
      </c>
      <c r="P4934" t="s">
        <v>26</v>
      </c>
      <c r="Q4934">
        <v>5.3</v>
      </c>
      <c r="R4934">
        <v>13</v>
      </c>
      <c r="S4934" t="s">
        <v>36</v>
      </c>
    </row>
    <row r="4935" spans="1:19" x14ac:dyDescent="0.3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 t="str">
        <f t="shared" si="77"/>
        <v>15-30 days</v>
      </c>
      <c r="L4935">
        <v>22</v>
      </c>
      <c r="M4935">
        <v>5</v>
      </c>
      <c r="N4935">
        <v>0</v>
      </c>
      <c r="O4935" t="s">
        <v>54</v>
      </c>
      <c r="P4935" t="s">
        <v>55</v>
      </c>
      <c r="Q4935">
        <v>11.5</v>
      </c>
      <c r="R4935">
        <v>13</v>
      </c>
      <c r="S4935" t="s">
        <v>36</v>
      </c>
    </row>
    <row r="4936" spans="1:19" x14ac:dyDescent="0.3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 t="str">
        <f t="shared" si="77"/>
        <v>0-7 days</v>
      </c>
      <c r="L4936">
        <v>1</v>
      </c>
      <c r="M4936">
        <v>3</v>
      </c>
      <c r="N4936">
        <v>0</v>
      </c>
      <c r="O4936" t="s">
        <v>25</v>
      </c>
      <c r="P4936" t="s">
        <v>35</v>
      </c>
      <c r="Q4936">
        <v>5.6</v>
      </c>
      <c r="R4936">
        <v>15</v>
      </c>
      <c r="S4936" t="s">
        <v>71</v>
      </c>
    </row>
    <row r="4937" spans="1:19" x14ac:dyDescent="0.3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 t="str">
        <f t="shared" si="77"/>
        <v>15-30 days</v>
      </c>
      <c r="L4937">
        <v>19</v>
      </c>
      <c r="M4937">
        <v>4</v>
      </c>
      <c r="N4937">
        <v>1</v>
      </c>
      <c r="O4937" t="s">
        <v>54</v>
      </c>
      <c r="P4937" t="s">
        <v>55</v>
      </c>
      <c r="Q4937">
        <v>4.8</v>
      </c>
      <c r="R4937">
        <v>12</v>
      </c>
      <c r="S4937" t="s">
        <v>36</v>
      </c>
    </row>
    <row r="4938" spans="1:19" x14ac:dyDescent="0.3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 t="str">
        <f t="shared" si="77"/>
        <v>31-60 days</v>
      </c>
      <c r="L4938">
        <v>35</v>
      </c>
      <c r="M4938">
        <v>0</v>
      </c>
      <c r="N4938">
        <v>0</v>
      </c>
      <c r="O4938" t="s">
        <v>25</v>
      </c>
      <c r="P4938" t="s">
        <v>50</v>
      </c>
      <c r="Q4938">
        <v>18.399999999999999</v>
      </c>
      <c r="R4938">
        <v>26</v>
      </c>
      <c r="S4938" t="s">
        <v>36</v>
      </c>
    </row>
    <row r="4939" spans="1:19" x14ac:dyDescent="0.3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 t="str">
        <f t="shared" si="77"/>
        <v>0-7 days</v>
      </c>
      <c r="L4939">
        <v>1</v>
      </c>
      <c r="M4939">
        <v>3</v>
      </c>
      <c r="N4939">
        <v>0</v>
      </c>
      <c r="O4939" t="s">
        <v>25</v>
      </c>
      <c r="P4939" t="s">
        <v>50</v>
      </c>
      <c r="Q4939">
        <v>19</v>
      </c>
      <c r="R4939">
        <v>25</v>
      </c>
      <c r="S4939" t="s">
        <v>27</v>
      </c>
    </row>
    <row r="4940" spans="1:19" x14ac:dyDescent="0.3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 t="str">
        <f t="shared" si="77"/>
        <v>31-60 days</v>
      </c>
      <c r="L4940">
        <v>37</v>
      </c>
      <c r="M4940">
        <v>4</v>
      </c>
      <c r="N4940">
        <v>1</v>
      </c>
      <c r="O4940" t="s">
        <v>54</v>
      </c>
      <c r="P4940" t="s">
        <v>55</v>
      </c>
      <c r="Q4940">
        <v>12</v>
      </c>
      <c r="R4940">
        <v>24</v>
      </c>
      <c r="S4940" t="s">
        <v>36</v>
      </c>
    </row>
    <row r="4941" spans="1:19" x14ac:dyDescent="0.3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 t="str">
        <f t="shared" si="77"/>
        <v>31-60 days</v>
      </c>
      <c r="L4941">
        <v>37</v>
      </c>
      <c r="M4941">
        <v>1</v>
      </c>
      <c r="N4941">
        <v>0</v>
      </c>
      <c r="O4941" t="s">
        <v>25</v>
      </c>
      <c r="P4941" t="s">
        <v>35</v>
      </c>
      <c r="Q4941">
        <v>5.7</v>
      </c>
      <c r="R4941">
        <v>38</v>
      </c>
      <c r="S4941" t="s">
        <v>71</v>
      </c>
    </row>
    <row r="4942" spans="1:19" x14ac:dyDescent="0.3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 t="str">
        <f t="shared" si="77"/>
        <v>31-60 days</v>
      </c>
      <c r="L4942">
        <v>34</v>
      </c>
      <c r="M4942">
        <v>4</v>
      </c>
      <c r="N4942">
        <v>0</v>
      </c>
      <c r="O4942" t="s">
        <v>54</v>
      </c>
      <c r="P4942" t="s">
        <v>55</v>
      </c>
      <c r="Q4942">
        <v>6.6</v>
      </c>
      <c r="R4942">
        <v>30</v>
      </c>
      <c r="S4942" t="s">
        <v>71</v>
      </c>
    </row>
    <row r="4943" spans="1:19" x14ac:dyDescent="0.3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 t="str">
        <f t="shared" si="77"/>
        <v>31-60 days</v>
      </c>
      <c r="L4943">
        <v>38</v>
      </c>
      <c r="M4943">
        <v>0</v>
      </c>
      <c r="N4943">
        <v>0</v>
      </c>
      <c r="O4943" t="s">
        <v>25</v>
      </c>
      <c r="P4943" t="s">
        <v>35</v>
      </c>
      <c r="Q4943">
        <v>10.3</v>
      </c>
      <c r="R4943">
        <v>33</v>
      </c>
      <c r="S4943" t="s">
        <v>36</v>
      </c>
    </row>
    <row r="4944" spans="1:19" x14ac:dyDescent="0.3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 t="str">
        <f t="shared" si="77"/>
        <v>31-60 days</v>
      </c>
      <c r="L4944">
        <v>49</v>
      </c>
      <c r="M4944">
        <v>1</v>
      </c>
      <c r="N4944">
        <v>1</v>
      </c>
      <c r="O4944" t="s">
        <v>25</v>
      </c>
      <c r="P4944" t="s">
        <v>26</v>
      </c>
      <c r="Q4944">
        <v>7.9</v>
      </c>
      <c r="R4944">
        <v>26</v>
      </c>
      <c r="S4944" t="s">
        <v>27</v>
      </c>
    </row>
    <row r="4945" spans="1:19" x14ac:dyDescent="0.3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 t="str">
        <f t="shared" si="77"/>
        <v>0-7 days</v>
      </c>
      <c r="L4945">
        <v>4</v>
      </c>
      <c r="M4945">
        <v>2</v>
      </c>
      <c r="N4945">
        <v>0</v>
      </c>
      <c r="O4945" t="s">
        <v>25</v>
      </c>
      <c r="P4945" t="s">
        <v>26</v>
      </c>
      <c r="Q4945">
        <v>13.7</v>
      </c>
      <c r="R4945">
        <v>27</v>
      </c>
      <c r="S4945" t="s">
        <v>36</v>
      </c>
    </row>
    <row r="4946" spans="1:19" x14ac:dyDescent="0.3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 t="str">
        <f t="shared" si="77"/>
        <v>8-14 days</v>
      </c>
      <c r="L4946">
        <v>10</v>
      </c>
      <c r="M4946">
        <v>3</v>
      </c>
      <c r="N4946">
        <v>0</v>
      </c>
      <c r="O4946" t="s">
        <v>54</v>
      </c>
      <c r="P4946" t="s">
        <v>55</v>
      </c>
      <c r="Q4946">
        <v>4.0999999999999996</v>
      </c>
      <c r="R4946">
        <v>34</v>
      </c>
      <c r="S4946" t="s">
        <v>27</v>
      </c>
    </row>
    <row r="4947" spans="1:19" x14ac:dyDescent="0.3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 t="str">
        <f t="shared" si="77"/>
        <v>15-30 days</v>
      </c>
      <c r="L4947">
        <v>19</v>
      </c>
      <c r="M4947">
        <v>1</v>
      </c>
      <c r="N4947">
        <v>0</v>
      </c>
      <c r="O4947" t="s">
        <v>54</v>
      </c>
      <c r="P4947" t="s">
        <v>55</v>
      </c>
      <c r="Q4947">
        <v>4.0999999999999996</v>
      </c>
      <c r="R4947">
        <v>11</v>
      </c>
      <c r="S4947" t="s">
        <v>36</v>
      </c>
    </row>
    <row r="4948" spans="1:19" x14ac:dyDescent="0.3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 t="str">
        <f t="shared" si="77"/>
        <v>31-60 days</v>
      </c>
      <c r="L4948">
        <v>41</v>
      </c>
      <c r="M4948">
        <v>2</v>
      </c>
      <c r="N4948">
        <v>0</v>
      </c>
      <c r="O4948" t="s">
        <v>54</v>
      </c>
      <c r="P4948" t="s">
        <v>55</v>
      </c>
      <c r="Q4948">
        <v>8.3000000000000007</v>
      </c>
      <c r="R4948">
        <v>17</v>
      </c>
      <c r="S4948" t="s">
        <v>27</v>
      </c>
    </row>
    <row r="4949" spans="1:19" x14ac:dyDescent="0.3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 t="str">
        <f t="shared" si="77"/>
        <v>31-60 days</v>
      </c>
      <c r="L4949">
        <v>53</v>
      </c>
      <c r="M4949">
        <v>1</v>
      </c>
      <c r="N4949">
        <v>0</v>
      </c>
      <c r="O4949" t="s">
        <v>25</v>
      </c>
      <c r="P4949" t="s">
        <v>35</v>
      </c>
      <c r="Q4949">
        <v>19.100000000000001</v>
      </c>
      <c r="R4949">
        <v>25</v>
      </c>
      <c r="S4949" t="s">
        <v>27</v>
      </c>
    </row>
    <row r="4950" spans="1:19" x14ac:dyDescent="0.3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 t="str">
        <f t="shared" si="77"/>
        <v>31-60 days</v>
      </c>
      <c r="L4950">
        <v>56</v>
      </c>
      <c r="M4950">
        <v>2</v>
      </c>
      <c r="N4950">
        <v>0</v>
      </c>
      <c r="O4950" t="s">
        <v>25</v>
      </c>
      <c r="P4950" t="s">
        <v>26</v>
      </c>
      <c r="Q4950">
        <v>11.8</v>
      </c>
      <c r="R4950">
        <v>24</v>
      </c>
      <c r="S4950" t="s">
        <v>27</v>
      </c>
    </row>
    <row r="4951" spans="1:19" x14ac:dyDescent="0.3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 t="str">
        <f t="shared" si="77"/>
        <v>31-60 days</v>
      </c>
      <c r="L4951">
        <v>35</v>
      </c>
      <c r="M4951">
        <v>2</v>
      </c>
      <c r="N4951">
        <v>2</v>
      </c>
      <c r="O4951" t="s">
        <v>25</v>
      </c>
      <c r="P4951" t="s">
        <v>26</v>
      </c>
      <c r="Q4951">
        <v>9.6999999999999993</v>
      </c>
      <c r="R4951">
        <v>8</v>
      </c>
      <c r="S4951" t="s">
        <v>27</v>
      </c>
    </row>
    <row r="4952" spans="1:19" x14ac:dyDescent="0.3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 t="str">
        <f t="shared" si="77"/>
        <v>15-30 days</v>
      </c>
      <c r="L4952">
        <v>25</v>
      </c>
      <c r="M4952">
        <v>3</v>
      </c>
      <c r="N4952">
        <v>3</v>
      </c>
      <c r="O4952" t="s">
        <v>25</v>
      </c>
      <c r="P4952" t="s">
        <v>26</v>
      </c>
      <c r="Q4952">
        <v>9.6999999999999993</v>
      </c>
      <c r="R4952">
        <v>32</v>
      </c>
      <c r="S4952" t="s">
        <v>27</v>
      </c>
    </row>
    <row r="4953" spans="1:19" x14ac:dyDescent="0.3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 t="str">
        <f t="shared" si="77"/>
        <v>15-30 days</v>
      </c>
      <c r="L4953">
        <v>25</v>
      </c>
      <c r="M4953">
        <v>2</v>
      </c>
      <c r="N4953">
        <v>0</v>
      </c>
      <c r="O4953" t="s">
        <v>25</v>
      </c>
      <c r="P4953" t="s">
        <v>50</v>
      </c>
      <c r="Q4953">
        <v>18.600000000000001</v>
      </c>
      <c r="R4953">
        <v>40</v>
      </c>
      <c r="S4953" t="s">
        <v>27</v>
      </c>
    </row>
    <row r="4954" spans="1:19" x14ac:dyDescent="0.3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 t="str">
        <f t="shared" si="77"/>
        <v>0-7 days</v>
      </c>
      <c r="L4954">
        <v>3</v>
      </c>
      <c r="M4954">
        <v>4</v>
      </c>
      <c r="N4954">
        <v>1</v>
      </c>
      <c r="O4954" t="s">
        <v>25</v>
      </c>
      <c r="P4954" t="s">
        <v>35</v>
      </c>
      <c r="R4954">
        <v>39</v>
      </c>
      <c r="S4954" t="s">
        <v>27</v>
      </c>
    </row>
    <row r="4955" spans="1:19" x14ac:dyDescent="0.3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 t="str">
        <f t="shared" si="77"/>
        <v>15-30 days</v>
      </c>
      <c r="L4955">
        <v>28</v>
      </c>
      <c r="M4955">
        <v>5</v>
      </c>
      <c r="N4955">
        <v>2</v>
      </c>
      <c r="O4955" t="s">
        <v>25</v>
      </c>
      <c r="P4955" t="s">
        <v>35</v>
      </c>
      <c r="Q4955">
        <v>4</v>
      </c>
      <c r="R4955">
        <v>16</v>
      </c>
      <c r="S4955" t="s">
        <v>36</v>
      </c>
    </row>
    <row r="4956" spans="1:19" x14ac:dyDescent="0.3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 t="str">
        <f t="shared" si="77"/>
        <v>31-60 days</v>
      </c>
      <c r="L4956">
        <v>31</v>
      </c>
      <c r="M4956">
        <v>4</v>
      </c>
      <c r="N4956">
        <v>2</v>
      </c>
      <c r="O4956" t="s">
        <v>25</v>
      </c>
      <c r="P4956" t="s">
        <v>26</v>
      </c>
      <c r="Q4956">
        <v>10.4</v>
      </c>
      <c r="R4956">
        <v>33</v>
      </c>
      <c r="S4956" t="s">
        <v>27</v>
      </c>
    </row>
    <row r="4957" spans="1:19" x14ac:dyDescent="0.3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 t="str">
        <f t="shared" si="77"/>
        <v>8-14 days</v>
      </c>
      <c r="L4957">
        <v>12</v>
      </c>
      <c r="M4957">
        <v>1</v>
      </c>
      <c r="N4957">
        <v>0</v>
      </c>
      <c r="O4957" t="s">
        <v>25</v>
      </c>
      <c r="P4957" t="s">
        <v>35</v>
      </c>
      <c r="Q4957">
        <v>11.1</v>
      </c>
      <c r="R4957">
        <v>20</v>
      </c>
      <c r="S4957" t="s">
        <v>27</v>
      </c>
    </row>
    <row r="4958" spans="1:19" x14ac:dyDescent="0.3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 t="str">
        <f t="shared" si="77"/>
        <v>31-60 days</v>
      </c>
      <c r="L4958">
        <v>46</v>
      </c>
      <c r="M4958">
        <v>2</v>
      </c>
      <c r="N4958">
        <v>1</v>
      </c>
      <c r="O4958" t="s">
        <v>54</v>
      </c>
      <c r="P4958" t="s">
        <v>55</v>
      </c>
      <c r="Q4958">
        <v>6.6</v>
      </c>
      <c r="R4958">
        <v>25</v>
      </c>
      <c r="S4958" t="s">
        <v>27</v>
      </c>
    </row>
    <row r="4959" spans="1:19" x14ac:dyDescent="0.3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 t="str">
        <f t="shared" si="77"/>
        <v>31-60 days</v>
      </c>
      <c r="L4959">
        <v>49</v>
      </c>
      <c r="M4959">
        <v>0</v>
      </c>
      <c r="N4959">
        <v>0</v>
      </c>
      <c r="O4959" t="s">
        <v>54</v>
      </c>
      <c r="P4959" t="s">
        <v>55</v>
      </c>
      <c r="Q4959">
        <v>5.0999999999999996</v>
      </c>
      <c r="R4959">
        <v>36</v>
      </c>
      <c r="S4959" t="s">
        <v>27</v>
      </c>
    </row>
    <row r="4960" spans="1:19" x14ac:dyDescent="0.3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 t="str">
        <f t="shared" si="77"/>
        <v>15-30 days</v>
      </c>
      <c r="L4960">
        <v>18</v>
      </c>
      <c r="M4960">
        <v>3</v>
      </c>
      <c r="N4960">
        <v>1</v>
      </c>
      <c r="O4960" t="s">
        <v>25</v>
      </c>
      <c r="P4960" t="s">
        <v>35</v>
      </c>
      <c r="Q4960">
        <v>1.9</v>
      </c>
      <c r="R4960">
        <v>39</v>
      </c>
      <c r="S4960" t="s">
        <v>27</v>
      </c>
    </row>
    <row r="4961" spans="1:19" x14ac:dyDescent="0.3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 t="str">
        <f t="shared" si="77"/>
        <v>31-60 days</v>
      </c>
      <c r="L4961">
        <v>55</v>
      </c>
      <c r="M4961">
        <v>3</v>
      </c>
      <c r="N4961">
        <v>0</v>
      </c>
      <c r="O4961" t="s">
        <v>25</v>
      </c>
      <c r="P4961" t="s">
        <v>26</v>
      </c>
      <c r="Q4961">
        <v>9.3000000000000007</v>
      </c>
      <c r="R4961">
        <v>19</v>
      </c>
      <c r="S4961" t="s">
        <v>36</v>
      </c>
    </row>
    <row r="4962" spans="1:19" x14ac:dyDescent="0.3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 t="str">
        <f t="shared" si="77"/>
        <v>0-7 days</v>
      </c>
      <c r="L4962">
        <v>6</v>
      </c>
      <c r="M4962">
        <v>3</v>
      </c>
      <c r="N4962">
        <v>1</v>
      </c>
      <c r="O4962" t="s">
        <v>25</v>
      </c>
      <c r="P4962" t="s">
        <v>50</v>
      </c>
      <c r="Q4962">
        <v>23.6</v>
      </c>
      <c r="R4962">
        <v>18</v>
      </c>
      <c r="S4962" t="s">
        <v>36</v>
      </c>
    </row>
    <row r="4963" spans="1:19" x14ac:dyDescent="0.3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 t="str">
        <f t="shared" si="77"/>
        <v>31-60 days</v>
      </c>
      <c r="L4963">
        <v>55</v>
      </c>
      <c r="M4963">
        <v>5</v>
      </c>
      <c r="N4963">
        <v>2</v>
      </c>
      <c r="O4963" t="s">
        <v>25</v>
      </c>
      <c r="P4963" t="s">
        <v>35</v>
      </c>
      <c r="Q4963">
        <v>15.5</v>
      </c>
      <c r="R4963">
        <v>40</v>
      </c>
      <c r="S4963" t="s">
        <v>27</v>
      </c>
    </row>
    <row r="4964" spans="1:19" x14ac:dyDescent="0.3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 t="str">
        <f t="shared" si="77"/>
        <v>31-60 days</v>
      </c>
      <c r="L4964">
        <v>46</v>
      </c>
      <c r="M4964">
        <v>6</v>
      </c>
      <c r="N4964">
        <v>0</v>
      </c>
      <c r="O4964" t="s">
        <v>25</v>
      </c>
      <c r="P4964" t="s">
        <v>35</v>
      </c>
      <c r="Q4964">
        <v>9.3000000000000007</v>
      </c>
      <c r="R4964">
        <v>23</v>
      </c>
      <c r="S4964" t="s">
        <v>27</v>
      </c>
    </row>
    <row r="4965" spans="1:19" x14ac:dyDescent="0.3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 t="str">
        <f t="shared" si="77"/>
        <v>8-14 days</v>
      </c>
      <c r="L4965">
        <v>13</v>
      </c>
      <c r="M4965">
        <v>5</v>
      </c>
      <c r="N4965">
        <v>0</v>
      </c>
      <c r="O4965" t="s">
        <v>54</v>
      </c>
      <c r="P4965" t="s">
        <v>55</v>
      </c>
      <c r="Q4965">
        <v>11.6</v>
      </c>
      <c r="R4965">
        <v>2</v>
      </c>
      <c r="S4965" t="s">
        <v>36</v>
      </c>
    </row>
    <row r="4966" spans="1:19" x14ac:dyDescent="0.3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 t="str">
        <f t="shared" si="77"/>
        <v>31-60 days</v>
      </c>
      <c r="L4966">
        <v>39</v>
      </c>
      <c r="M4966">
        <v>6</v>
      </c>
      <c r="N4966">
        <v>1</v>
      </c>
      <c r="O4966" t="s">
        <v>25</v>
      </c>
      <c r="P4966" t="s">
        <v>35</v>
      </c>
      <c r="Q4966">
        <v>9.1</v>
      </c>
      <c r="R4966">
        <v>29</v>
      </c>
      <c r="S4966" t="s">
        <v>27</v>
      </c>
    </row>
    <row r="4967" spans="1:19" x14ac:dyDescent="0.3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 t="str">
        <f t="shared" si="77"/>
        <v>15-30 days</v>
      </c>
      <c r="L4967">
        <v>18</v>
      </c>
      <c r="M4967">
        <v>2</v>
      </c>
      <c r="N4967">
        <v>0</v>
      </c>
      <c r="O4967" t="s">
        <v>25</v>
      </c>
      <c r="P4967" t="s">
        <v>35</v>
      </c>
      <c r="Q4967">
        <v>9.1</v>
      </c>
      <c r="R4967">
        <v>15</v>
      </c>
      <c r="S4967" t="s">
        <v>71</v>
      </c>
    </row>
    <row r="4968" spans="1:19" x14ac:dyDescent="0.3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 t="str">
        <f t="shared" si="77"/>
        <v>31-60 days</v>
      </c>
      <c r="L4968">
        <v>48</v>
      </c>
      <c r="M4968">
        <v>1</v>
      </c>
      <c r="N4968">
        <v>0</v>
      </c>
      <c r="O4968" t="s">
        <v>25</v>
      </c>
      <c r="P4968" t="s">
        <v>26</v>
      </c>
      <c r="Q4968">
        <v>15.5</v>
      </c>
      <c r="R4968">
        <v>21</v>
      </c>
      <c r="S4968" t="s">
        <v>27</v>
      </c>
    </row>
    <row r="4969" spans="1:19" x14ac:dyDescent="0.3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 t="str">
        <f t="shared" si="77"/>
        <v>8-14 days</v>
      </c>
      <c r="L4969">
        <v>9</v>
      </c>
      <c r="M4969">
        <v>2</v>
      </c>
      <c r="N4969">
        <v>1</v>
      </c>
      <c r="O4969" t="s">
        <v>54</v>
      </c>
      <c r="P4969" t="s">
        <v>55</v>
      </c>
      <c r="Q4969">
        <v>9.5</v>
      </c>
      <c r="R4969">
        <v>31</v>
      </c>
      <c r="S4969" t="s">
        <v>36</v>
      </c>
    </row>
    <row r="4970" spans="1:19" x14ac:dyDescent="0.3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 t="str">
        <f t="shared" si="77"/>
        <v>8-14 days</v>
      </c>
      <c r="L4970">
        <v>14</v>
      </c>
      <c r="M4970">
        <v>4</v>
      </c>
      <c r="N4970">
        <v>1</v>
      </c>
      <c r="O4970" t="s">
        <v>25</v>
      </c>
      <c r="P4970" t="s">
        <v>35</v>
      </c>
      <c r="Q4970">
        <v>3.9</v>
      </c>
      <c r="R4970">
        <v>4</v>
      </c>
      <c r="S4970" t="s">
        <v>36</v>
      </c>
    </row>
    <row r="4971" spans="1:19" x14ac:dyDescent="0.3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 t="str">
        <f t="shared" si="77"/>
        <v>15-30 days</v>
      </c>
      <c r="L4971">
        <v>18</v>
      </c>
      <c r="M4971">
        <v>5</v>
      </c>
      <c r="N4971">
        <v>1</v>
      </c>
      <c r="O4971" t="s">
        <v>54</v>
      </c>
      <c r="P4971" t="s">
        <v>55</v>
      </c>
      <c r="Q4971">
        <v>4.5999999999999996</v>
      </c>
      <c r="R4971">
        <v>32</v>
      </c>
      <c r="S4971" t="s">
        <v>36</v>
      </c>
    </row>
    <row r="4972" spans="1:19" x14ac:dyDescent="0.3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 t="str">
        <f t="shared" si="77"/>
        <v>8-14 days</v>
      </c>
      <c r="L4972">
        <v>12</v>
      </c>
      <c r="M4972">
        <v>6</v>
      </c>
      <c r="N4972">
        <v>0</v>
      </c>
      <c r="O4972" t="s">
        <v>25</v>
      </c>
      <c r="P4972" t="s">
        <v>35</v>
      </c>
      <c r="Q4972">
        <v>6.8</v>
      </c>
      <c r="R4972">
        <v>7</v>
      </c>
      <c r="S4972" t="s">
        <v>36</v>
      </c>
    </row>
    <row r="4973" spans="1:19" x14ac:dyDescent="0.3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 t="str">
        <f t="shared" si="77"/>
        <v>15-30 days</v>
      </c>
      <c r="L4973">
        <v>20</v>
      </c>
      <c r="M4973">
        <v>0</v>
      </c>
      <c r="N4973">
        <v>0</v>
      </c>
      <c r="O4973" t="s">
        <v>25</v>
      </c>
      <c r="P4973" t="s">
        <v>35</v>
      </c>
      <c r="Q4973">
        <v>11.3</v>
      </c>
      <c r="R4973">
        <v>16</v>
      </c>
      <c r="S4973" t="s">
        <v>36</v>
      </c>
    </row>
    <row r="4974" spans="1:19" x14ac:dyDescent="0.3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 t="str">
        <f t="shared" si="77"/>
        <v>31-60 days</v>
      </c>
      <c r="L4974">
        <v>36</v>
      </c>
      <c r="M4974">
        <v>2</v>
      </c>
      <c r="N4974">
        <v>1</v>
      </c>
      <c r="O4974" t="s">
        <v>25</v>
      </c>
      <c r="P4974" t="s">
        <v>26</v>
      </c>
      <c r="Q4974">
        <v>4.8</v>
      </c>
      <c r="R4974">
        <v>27</v>
      </c>
      <c r="S4974" t="s">
        <v>36</v>
      </c>
    </row>
    <row r="4975" spans="1:19" x14ac:dyDescent="0.3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 t="str">
        <f t="shared" si="77"/>
        <v>31-60 days</v>
      </c>
      <c r="L4975">
        <v>38</v>
      </c>
      <c r="M4975">
        <v>0</v>
      </c>
      <c r="N4975">
        <v>0</v>
      </c>
      <c r="O4975" t="s">
        <v>25</v>
      </c>
      <c r="P4975" t="s">
        <v>35</v>
      </c>
      <c r="Q4975">
        <v>2</v>
      </c>
      <c r="R4975">
        <v>10</v>
      </c>
      <c r="S4975" t="s">
        <v>27</v>
      </c>
    </row>
    <row r="4976" spans="1:19" x14ac:dyDescent="0.3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 t="str">
        <f t="shared" si="77"/>
        <v>31-60 days</v>
      </c>
      <c r="L4976">
        <v>33</v>
      </c>
      <c r="M4976">
        <v>1</v>
      </c>
      <c r="N4976">
        <v>0</v>
      </c>
      <c r="O4976" t="s">
        <v>25</v>
      </c>
      <c r="P4976" t="s">
        <v>26</v>
      </c>
      <c r="Q4976">
        <v>7.2</v>
      </c>
      <c r="R4976">
        <v>11</v>
      </c>
      <c r="S4976" t="s">
        <v>71</v>
      </c>
    </row>
    <row r="4977" spans="1:19" x14ac:dyDescent="0.3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 t="str">
        <f t="shared" si="77"/>
        <v>8-14 days</v>
      </c>
      <c r="L4977">
        <v>11</v>
      </c>
      <c r="M4977">
        <v>4</v>
      </c>
      <c r="N4977">
        <v>0</v>
      </c>
      <c r="O4977" t="s">
        <v>25</v>
      </c>
      <c r="P4977" t="s">
        <v>35</v>
      </c>
      <c r="Q4977">
        <v>12.4</v>
      </c>
      <c r="R4977">
        <v>28</v>
      </c>
      <c r="S4977" t="s">
        <v>27</v>
      </c>
    </row>
    <row r="4978" spans="1:19" x14ac:dyDescent="0.3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 t="str">
        <f t="shared" si="77"/>
        <v>8-14 days</v>
      </c>
      <c r="L4978">
        <v>12</v>
      </c>
      <c r="M4978">
        <v>1</v>
      </c>
      <c r="N4978">
        <v>0</v>
      </c>
      <c r="O4978" t="s">
        <v>54</v>
      </c>
      <c r="P4978" t="s">
        <v>55</v>
      </c>
      <c r="Q4978">
        <v>16.3</v>
      </c>
      <c r="R4978">
        <v>30</v>
      </c>
      <c r="S4978" t="s">
        <v>27</v>
      </c>
    </row>
    <row r="4979" spans="1:19" x14ac:dyDescent="0.3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 t="str">
        <f t="shared" si="77"/>
        <v>31-60 days</v>
      </c>
      <c r="L4979">
        <v>56</v>
      </c>
      <c r="M4979">
        <v>7</v>
      </c>
      <c r="N4979">
        <v>0</v>
      </c>
      <c r="O4979" t="s">
        <v>25</v>
      </c>
      <c r="P4979" t="s">
        <v>26</v>
      </c>
      <c r="Q4979">
        <v>5.2</v>
      </c>
      <c r="R4979">
        <v>22</v>
      </c>
      <c r="S4979" t="s">
        <v>27</v>
      </c>
    </row>
    <row r="4980" spans="1:19" x14ac:dyDescent="0.3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 t="str">
        <f t="shared" si="77"/>
        <v>15-30 days</v>
      </c>
      <c r="L4980">
        <v>15</v>
      </c>
      <c r="M4980">
        <v>5</v>
      </c>
      <c r="N4980">
        <v>2</v>
      </c>
      <c r="O4980" t="s">
        <v>25</v>
      </c>
      <c r="P4980" t="s">
        <v>50</v>
      </c>
      <c r="Q4980">
        <v>8.1999999999999993</v>
      </c>
      <c r="R4980">
        <v>31</v>
      </c>
      <c r="S4980" t="s">
        <v>36</v>
      </c>
    </row>
    <row r="4981" spans="1:19" x14ac:dyDescent="0.3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 t="str">
        <f t="shared" si="77"/>
        <v>0-7 days</v>
      </c>
      <c r="L4981">
        <v>6</v>
      </c>
      <c r="M4981">
        <v>4</v>
      </c>
      <c r="N4981">
        <v>0</v>
      </c>
      <c r="O4981" t="s">
        <v>25</v>
      </c>
      <c r="P4981" t="s">
        <v>26</v>
      </c>
      <c r="Q4981">
        <v>4.0999999999999996</v>
      </c>
      <c r="R4981">
        <v>68</v>
      </c>
      <c r="S4981" t="s">
        <v>36</v>
      </c>
    </row>
    <row r="4982" spans="1:19" x14ac:dyDescent="0.3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 t="str">
        <f t="shared" si="77"/>
        <v>15-30 days</v>
      </c>
      <c r="L4982">
        <v>27</v>
      </c>
      <c r="M4982">
        <v>1</v>
      </c>
      <c r="N4982">
        <v>0</v>
      </c>
      <c r="O4982" t="s">
        <v>25</v>
      </c>
      <c r="P4982" t="s">
        <v>35</v>
      </c>
      <c r="R4982">
        <v>8</v>
      </c>
      <c r="S4982" t="s">
        <v>36</v>
      </c>
    </row>
    <row r="4983" spans="1:19" x14ac:dyDescent="0.3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 t="str">
        <f t="shared" si="77"/>
        <v>0-7 days</v>
      </c>
      <c r="L4983">
        <v>0</v>
      </c>
      <c r="M4983">
        <v>3</v>
      </c>
      <c r="N4983">
        <v>0</v>
      </c>
      <c r="O4983" t="s">
        <v>25</v>
      </c>
      <c r="P4983" t="s">
        <v>50</v>
      </c>
      <c r="Q4983">
        <v>2.2999999999999998</v>
      </c>
      <c r="R4983">
        <v>2</v>
      </c>
      <c r="S4983" t="s">
        <v>36</v>
      </c>
    </row>
    <row r="4984" spans="1:19" x14ac:dyDescent="0.3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 t="str">
        <f t="shared" si="77"/>
        <v>15-30 days</v>
      </c>
      <c r="L4984">
        <v>20</v>
      </c>
      <c r="M4984">
        <v>3</v>
      </c>
      <c r="N4984">
        <v>0</v>
      </c>
      <c r="O4984" t="s">
        <v>54</v>
      </c>
      <c r="P4984" t="s">
        <v>55</v>
      </c>
      <c r="Q4984">
        <v>3.3</v>
      </c>
      <c r="R4984">
        <v>36</v>
      </c>
      <c r="S4984" t="s">
        <v>36</v>
      </c>
    </row>
    <row r="4985" spans="1:19" x14ac:dyDescent="0.3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 t="str">
        <f t="shared" si="77"/>
        <v>31-60 days</v>
      </c>
      <c r="L4985">
        <v>52</v>
      </c>
      <c r="M4985">
        <v>4</v>
      </c>
      <c r="N4985">
        <v>3</v>
      </c>
      <c r="O4985" t="s">
        <v>25</v>
      </c>
      <c r="P4985" t="s">
        <v>35</v>
      </c>
      <c r="Q4985">
        <v>3.3</v>
      </c>
      <c r="R4985">
        <v>11</v>
      </c>
      <c r="S4985" t="s">
        <v>27</v>
      </c>
    </row>
    <row r="4986" spans="1:19" x14ac:dyDescent="0.3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 t="str">
        <f t="shared" si="77"/>
        <v>15-30 days</v>
      </c>
      <c r="L4986">
        <v>16</v>
      </c>
      <c r="M4986">
        <v>0</v>
      </c>
      <c r="N4986">
        <v>0</v>
      </c>
      <c r="O4986" t="s">
        <v>54</v>
      </c>
      <c r="P4986" t="s">
        <v>55</v>
      </c>
      <c r="Q4986">
        <v>16.8</v>
      </c>
      <c r="R4986">
        <v>28</v>
      </c>
      <c r="S4986" t="s">
        <v>36</v>
      </c>
    </row>
    <row r="4987" spans="1:19" x14ac:dyDescent="0.3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 t="str">
        <f t="shared" si="77"/>
        <v>31-60 days</v>
      </c>
      <c r="L4987">
        <v>42</v>
      </c>
      <c r="M4987">
        <v>1</v>
      </c>
      <c r="N4987">
        <v>0</v>
      </c>
      <c r="O4987" t="s">
        <v>54</v>
      </c>
      <c r="P4987" t="s">
        <v>55</v>
      </c>
      <c r="Q4987">
        <v>4.8</v>
      </c>
      <c r="R4987">
        <v>31</v>
      </c>
      <c r="S4987" t="s">
        <v>27</v>
      </c>
    </row>
    <row r="4988" spans="1:19" x14ac:dyDescent="0.3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 t="str">
        <f t="shared" si="77"/>
        <v>15-30 days</v>
      </c>
      <c r="L4988">
        <v>29</v>
      </c>
      <c r="M4988">
        <v>1</v>
      </c>
      <c r="N4988">
        <v>0</v>
      </c>
      <c r="O4988" t="s">
        <v>25</v>
      </c>
      <c r="P4988" t="s">
        <v>35</v>
      </c>
      <c r="Q4988">
        <v>13.9</v>
      </c>
      <c r="R4988">
        <v>24</v>
      </c>
      <c r="S4988" t="s">
        <v>36</v>
      </c>
    </row>
    <row r="4989" spans="1:19" x14ac:dyDescent="0.3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 t="str">
        <f t="shared" si="77"/>
        <v>15-30 days</v>
      </c>
      <c r="L4989">
        <v>21</v>
      </c>
      <c r="M4989">
        <v>2</v>
      </c>
      <c r="N4989">
        <v>0</v>
      </c>
      <c r="O4989" t="s">
        <v>25</v>
      </c>
      <c r="P4989" t="s">
        <v>35</v>
      </c>
      <c r="Q4989">
        <v>3.4</v>
      </c>
      <c r="R4989">
        <v>27</v>
      </c>
      <c r="S4989" t="s">
        <v>36</v>
      </c>
    </row>
    <row r="4990" spans="1:19" x14ac:dyDescent="0.3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 t="str">
        <f t="shared" si="77"/>
        <v>31-60 days</v>
      </c>
      <c r="L4990">
        <v>40</v>
      </c>
      <c r="M4990">
        <v>3</v>
      </c>
      <c r="N4990">
        <v>0</v>
      </c>
      <c r="O4990" t="s">
        <v>25</v>
      </c>
      <c r="P4990" t="s">
        <v>26</v>
      </c>
      <c r="Q4990">
        <v>8.6</v>
      </c>
      <c r="R4990">
        <v>43</v>
      </c>
      <c r="S4990" t="s">
        <v>27</v>
      </c>
    </row>
    <row r="4991" spans="1:19" x14ac:dyDescent="0.3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 t="str">
        <f t="shared" si="77"/>
        <v>31-60 days</v>
      </c>
      <c r="L4991">
        <v>36</v>
      </c>
      <c r="M4991">
        <v>4</v>
      </c>
      <c r="N4991">
        <v>1</v>
      </c>
      <c r="O4991" t="s">
        <v>54</v>
      </c>
      <c r="P4991" t="s">
        <v>55</v>
      </c>
      <c r="Q4991">
        <v>10.5</v>
      </c>
      <c r="R4991">
        <v>17</v>
      </c>
      <c r="S4991" t="s">
        <v>27</v>
      </c>
    </row>
    <row r="4992" spans="1:19" x14ac:dyDescent="0.3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 t="str">
        <f t="shared" si="77"/>
        <v>15-30 days</v>
      </c>
      <c r="L4992">
        <v>19</v>
      </c>
      <c r="M4992">
        <v>3</v>
      </c>
      <c r="N4992">
        <v>2</v>
      </c>
      <c r="O4992" t="s">
        <v>54</v>
      </c>
      <c r="P4992" t="s">
        <v>55</v>
      </c>
      <c r="Q4992">
        <v>11.9</v>
      </c>
      <c r="R4992">
        <v>38</v>
      </c>
      <c r="S4992" t="s">
        <v>27</v>
      </c>
    </row>
    <row r="4993" spans="1:19" x14ac:dyDescent="0.3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 t="str">
        <f t="shared" si="77"/>
        <v>8-14 days</v>
      </c>
      <c r="L4993">
        <v>13</v>
      </c>
      <c r="M4993">
        <v>1</v>
      </c>
      <c r="N4993">
        <v>0</v>
      </c>
      <c r="O4993" t="s">
        <v>25</v>
      </c>
      <c r="P4993" t="s">
        <v>26</v>
      </c>
      <c r="Q4993">
        <v>1.8</v>
      </c>
      <c r="R4993">
        <v>10</v>
      </c>
      <c r="S4993" t="s">
        <v>27</v>
      </c>
    </row>
    <row r="4994" spans="1:19" x14ac:dyDescent="0.3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 t="str">
        <f t="shared" si="77"/>
        <v>31-60 days</v>
      </c>
      <c r="L4994">
        <v>55</v>
      </c>
      <c r="M4994">
        <v>8</v>
      </c>
      <c r="N4994">
        <v>2</v>
      </c>
      <c r="O4994" t="s">
        <v>25</v>
      </c>
      <c r="P4994" t="s">
        <v>35</v>
      </c>
      <c r="Q4994">
        <v>12.1</v>
      </c>
      <c r="R4994">
        <v>28</v>
      </c>
      <c r="S4994" t="s">
        <v>27</v>
      </c>
    </row>
    <row r="4995" spans="1:19" x14ac:dyDescent="0.3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 t="str">
        <f t="shared" ref="K4995:K5001" si="78">IF(L4995&lt;=7,"0-7 days",IF(L4995&lt;=14,"8-14 days",IF(L4995&lt;=30,"15-30 days","31-60 days")))</f>
        <v>8-14 days</v>
      </c>
      <c r="L4995">
        <v>10</v>
      </c>
      <c r="M4995">
        <v>5</v>
      </c>
      <c r="N4995">
        <v>3</v>
      </c>
      <c r="O4995" t="s">
        <v>25</v>
      </c>
      <c r="P4995" t="s">
        <v>50</v>
      </c>
      <c r="Q4995">
        <v>13.2</v>
      </c>
      <c r="R4995">
        <v>29</v>
      </c>
      <c r="S4995" t="s">
        <v>27</v>
      </c>
    </row>
    <row r="4996" spans="1:19" x14ac:dyDescent="0.3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 t="str">
        <f t="shared" si="78"/>
        <v>31-60 days</v>
      </c>
      <c r="L4996">
        <v>58</v>
      </c>
      <c r="M4996">
        <v>2</v>
      </c>
      <c r="N4996">
        <v>2</v>
      </c>
      <c r="O4996" t="s">
        <v>25</v>
      </c>
      <c r="P4996" t="s">
        <v>26</v>
      </c>
      <c r="Q4996">
        <v>0.9</v>
      </c>
      <c r="R4996">
        <v>23</v>
      </c>
      <c r="S4996" t="s">
        <v>27</v>
      </c>
    </row>
    <row r="4997" spans="1:19" x14ac:dyDescent="0.3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 t="str">
        <f t="shared" si="78"/>
        <v>15-30 days</v>
      </c>
      <c r="L4997">
        <v>28</v>
      </c>
      <c r="M4997">
        <v>5</v>
      </c>
      <c r="N4997">
        <v>1</v>
      </c>
      <c r="O4997" t="s">
        <v>25</v>
      </c>
      <c r="P4997" t="s">
        <v>50</v>
      </c>
      <c r="Q4997">
        <v>4.4000000000000004</v>
      </c>
      <c r="R4997">
        <v>35</v>
      </c>
      <c r="S4997" t="s">
        <v>27</v>
      </c>
    </row>
    <row r="4998" spans="1:19" x14ac:dyDescent="0.3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 t="str">
        <f t="shared" si="78"/>
        <v>31-60 days</v>
      </c>
      <c r="L4998">
        <v>60</v>
      </c>
      <c r="M4998">
        <v>6</v>
      </c>
      <c r="N4998">
        <v>2</v>
      </c>
      <c r="O4998" t="s">
        <v>25</v>
      </c>
      <c r="P4998" t="s">
        <v>26</v>
      </c>
      <c r="Q4998">
        <v>12.6</v>
      </c>
      <c r="R4998">
        <v>24</v>
      </c>
      <c r="S4998" t="s">
        <v>36</v>
      </c>
    </row>
    <row r="4999" spans="1:19" x14ac:dyDescent="0.3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 t="str">
        <f t="shared" si="78"/>
        <v>15-30 days</v>
      </c>
      <c r="L4999">
        <v>21</v>
      </c>
      <c r="M4999">
        <v>5</v>
      </c>
      <c r="N4999">
        <v>0</v>
      </c>
      <c r="O4999" t="s">
        <v>54</v>
      </c>
      <c r="P4999" t="s">
        <v>55</v>
      </c>
      <c r="Q4999">
        <v>22.8</v>
      </c>
      <c r="R4999">
        <v>28</v>
      </c>
      <c r="S4999" t="s">
        <v>36</v>
      </c>
    </row>
    <row r="5000" spans="1:19" x14ac:dyDescent="0.3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 t="str">
        <f t="shared" si="78"/>
        <v>31-60 days</v>
      </c>
      <c r="L5000">
        <v>34</v>
      </c>
      <c r="M5000">
        <v>4</v>
      </c>
      <c r="N5000">
        <v>1</v>
      </c>
      <c r="O5000" t="s">
        <v>54</v>
      </c>
      <c r="P5000" t="s">
        <v>55</v>
      </c>
      <c r="Q5000">
        <v>12.5</v>
      </c>
      <c r="R5000">
        <v>16</v>
      </c>
      <c r="S5000" t="s">
        <v>36</v>
      </c>
    </row>
    <row r="5001" spans="1:19" x14ac:dyDescent="0.3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 t="str">
        <f t="shared" si="78"/>
        <v>31-60 days</v>
      </c>
      <c r="L5001">
        <v>37</v>
      </c>
      <c r="M5001">
        <v>6</v>
      </c>
      <c r="N5001">
        <v>1</v>
      </c>
      <c r="O5001" t="s">
        <v>25</v>
      </c>
      <c r="P5001" t="s">
        <v>26</v>
      </c>
      <c r="Q5001">
        <v>1.1000000000000001</v>
      </c>
      <c r="R5001">
        <v>13</v>
      </c>
      <c r="S5001" t="s">
        <v>27</v>
      </c>
    </row>
  </sheetData>
  <autoFilter ref="J1:J5001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appointment outcome</vt:lpstr>
      <vt:lpstr>no show reate by age group</vt:lpstr>
      <vt:lpstr>no show rate by reminder send</vt:lpstr>
      <vt:lpstr>prevous no show</vt:lpstr>
      <vt:lpstr>booking lead group</vt:lpstr>
      <vt:lpstr>no show by age group and remind</vt:lpstr>
      <vt:lpstr>no show by bookig leadgroup</vt:lpstr>
      <vt:lpstr>booking lead tme,rs,ao</vt:lpstr>
      <vt:lpstr>previous no show </vt:lpstr>
      <vt:lpstr>HealthConnect_Appointment_Data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</dc:creator>
  <cp:lastModifiedBy>Windows User</cp:lastModifiedBy>
  <dcterms:created xsi:type="dcterms:W3CDTF">2026-08-24T08:43:14Z</dcterms:created>
  <dcterms:modified xsi:type="dcterms:W3CDTF">2026-09-08T11:35:17Z</dcterms:modified>
</cp:coreProperties>
</file>